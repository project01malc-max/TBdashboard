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8" firstSheet="0" activeTab="1" autoFilterDateGrouping="1"/>
  </bookViews>
  <sheets>
    <sheet xmlns:r="http://schemas.openxmlformats.org/officeDocument/2006/relationships" name="MPR" sheetId="1" state="visible" r:id="rId1"/>
    <sheet xmlns:r="http://schemas.openxmlformats.org/officeDocument/2006/relationships" name="KARACHI" sheetId="2" state="visible" r:id="rId2"/>
    <sheet xmlns:r="http://schemas.openxmlformats.org/officeDocument/2006/relationships" name="SINDH" sheetId="3" state="visible" r:id="rId3"/>
    <sheet xmlns:r="http://schemas.openxmlformats.org/officeDocument/2006/relationships" name="GILGIT BALTISTAN" sheetId="4" state="visible" r:id="rId4"/>
    <sheet xmlns:r="http://schemas.openxmlformats.org/officeDocument/2006/relationships" name="AZAD KHASHMIR" sheetId="5" state="visible" r:id="rId5"/>
    <sheet xmlns:r="http://schemas.openxmlformats.org/officeDocument/2006/relationships" name="KHYBER PAKHTUNKHWA" sheetId="6" state="visible" r:id="rId6"/>
    <sheet xmlns:r="http://schemas.openxmlformats.org/officeDocument/2006/relationships" name="All Project Total - 2026" sheetId="7" state="visible" r:id="rId7"/>
  </sheets>
  <definedNames>
    <definedName name="Print_Area_MI">#REF!</definedName>
    <definedName name="_xlnm.Print_Area" localSheetId="0">'MPR'!$A$1:$AD$196</definedName>
    <definedName name="_xlnm.Print_Area" localSheetId="1">'KARACHI'!$A$1:$AD$198</definedName>
    <definedName name="_xlnm.Print_Area" localSheetId="2">'SINDH'!$A$1:$AD$198</definedName>
    <definedName name="_xlnm.Print_Area" localSheetId="3">'GILGIT BALTISTAN'!$A$1:$AD$198</definedName>
    <definedName name="_xlnm.Print_Area" localSheetId="4">'AZAD KHASHMIR'!$A$1:$AD$198</definedName>
    <definedName name="_xlnm.Print_Area" localSheetId="5">'KHYBER PAKHTUNKHWA'!$A$1:$AD$198</definedName>
    <definedName name="Print_Area_MI" localSheetId="6">#REF!</definedName>
    <definedName name="_xlnm.Print_Area" localSheetId="6">'All Project Total - 2026'!$A$1:$AD$197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Times New Roman"/>
      <family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sz val="12"/>
      <u val="single"/>
    </font>
    <font>
      <name val="Calibri"/>
      <family val="2"/>
      <b val="1"/>
      <sz val="16"/>
      <u val="single"/>
    </font>
    <font>
      <name val="Calibri"/>
      <family val="2"/>
      <b val="1"/>
      <sz val="16"/>
      <u val="single"/>
      <vertAlign val="superscript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i val="1"/>
      <color theme="0"/>
      <sz val="18"/>
    </font>
    <font>
      <name val="Calibri"/>
      <family val="2"/>
      <b val="1"/>
      <i val="1"/>
      <color theme="1"/>
      <sz val="16"/>
    </font>
    <font>
      <name val="Calibri"/>
      <family val="2"/>
      <b val="1"/>
      <i val="1"/>
      <sz val="18"/>
    </font>
    <font>
      <name val="Calibri"/>
      <family val="2"/>
      <b val="1"/>
      <sz val="18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i val="1"/>
      <sz val="16"/>
      <u val="single"/>
    </font>
    <font>
      <name val="Calibri"/>
      <family val="2"/>
      <b val="1"/>
      <i val="1"/>
      <sz val="12"/>
      <u val="single"/>
    </font>
    <font>
      <name val="Calibri"/>
      <family val="2"/>
      <b val="1"/>
      <i val="1"/>
      <color theme="1"/>
      <sz val="18"/>
    </font>
  </fonts>
  <fills count="7">
    <fill>
      <patternFill/>
    </fill>
    <fill>
      <patternFill patternType="gray125"/>
    </fill>
    <fill>
      <patternFill patternType="solid">
        <fgColor theme="6" tint="0.5999938962981048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2" borderId="0"/>
    <xf numFmtId="0" fontId="2" fillId="2" borderId="0"/>
  </cellStyleXfs>
  <cellXfs count="195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3" fontId="13" fillId="0" borderId="9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/>
    </xf>
    <xf numFmtId="0" fontId="13" fillId="0" borderId="9" applyAlignment="1" pivotButton="0" quotePrefix="0" xfId="0">
      <alignment vertical="center" wrapText="1"/>
    </xf>
    <xf numFmtId="1" fontId="13" fillId="0" borderId="9" applyAlignment="1" pivotButton="0" quotePrefix="1" xfId="0">
      <alignment horizontal="center" vertical="center" wrapText="1"/>
    </xf>
    <xf numFmtId="0" fontId="13" fillId="0" borderId="9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/>
    </xf>
    <xf numFmtId="1" fontId="16" fillId="0" borderId="9" applyAlignment="1" pivotButton="0" quotePrefix="1" xfId="0">
      <alignment horizontal="center" vertical="center"/>
    </xf>
    <xf numFmtId="16" fontId="16" fillId="0" borderId="9" applyAlignment="1" pivotButton="0" quotePrefix="1" xfId="0">
      <alignment horizontal="center" vertical="center"/>
    </xf>
    <xf numFmtId="0" fontId="16" fillId="0" borderId="9" applyAlignment="1" pivotButton="0" quotePrefix="0" xfId="0">
      <alignment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6" fillId="0" borderId="0" pivotButton="0" quotePrefix="0" xfId="0"/>
    <xf numFmtId="0" fontId="0" fillId="0" borderId="1" pivotButton="0" quotePrefix="0" xfId="0"/>
    <xf numFmtId="0" fontId="12" fillId="4" borderId="10" pivotButton="0" quotePrefix="0" xfId="0"/>
    <xf numFmtId="0" fontId="14" fillId="4" borderId="11" pivotButton="0" quotePrefix="0" xfId="0"/>
    <xf numFmtId="0" fontId="0" fillId="4" borderId="12" pivotButton="0" quotePrefix="0" xfId="0"/>
    <xf numFmtId="0" fontId="15" fillId="0" borderId="9" applyAlignment="1" pivotButton="0" quotePrefix="0" xfId="0">
      <alignment horizontal="center" vertical="center"/>
    </xf>
    <xf numFmtId="0" fontId="17" fillId="0" borderId="10" pivotButton="0" quotePrefix="0" xfId="0"/>
    <xf numFmtId="0" fontId="17" fillId="0" borderId="11" pivotButton="0" quotePrefix="0" xfId="0"/>
    <xf numFmtId="0" fontId="17" fillId="0" borderId="1" pivotButton="0" quotePrefix="0" xfId="0"/>
    <xf numFmtId="0" fontId="17" fillId="0" borderId="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0" fillId="0" borderId="11" pivotButton="0" quotePrefix="0" xfId="0"/>
    <xf numFmtId="0" fontId="12" fillId="4" borderId="10" pivotButton="0" quotePrefix="0" xfId="3"/>
    <xf numFmtId="0" fontId="15" fillId="4" borderId="11" pivotButton="0" quotePrefix="0" xfId="3"/>
    <xf numFmtId="0" fontId="15" fillId="4" borderId="12" pivotButton="0" quotePrefix="0" xfId="3"/>
    <xf numFmtId="0" fontId="15" fillId="0" borderId="5" pivotButton="0" quotePrefix="0" xfId="3"/>
    <xf numFmtId="0" fontId="15" fillId="4" borderId="3" pivotButton="0" quotePrefix="0" xfId="3"/>
    <xf numFmtId="0" fontId="17" fillId="0" borderId="0" applyAlignment="1" pivotButton="0" quotePrefix="0" xfId="0">
      <alignment wrapText="1"/>
    </xf>
    <xf numFmtId="0" fontId="13" fillId="0" borderId="10" applyAlignment="1" pivotButton="0" quotePrefix="0" xfId="0">
      <alignment vertical="center" wrapText="1"/>
    </xf>
    <xf numFmtId="1" fontId="15" fillId="0" borderId="9" applyAlignment="1" pivotButton="0" quotePrefix="1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wrapText="1"/>
    </xf>
    <xf numFmtId="0" fontId="17" fillId="0" borderId="0" applyAlignment="1" pivotButton="0" quotePrefix="0" xfId="0">
      <alignment horizontal="center" wrapText="1"/>
    </xf>
    <xf numFmtId="0" fontId="0" fillId="0" borderId="12" pivotButton="0" quotePrefix="0" xfId="0"/>
    <xf numFmtId="0" fontId="15" fillId="0" borderId="14" pivotButton="0" quotePrefix="0" xfId="3"/>
    <xf numFmtId="0" fontId="15" fillId="4" borderId="10" pivotButton="0" quotePrefix="0" xfId="3"/>
    <xf numFmtId="0" fontId="5" fillId="4" borderId="12" pivotButton="0" quotePrefix="0" xfId="0"/>
    <xf numFmtId="0" fontId="15" fillId="0" borderId="0" pivotButton="0" quotePrefix="0" xfId="3"/>
    <xf numFmtId="0" fontId="16" fillId="0" borderId="0" pivotButton="0" quotePrefix="0" xfId="0"/>
    <xf numFmtId="0" fontId="17" fillId="0" borderId="14" pivotButton="0" quotePrefix="0" xfId="0"/>
    <xf numFmtId="1" fontId="16" fillId="0" borderId="13" applyAlignment="1" pivotButton="0" quotePrefix="1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" fontId="15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3" fontId="13" fillId="0" borderId="14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8" applyAlignment="1" pivotButton="0" quotePrefix="0" xfId="0">
      <alignment horizontal="center"/>
    </xf>
    <xf numFmtId="16" fontId="13" fillId="0" borderId="10" applyAlignment="1" pivotButton="0" quotePrefix="1" xfId="0">
      <alignment horizontal="center" vertical="center"/>
    </xf>
    <xf numFmtId="16" fontId="13" fillId="0" borderId="12" applyAlignment="1" pivotButton="0" quotePrefix="1" xfId="0">
      <alignment horizontal="center" vertical="center"/>
    </xf>
    <xf numFmtId="0" fontId="13" fillId="0" borderId="9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10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0" fontId="13" fillId="0" borderId="12" applyAlignment="1" pivotButton="0" quotePrefix="0" xfId="0">
      <alignment horizontal="left" vertical="center"/>
    </xf>
    <xf numFmtId="0" fontId="13" fillId="0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/>
    </xf>
    <xf numFmtId="0" fontId="17" fillId="0" borderId="12" applyAlignment="1" pivotButton="0" quotePrefix="0" xfId="0">
      <alignment horizontal="center"/>
    </xf>
    <xf numFmtId="0" fontId="16" fillId="0" borderId="13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0" applyAlignment="1" pivotButton="0" quotePrefix="1" xfId="0">
      <alignment horizontal="center" vertical="center"/>
    </xf>
    <xf numFmtId="0" fontId="13" fillId="0" borderId="12" applyAlignment="1" pivotButton="0" quotePrefix="1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3" fillId="0" borderId="13" applyAlignment="1" pivotButton="0" quotePrefix="1" xfId="0">
      <alignment horizontal="center" vertical="center" wrapText="1"/>
    </xf>
    <xf numFmtId="0" fontId="13" fillId="0" borderId="15" applyAlignment="1" pivotButton="0" quotePrefix="1" xfId="0">
      <alignment horizontal="center" vertical="center" wrapText="1"/>
    </xf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3" fontId="15" fillId="0" borderId="13" applyAlignment="1" pivotButton="0" quotePrefix="0" xfId="0">
      <alignment horizontal="center" vertical="center" wrapText="1"/>
    </xf>
    <xf numFmtId="3" fontId="15" fillId="0" borderId="14" applyAlignment="1" pivotButton="0" quotePrefix="0" xfId="0">
      <alignment horizontal="center" vertical="center" wrapText="1"/>
    </xf>
    <xf numFmtId="3" fontId="15" fillId="0" borderId="15" applyAlignment="1" pivotButton="0" quotePrefix="0" xfId="0">
      <alignment horizontal="center" vertical="center" wrapText="1"/>
    </xf>
    <xf numFmtId="3" fontId="13" fillId="0" borderId="13" applyAlignment="1" pivotButton="0" quotePrefix="0" xfId="0">
      <alignment horizontal="center" vertical="center" wrapText="1"/>
    </xf>
    <xf numFmtId="3" fontId="13" fillId="0" borderId="14" applyAlignment="1" pivotButton="0" quotePrefix="0" xfId="0">
      <alignment horizontal="center" vertical="center" wrapText="1"/>
    </xf>
    <xf numFmtId="3" fontId="13" fillId="0" borderId="15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3" fontId="13" fillId="0" borderId="13" applyAlignment="1" pivotButton="0" quotePrefix="0" xfId="0">
      <alignment horizontal="center" vertical="center"/>
    </xf>
    <xf numFmtId="3" fontId="13" fillId="0" borderId="15" applyAlignment="1" pivotButton="0" quotePrefix="0" xfId="0">
      <alignment horizontal="center" vertical="center"/>
    </xf>
    <xf numFmtId="3" fontId="13" fillId="0" borderId="10" applyAlignment="1" pivotButton="0" quotePrefix="0" xfId="0">
      <alignment horizontal="center" vertical="center"/>
    </xf>
    <xf numFmtId="3" fontId="13" fillId="0" borderId="12" applyAlignment="1" pivotButton="0" quotePrefix="0" xfId="0">
      <alignment horizontal="center" vertical="center"/>
    </xf>
    <xf numFmtId="3" fontId="13" fillId="0" borderId="11" applyAlignment="1" pivotButton="0" quotePrefix="0" xfId="0">
      <alignment horizontal="center" vertical="center"/>
    </xf>
    <xf numFmtId="3" fontId="15" fillId="0" borderId="10" applyAlignment="1" pivotButton="0" quotePrefix="0" xfId="0">
      <alignment horizontal="center" vertical="center"/>
    </xf>
    <xf numFmtId="3" fontId="15" fillId="0" borderId="11" applyAlignment="1" pivotButton="0" quotePrefix="0" xfId="0">
      <alignment horizontal="center" vertical="center"/>
    </xf>
    <xf numFmtId="3" fontId="15" fillId="0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left" vertical="center"/>
    </xf>
    <xf numFmtId="0" fontId="15" fillId="0" borderId="9" applyAlignment="1" pivotButton="0" quotePrefix="0" xfId="0">
      <alignment horizontal="center"/>
    </xf>
    <xf numFmtId="16" fontId="13" fillId="0" borderId="9" applyAlignment="1" pivotButton="0" quotePrefix="1" xfId="0">
      <alignment horizontal="center" vertical="center"/>
    </xf>
    <xf numFmtId="0" fontId="13" fillId="0" borderId="9" applyAlignment="1" pivotButton="0" quotePrefix="1" xfId="0">
      <alignment horizontal="center" vertical="center"/>
    </xf>
    <xf numFmtId="0" fontId="13" fillId="0" borderId="9" applyAlignment="1" pivotButton="0" quotePrefix="1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3" fontId="15" fillId="0" borderId="9" applyAlignment="1" pivotButton="0" quotePrefix="0" xfId="0">
      <alignment horizontal="center" vertical="center" wrapText="1"/>
    </xf>
    <xf numFmtId="3" fontId="13" fillId="0" borderId="9" applyAlignment="1" pivotButton="0" quotePrefix="0" xfId="0">
      <alignment horizontal="center" vertical="center" wrapText="1"/>
    </xf>
    <xf numFmtId="3" fontId="15" fillId="0" borderId="9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40% - Accent3 2" xfId="2"/>
    <cellStyle name="40% - Accent3" xfId="3" builtinId="3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jpe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jpe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jpe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Relationship Type="http://schemas.openxmlformats.org/officeDocument/2006/relationships/image" Target="/xl/media/image14.png" Id="rId4"/><Relationship Type="http://schemas.openxmlformats.org/officeDocument/2006/relationships/image" Target="/xl/media/image15.jpeg" Id="rId5"/><Relationship Type="http://schemas.openxmlformats.org/officeDocument/2006/relationships/image" Target="/xl/media/image16.png" Id="rId6"/><Relationship Type="http://schemas.openxmlformats.org/officeDocument/2006/relationships/image" Target="/xl/media/image17.jpeg" Id="rId7"/><Relationship Type="http://schemas.openxmlformats.org/officeDocument/2006/relationships/image" Target="/xl/media/image18.png" Id="rId8"/><Relationship Type="http://schemas.openxmlformats.org/officeDocument/2006/relationships/image" Target="/xl/media/image19.png" Id="rId9"/><Relationship Type="http://schemas.openxmlformats.org/officeDocument/2006/relationships/image" Target="/xl/media/image2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png" Id="rId2"/><Relationship Type="http://schemas.openxmlformats.org/officeDocument/2006/relationships/image" Target="/xl/media/image23.jpeg" Id="rId3"/><Relationship Type="http://schemas.openxmlformats.org/officeDocument/2006/relationships/image" Target="/xl/media/image24.png" Id="rId4"/><Relationship Type="http://schemas.openxmlformats.org/officeDocument/2006/relationships/image" Target="/xl/media/image25.jpeg" Id="rId5"/><Relationship Type="http://schemas.openxmlformats.org/officeDocument/2006/relationships/image" Target="/xl/media/image26.png" Id="rId6"/><Relationship Type="http://schemas.openxmlformats.org/officeDocument/2006/relationships/image" Target="/xl/media/image27.jpe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png" Id="rId2"/><Relationship Type="http://schemas.openxmlformats.org/officeDocument/2006/relationships/image" Target="/xl/media/image33.jpeg" Id="rId3"/><Relationship Type="http://schemas.openxmlformats.org/officeDocument/2006/relationships/image" Target="/xl/media/image34.png" Id="rId4"/><Relationship Type="http://schemas.openxmlformats.org/officeDocument/2006/relationships/image" Target="/xl/media/image35.jpeg" Id="rId5"/><Relationship Type="http://schemas.openxmlformats.org/officeDocument/2006/relationships/image" Target="/xl/media/image36.png" Id="rId6"/><Relationship Type="http://schemas.openxmlformats.org/officeDocument/2006/relationships/image" Target="/xl/media/image37.jpeg" Id="rId7"/><Relationship Type="http://schemas.openxmlformats.org/officeDocument/2006/relationships/image" Target="/xl/media/image38.png" Id="rId8"/><Relationship Type="http://schemas.openxmlformats.org/officeDocument/2006/relationships/image" Target="/xl/media/image39.jpeg" Id="rId9"/><Relationship Type="http://schemas.openxmlformats.org/officeDocument/2006/relationships/image" Target="/xl/media/image40.png" Id="rId10"/><Relationship Type="http://schemas.openxmlformats.org/officeDocument/2006/relationships/image" Target="/xl/media/image41.jpeg" Id="rId11"/><Relationship Type="http://schemas.openxmlformats.org/officeDocument/2006/relationships/image" Target="/xl/media/image42.png" Id="rId12"/><Relationship Type="http://schemas.openxmlformats.org/officeDocument/2006/relationships/image" Target="/xl/media/image43.jpeg" Id="rId13"/><Relationship Type="http://schemas.openxmlformats.org/officeDocument/2006/relationships/image" Target="/xl/media/image44.png" Id="rId14"/><Relationship Type="http://schemas.openxmlformats.org/officeDocument/2006/relationships/image" Target="/xl/media/image45.jpe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jpeg" Id="rId18"/><Relationship Type="http://schemas.openxmlformats.org/officeDocument/2006/relationships/image" Target="/xl/media/image49.jpeg" Id="rId19"/><Relationship Type="http://schemas.openxmlformats.org/officeDocument/2006/relationships/image" Target="/xl/media/image50.pn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51.jpeg" Id="rId1"/><Relationship Type="http://schemas.openxmlformats.org/officeDocument/2006/relationships/image" Target="/xl/media/image52.png" Id="rId2"/><Relationship Type="http://schemas.openxmlformats.org/officeDocument/2006/relationships/image" Target="/xl/media/image53.jpeg" Id="rId3"/><Relationship Type="http://schemas.openxmlformats.org/officeDocument/2006/relationships/image" Target="/xl/media/image54.png" Id="rId4"/><Relationship Type="http://schemas.openxmlformats.org/officeDocument/2006/relationships/image" Target="/xl/media/image55.jpeg" Id="rId5"/><Relationship Type="http://schemas.openxmlformats.org/officeDocument/2006/relationships/image" Target="/xl/media/image56.png" Id="rId6"/><Relationship Type="http://schemas.openxmlformats.org/officeDocument/2006/relationships/image" Target="/xl/media/image57.jpeg" Id="rId7"/><Relationship Type="http://schemas.openxmlformats.org/officeDocument/2006/relationships/image" Target="/xl/media/image58.png" Id="rId8"/><Relationship Type="http://schemas.openxmlformats.org/officeDocument/2006/relationships/image" Target="/xl/media/image59.jpeg" Id="rId9"/><Relationship Type="http://schemas.openxmlformats.org/officeDocument/2006/relationships/image" Target="/xl/media/image60.png" Id="rId10"/><Relationship Type="http://schemas.openxmlformats.org/officeDocument/2006/relationships/image" Target="/xl/media/image61.jpeg" Id="rId11"/><Relationship Type="http://schemas.openxmlformats.org/officeDocument/2006/relationships/image" Target="/xl/media/image62.png" Id="rId12"/><Relationship Type="http://schemas.openxmlformats.org/officeDocument/2006/relationships/image" Target="/xl/media/image63.jpeg" Id="rId13"/><Relationship Type="http://schemas.openxmlformats.org/officeDocument/2006/relationships/image" Target="/xl/media/image64.png" Id="rId14"/><Relationship Type="http://schemas.openxmlformats.org/officeDocument/2006/relationships/image" Target="/xl/media/image65.jpe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jpeg" Id="rId19"/><Relationship Type="http://schemas.openxmlformats.org/officeDocument/2006/relationships/image" Target="/xl/media/image70.jpeg" Id="rId20"/><Relationship Type="http://schemas.openxmlformats.org/officeDocument/2006/relationships/image" Target="/xl/media/image71.png" Id="rId2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2.jpeg" Id="rId1"/><Relationship Type="http://schemas.openxmlformats.org/officeDocument/2006/relationships/image" Target="/xl/media/image73.png" Id="rId2"/><Relationship Type="http://schemas.openxmlformats.org/officeDocument/2006/relationships/image" Target="/xl/media/image74.jpeg" Id="rId3"/><Relationship Type="http://schemas.openxmlformats.org/officeDocument/2006/relationships/image" Target="/xl/media/image75.png" Id="rId4"/><Relationship Type="http://schemas.openxmlformats.org/officeDocument/2006/relationships/image" Target="/xl/media/image76.jpeg" Id="rId5"/><Relationship Type="http://schemas.openxmlformats.org/officeDocument/2006/relationships/image" Target="/xl/media/image77.png" Id="rId6"/><Relationship Type="http://schemas.openxmlformats.org/officeDocument/2006/relationships/image" Target="/xl/media/image78.jpeg" Id="rId7"/><Relationship Type="http://schemas.openxmlformats.org/officeDocument/2006/relationships/image" Target="/xl/media/image79.png" Id="rId8"/><Relationship Type="http://schemas.openxmlformats.org/officeDocument/2006/relationships/image" Target="/xl/media/image80.png" Id="rId9"/><Relationship Type="http://schemas.openxmlformats.org/officeDocument/2006/relationships/image" Target="/xl/media/image81.jpeg" Id="rId10"/></Relationships>
</file>

<file path=xl/drawings/_rels/drawing7.xml.rels><Relationships xmlns="http://schemas.openxmlformats.org/package/2006/relationships"><Relationship Type="http://schemas.openxmlformats.org/officeDocument/2006/relationships/image" Target="/xl/media/image82.jpeg" Id="rId1"/><Relationship Type="http://schemas.openxmlformats.org/officeDocument/2006/relationships/image" Target="/xl/media/image83.png" Id="rId2"/><Relationship Type="http://schemas.openxmlformats.org/officeDocument/2006/relationships/image" Target="/xl/media/image84.jpeg" Id="rId3"/><Relationship Type="http://schemas.openxmlformats.org/officeDocument/2006/relationships/image" Target="/xl/media/image85.png" Id="rId4"/><Relationship Type="http://schemas.openxmlformats.org/officeDocument/2006/relationships/image" Target="/xl/media/image86.jpeg" Id="rId5"/><Relationship Type="http://schemas.openxmlformats.org/officeDocument/2006/relationships/image" Target="/xl/media/image87.png" Id="rId6"/><Relationship Type="http://schemas.openxmlformats.org/officeDocument/2006/relationships/image" Target="/xl/media/image88.jpeg" Id="rId7"/><Relationship Type="http://schemas.openxmlformats.org/officeDocument/2006/relationships/image" Target="/xl/media/image89.png" Id="rId8"/><Relationship Type="http://schemas.openxmlformats.org/officeDocument/2006/relationships/image" Target="/xl/media/image90.png" Id="rId9"/><Relationship Type="http://schemas.openxmlformats.org/officeDocument/2006/relationships/image" Target="/xl/media/image91.jpeg" Id="rId10"/></Relationships>
</file>

<file path=xl/drawings/drawing1.xml><?xml version="1.0" encoding="utf-8"?>
<wsDr xmlns="http://schemas.openxmlformats.org/drawingml/2006/spreadsheetDrawing">
  <twoCellAnchor editAs="oneCell">
    <from>
      <col>0</col>
      <colOff>176893</colOff>
      <row>1</row>
      <rowOff>0</rowOff>
    </from>
    <to>
      <col>0</col>
      <colOff>734255</colOff>
      <row>3</row>
      <rowOff>46357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76893" y="95250"/>
          <a:ext cx="557362" cy="5498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26</col>
      <colOff>476250</colOff>
      <row>1</row>
      <rowOff>19050</rowOff>
    </from>
    <to>
      <col>28</col>
      <colOff>83004</colOff>
      <row>3</row>
      <rowOff>44899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68475" y="114300"/>
          <a:ext cx="581025" cy="521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51549</colOff>
      <row>41</row>
      <rowOff>85164</rowOff>
    </from>
    <ext cx="544599" cy="497541"/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15149" y="11343714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79134</colOff>
      <row>41</row>
      <rowOff>187698</rowOff>
    </from>
    <ext cx="492367" cy="481463"/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9134" y="11446248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152401</colOff>
      <row>80</row>
      <rowOff>51547</rowOff>
    </from>
    <ext cx="495537" cy="452718"/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16001" y="22559122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146369</colOff>
      <row>80</row>
      <rowOff>53229</rowOff>
    </from>
    <ext cx="369572" cy="361388"/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6369" y="22560804"/>
          <a:ext cx="369572" cy="361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118783</colOff>
      <row>119</row>
      <rowOff>41186</rowOff>
    </from>
    <ext cx="421018" cy="384638"/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682383" y="33512036"/>
          <a:ext cx="421018" cy="384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168779</colOff>
      <row>119</row>
      <rowOff>34704</rowOff>
    </from>
    <ext cx="357897" cy="349972"/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779" y="33505554"/>
          <a:ext cx="357897" cy="349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96371</colOff>
      <row>158</row>
      <rowOff>53178</rowOff>
    </from>
    <ext cx="441511" cy="403361"/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659971" y="44468253"/>
          <a:ext cx="441511" cy="403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158</row>
      <rowOff>43035</rowOff>
    </from>
    <ext cx="369104" cy="360930"/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9986" y="44458110"/>
          <a:ext cx="369104" cy="360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162616</colOff>
      <row>1</row>
      <rowOff>0</rowOff>
    </from>
    <to>
      <col>0</col>
      <colOff>719978</colOff>
      <row>3</row>
      <rowOff>46357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62616" y="95250"/>
          <a:ext cx="554561" cy="5416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438150</colOff>
      <row>1</row>
      <rowOff>47625</rowOff>
    </from>
    <to>
      <col>29</col>
      <colOff>47628</colOff>
      <row>3</row>
      <rowOff>73474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515975" y="142875"/>
          <a:ext cx="581028" cy="521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51549</colOff>
      <row>41</row>
      <rowOff>85164</rowOff>
    </from>
    <ext cx="544599" cy="497541"/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15149" y="11343714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90339</colOff>
      <row>41</row>
      <rowOff>64433</rowOff>
    </from>
    <ext cx="492367" cy="481463"/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339" y="11322983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152401</colOff>
      <row>81</row>
      <rowOff>51547</rowOff>
    </from>
    <ext cx="495537" cy="452718"/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16001" y="22559122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146369</colOff>
      <row>81</row>
      <rowOff>53229</rowOff>
    </from>
    <ext cx="369572" cy="361388"/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6369" y="22560804"/>
          <a:ext cx="369572" cy="361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118783</colOff>
      <row>120</row>
      <rowOff>41186</rowOff>
    </from>
    <ext cx="421018" cy="384638"/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682383" y="33512036"/>
          <a:ext cx="421018" cy="384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168779</colOff>
      <row>120</row>
      <rowOff>34704</rowOff>
    </from>
    <ext cx="357897" cy="349972"/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779" y="33505554"/>
          <a:ext cx="357897" cy="349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96371</colOff>
      <row>159</row>
      <rowOff>53178</rowOff>
    </from>
    <ext cx="441511" cy="403361"/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659971" y="44468253"/>
          <a:ext cx="441511" cy="403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159</row>
      <rowOff>43035</rowOff>
    </from>
    <ext cx="369104" cy="360930"/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9986" y="44458110"/>
          <a:ext cx="369104" cy="360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162616</colOff>
      <row>1</row>
      <rowOff>0</rowOff>
    </from>
    <to>
      <col>0</col>
      <colOff>719978</colOff>
      <row>3</row>
      <rowOff>46357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62616" y="95250"/>
          <a:ext cx="554561" cy="5416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438150</colOff>
      <row>1</row>
      <rowOff>47625</rowOff>
    </from>
    <to>
      <col>29</col>
      <colOff>47628</colOff>
      <row>3</row>
      <rowOff>73474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535025" y="142875"/>
          <a:ext cx="581028" cy="521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51549</colOff>
      <row>41</row>
      <rowOff>85164</rowOff>
    </from>
    <ext cx="544599" cy="497541"/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34199" y="11343714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90339</colOff>
      <row>41</row>
      <rowOff>64433</rowOff>
    </from>
    <ext cx="492367" cy="481463"/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339" y="11322983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152401</colOff>
      <row>81</row>
      <rowOff>51547</rowOff>
    </from>
    <ext cx="495537" cy="452718"/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35051" y="22559122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146369</colOff>
      <row>81</row>
      <rowOff>53229</rowOff>
    </from>
    <ext cx="369572" cy="361388"/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6369" y="22560804"/>
          <a:ext cx="369572" cy="361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118783</colOff>
      <row>120</row>
      <rowOff>41186</rowOff>
    </from>
    <ext cx="421018" cy="384638"/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701433" y="33512036"/>
          <a:ext cx="421018" cy="384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168779</colOff>
      <row>120</row>
      <rowOff>34704</rowOff>
    </from>
    <ext cx="357897" cy="349972"/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779" y="33505554"/>
          <a:ext cx="357897" cy="349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96371</colOff>
      <row>159</row>
      <rowOff>53178</rowOff>
    </from>
    <ext cx="441511" cy="403361"/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679021" y="44477778"/>
          <a:ext cx="441511" cy="403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159</row>
      <rowOff>43035</rowOff>
    </from>
    <ext cx="369104" cy="360930"/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9986" y="44467635"/>
          <a:ext cx="369104" cy="360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0</col>
      <colOff>162616</colOff>
      <row>1</row>
      <rowOff>0</rowOff>
    </from>
    <to>
      <col>0</col>
      <colOff>719978</colOff>
      <row>3</row>
      <rowOff>46357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62616" y="95250"/>
          <a:ext cx="554561" cy="5416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292473</colOff>
      <row>1</row>
      <rowOff>2801</rowOff>
    </from>
    <to>
      <col>28</col>
      <colOff>392206</colOff>
      <row>3</row>
      <rowOff>33617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3456023" y="98051"/>
          <a:ext cx="585508" cy="5261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292473</colOff>
      <row>1</row>
      <rowOff>2801</rowOff>
    </from>
    <to>
      <col>28</col>
      <colOff>392206</colOff>
      <row>3</row>
      <rowOff>33617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3456023" y="98051"/>
          <a:ext cx="585508" cy="5261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263469</colOff>
      <row>0</row>
      <rowOff>67235</rowOff>
    </from>
    <to>
      <col>1</col>
      <colOff>190500</colOff>
      <row>2</row>
      <rowOff>257735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63469" y="67235"/>
          <a:ext cx="708081" cy="514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27</col>
      <colOff>398931</colOff>
      <row>41</row>
      <rowOff>152399</rowOff>
    </from>
    <ext cx="544599" cy="497541"/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562481" y="11410949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202397</colOff>
      <row>41</row>
      <rowOff>75639</rowOff>
    </from>
    <ext cx="492367" cy="481463"/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02397" y="11334189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40342</colOff>
      <row>81</row>
      <rowOff>40341</rowOff>
    </from>
    <ext cx="495537" cy="452718"/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689667" y="22547916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81</row>
      <rowOff>41774</rowOff>
    </from>
    <ext cx="447543" cy="437632"/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79986" y="22549349"/>
          <a:ext cx="447543" cy="43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219635</colOff>
      <row>120</row>
      <rowOff>123265</rowOff>
    </from>
    <ext cx="550209" cy="336176"/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383185" y="33594115"/>
          <a:ext cx="550209" cy="3361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247220</colOff>
      <row>120</row>
      <rowOff>38094</rowOff>
    </from>
    <ext cx="481162" cy="410142"/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47220" y="33508944"/>
          <a:ext cx="481162" cy="4101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242048</colOff>
      <row>159</row>
      <rowOff>75590</rowOff>
    </from>
    <ext cx="578784" cy="327822"/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405598" y="44500190"/>
          <a:ext cx="578784" cy="3278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157573</colOff>
      <row>159</row>
      <rowOff>65447</rowOff>
    </from>
    <ext cx="501893" cy="315553"/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7573" y="44490047"/>
          <a:ext cx="501893" cy="3155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398931</colOff>
      <row>41</row>
      <rowOff>152399</rowOff>
    </from>
    <ext cx="544599" cy="497541"/>
    <pic>
      <nvPicPr>
        <cNvPr id="23" name="Pictur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3562481" y="11410949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202397</colOff>
      <row>41</row>
      <rowOff>75639</rowOff>
    </from>
    <ext cx="492367" cy="481463"/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02397" y="11334189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40342</colOff>
      <row>81</row>
      <rowOff>40341</rowOff>
    </from>
    <ext cx="495537" cy="452718"/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3689667" y="22547916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81</row>
      <rowOff>41774</rowOff>
    </from>
    <ext cx="447543" cy="437632"/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79986" y="22549349"/>
          <a:ext cx="447543" cy="43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219635</colOff>
      <row>120</row>
      <rowOff>123265</rowOff>
    </from>
    <ext cx="550209" cy="336176"/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3383185" y="33594115"/>
          <a:ext cx="550209" cy="3361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247220</colOff>
      <row>120</row>
      <rowOff>38094</rowOff>
    </from>
    <ext cx="481162" cy="410142"/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47220" y="33508944"/>
          <a:ext cx="481162" cy="4101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242048</colOff>
      <row>159</row>
      <rowOff>75590</rowOff>
    </from>
    <ext cx="578784" cy="327822"/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3405598" y="44500190"/>
          <a:ext cx="578784" cy="3278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157573</colOff>
      <row>159</row>
      <rowOff>65447</rowOff>
    </from>
    <ext cx="501893" cy="315553"/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7573" y="44490047"/>
          <a:ext cx="501893" cy="3155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0</col>
      <colOff>162616</colOff>
      <row>1</row>
      <rowOff>0</rowOff>
    </from>
    <to>
      <col>1</col>
      <colOff>89647</colOff>
      <row>3</row>
      <rowOff>22412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62616" y="95250"/>
          <a:ext cx="712564" cy="51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162616</colOff>
      <row>1</row>
      <rowOff>0</rowOff>
    </from>
    <to>
      <col>1</col>
      <colOff>89647</colOff>
      <row>3</row>
      <rowOff>22412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62616" y="95250"/>
          <a:ext cx="712564" cy="51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292473</colOff>
      <row>1</row>
      <rowOff>2801</rowOff>
    </from>
    <to>
      <col>28</col>
      <colOff>392207</colOff>
      <row>3</row>
      <rowOff>33617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3522698" y="98051"/>
          <a:ext cx="585508" cy="5261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27</col>
      <colOff>292473</colOff>
      <row>1</row>
      <rowOff>2801</rowOff>
    </from>
    <to>
      <col>28</col>
      <colOff>392208</colOff>
      <row>3</row>
      <rowOff>33617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3732248" y="98051"/>
          <a:ext cx="585509" cy="5261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229852</colOff>
      <row>1</row>
      <rowOff>33617</rowOff>
    </from>
    <to>
      <col>1</col>
      <colOff>156883</colOff>
      <row>3</row>
      <rowOff>56029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9852" y="128867"/>
          <a:ext cx="708081" cy="51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27</col>
      <colOff>398931</colOff>
      <row>41</row>
      <rowOff>152399</rowOff>
    </from>
    <ext cx="544599" cy="497541"/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29156" y="11410949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202397</colOff>
      <row>41</row>
      <rowOff>75639</rowOff>
    </from>
    <ext cx="492367" cy="481463"/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02397" y="11334189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40342</colOff>
      <row>81</row>
      <rowOff>40341</rowOff>
    </from>
    <ext cx="495537" cy="452718"/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56342" y="22547916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81</row>
      <rowOff>41774</rowOff>
    </from>
    <ext cx="447543" cy="437632"/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79986" y="22549349"/>
          <a:ext cx="447543" cy="43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219635</colOff>
      <row>120</row>
      <rowOff>41186</rowOff>
    </from>
    <ext cx="550209" cy="418255"/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449860" y="33512036"/>
          <a:ext cx="550209" cy="4182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247220</colOff>
      <row>120</row>
      <rowOff>38094</rowOff>
    </from>
    <ext cx="481162" cy="410142"/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47220" y="33508944"/>
          <a:ext cx="481162" cy="4101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242048</colOff>
      <row>159</row>
      <rowOff>75590</rowOff>
    </from>
    <ext cx="578784" cy="327822"/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472273" y="44500190"/>
          <a:ext cx="578784" cy="3278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157573</colOff>
      <row>159</row>
      <rowOff>65447</rowOff>
    </from>
    <ext cx="501893" cy="315553"/>
    <pic>
      <nvPicPr>
        <cNvPr id="31" name="Pictur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7573" y="44490047"/>
          <a:ext cx="501893" cy="3155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398931</colOff>
      <row>41</row>
      <rowOff>152399</rowOff>
    </from>
    <ext cx="544599" cy="497541"/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3838706" y="11410949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202397</colOff>
      <row>41</row>
      <rowOff>75639</rowOff>
    </from>
    <ext cx="492367" cy="481463"/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02397" y="11334189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40342</colOff>
      <row>81</row>
      <rowOff>40341</rowOff>
    </from>
    <ext cx="495537" cy="452718"/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3965892" y="22547916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81</row>
      <rowOff>41774</rowOff>
    </from>
    <ext cx="447543" cy="437632"/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79986" y="22549349"/>
          <a:ext cx="447543" cy="43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219635</colOff>
      <row>120</row>
      <rowOff>41186</rowOff>
    </from>
    <ext cx="550209" cy="418255"/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3659410" y="33512036"/>
          <a:ext cx="550209" cy="4182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247220</colOff>
      <row>120</row>
      <rowOff>38094</rowOff>
    </from>
    <ext cx="481162" cy="410142"/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47220" y="33508944"/>
          <a:ext cx="481162" cy="4101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242048</colOff>
      <row>159</row>
      <rowOff>75590</rowOff>
    </from>
    <ext cx="578784" cy="327822"/>
    <pic>
      <nvPicPr>
        <cNvPr id="23" name="Pictur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3681823" y="44500190"/>
          <a:ext cx="578784" cy="3278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157573</colOff>
      <row>159</row>
      <rowOff>65447</rowOff>
    </from>
    <ext cx="501893" cy="315553"/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7573" y="44490047"/>
          <a:ext cx="501893" cy="3155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twoCellAnchor editAs="oneCell">
    <from>
      <col>0</col>
      <colOff>207439</colOff>
      <row>0</row>
      <rowOff>78441</rowOff>
    </from>
    <to>
      <col>0</col>
      <colOff>767602</colOff>
      <row>3</row>
      <rowOff>33617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07439" y="78441"/>
          <a:ext cx="560163" cy="5490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23533</colOff>
      <row>1</row>
      <rowOff>58831</rowOff>
    </from>
    <to>
      <col>29</col>
      <colOff>114864</colOff>
      <row>3</row>
      <rowOff>84680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515415" y="159684"/>
          <a:ext cx="573184" cy="5189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51549</colOff>
      <row>41</row>
      <rowOff>85164</rowOff>
    </from>
    <ext cx="544599" cy="497541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34199" y="11343714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90339</colOff>
      <row>41</row>
      <rowOff>64433</rowOff>
    </from>
    <ext cx="492367" cy="481463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339" y="11322983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152401</colOff>
      <row>81</row>
      <rowOff>51547</rowOff>
    </from>
    <ext cx="495537" cy="452718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35051" y="22559122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146369</colOff>
      <row>81</row>
      <rowOff>53229</rowOff>
    </from>
    <ext cx="369572" cy="361388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6369" y="22560804"/>
          <a:ext cx="369572" cy="361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118783</colOff>
      <row>120</row>
      <rowOff>41186</rowOff>
    </from>
    <ext cx="421018" cy="384638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701433" y="33512036"/>
          <a:ext cx="421018" cy="384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168779</colOff>
      <row>120</row>
      <rowOff>34704</rowOff>
    </from>
    <ext cx="357897" cy="349972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779" y="33505554"/>
          <a:ext cx="357897" cy="349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96371</colOff>
      <row>159</row>
      <rowOff>53178</rowOff>
    </from>
    <ext cx="441511" cy="403361"/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679021" y="44477778"/>
          <a:ext cx="441511" cy="403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159</row>
      <rowOff>43035</rowOff>
    </from>
    <ext cx="369104" cy="360930"/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9986" y="44467635"/>
          <a:ext cx="369104" cy="360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twoCellAnchor editAs="oneCell">
    <from>
      <col>0</col>
      <colOff>207439</colOff>
      <row>0</row>
      <rowOff>78441</rowOff>
    </from>
    <to>
      <col>0</col>
      <colOff>769843</colOff>
      <row>3</row>
      <rowOff>33617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07439" y="78441"/>
          <a:ext cx="560163" cy="5457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23533</colOff>
      <row>1</row>
      <rowOff>58831</rowOff>
    </from>
    <to>
      <col>29</col>
      <colOff>114864</colOff>
      <row>3</row>
      <rowOff>84680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06183" y="154081"/>
          <a:ext cx="577106" cy="521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51549</colOff>
      <row>41</row>
      <rowOff>85164</rowOff>
    </from>
    <ext cx="544599" cy="497541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34199" y="11343714"/>
          <a:ext cx="544599" cy="4975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90339</colOff>
      <row>41</row>
      <rowOff>64433</rowOff>
    </from>
    <ext cx="492367" cy="481463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339" y="11322983"/>
          <a:ext cx="492367" cy="481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152401</colOff>
      <row>81</row>
      <rowOff>51547</rowOff>
    </from>
    <ext cx="495537" cy="452718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35051" y="22559122"/>
          <a:ext cx="495537" cy="45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146369</colOff>
      <row>81</row>
      <rowOff>53229</rowOff>
    </from>
    <ext cx="369572" cy="361388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6369" y="22560804"/>
          <a:ext cx="369572" cy="361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118783</colOff>
      <row>120</row>
      <rowOff>41186</rowOff>
    </from>
    <ext cx="421018" cy="384638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701433" y="33512036"/>
          <a:ext cx="421018" cy="384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168779</colOff>
      <row>120</row>
      <rowOff>34704</rowOff>
    </from>
    <ext cx="357897" cy="349972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779" y="33505554"/>
          <a:ext cx="357897" cy="349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96371</colOff>
      <row>159</row>
      <rowOff>53178</rowOff>
    </from>
    <ext cx="441511" cy="403361"/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679021" y="44477778"/>
          <a:ext cx="441511" cy="4033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179986</colOff>
      <row>159</row>
      <rowOff>43035</rowOff>
    </from>
    <ext cx="369104" cy="360930"/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9986" y="44467635"/>
          <a:ext cx="369104" cy="360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FF008000"/>
    <outlinePr summaryBelow="1" summaryRight="1"/>
    <pageSetUpPr/>
  </sheetPr>
  <dimension ref="A2:AD196"/>
  <sheetViews>
    <sheetView view="pageBreakPreview" topLeftCell="D158" zoomScaleNormal="100" zoomScaleSheetLayoutView="100" workbookViewId="0">
      <selection activeCell="A181" sqref="A181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8.88671875" customWidth="1" min="13" max="13"/>
    <col width="7.33203125" customWidth="1" min="14" max="14"/>
    <col width="6.33203125" customWidth="1" min="15" max="15"/>
    <col width="5.33203125" customWidth="1" min="16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35" t="inlineStr">
        <is>
          <t xml:space="preserve">KMC Leprosy Hospital 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8" t="inlineStr">
        <is>
          <t>Manghopir</t>
        </is>
      </c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145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 ht="26.25" customHeight="1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26" t="n">
        <v>0</v>
      </c>
      <c r="M11" s="45" t="n"/>
      <c r="N11" s="26" t="n">
        <v>0</v>
      </c>
      <c r="O11" s="45" t="n"/>
      <c r="P11" s="26" t="n">
        <v>0</v>
      </c>
      <c r="Q11" s="33" t="n"/>
      <c r="R11" s="45" t="n"/>
      <c r="S11" s="67" t="n">
        <v>0</v>
      </c>
      <c r="T11" s="33" t="n"/>
      <c r="U11" s="45" t="n"/>
      <c r="V11" s="26" t="n">
        <v>0</v>
      </c>
      <c r="W11" s="33" t="n"/>
      <c r="X11" s="45" t="n"/>
      <c r="Y11" s="26" t="n">
        <v>0</v>
      </c>
      <c r="Z11" s="45" t="n"/>
      <c r="AA11" s="26" t="n">
        <v>0</v>
      </c>
      <c r="AB11" s="45" t="n"/>
      <c r="AC11" s="67" t="n">
        <v>0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26" t="n">
        <v>0</v>
      </c>
      <c r="M12" s="45" t="n"/>
      <c r="N12" s="26" t="n">
        <v>0</v>
      </c>
      <c r="O12" s="45" t="n"/>
      <c r="P12" s="26" t="n">
        <v>0</v>
      </c>
      <c r="Q12" s="33" t="n"/>
      <c r="R12" s="45" t="n"/>
      <c r="S12" s="67" t="n">
        <v>0</v>
      </c>
      <c r="T12" s="33" t="n"/>
      <c r="U12" s="45" t="n"/>
      <c r="V12" s="26" t="n">
        <v>0</v>
      </c>
      <c r="W12" s="33" t="n"/>
      <c r="X12" s="45" t="n"/>
      <c r="Y12" s="26" t="n">
        <v>0</v>
      </c>
      <c r="Z12" s="45" t="n"/>
      <c r="AA12" s="26" t="n">
        <v>0</v>
      </c>
      <c r="AB12" s="45" t="n"/>
      <c r="AC12" s="67" t="n">
        <v>0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26" t="n">
        <v>0</v>
      </c>
      <c r="M13" s="45" t="n"/>
      <c r="N13" s="26" t="n">
        <v>0</v>
      </c>
      <c r="O13" s="45" t="n"/>
      <c r="P13" s="26" t="n">
        <v>0</v>
      </c>
      <c r="Q13" s="33" t="n"/>
      <c r="R13" s="45" t="n"/>
      <c r="S13" s="67" t="n">
        <v>0</v>
      </c>
      <c r="T13" s="33" t="n"/>
      <c r="U13" s="45" t="n"/>
      <c r="V13" s="26" t="n">
        <v>0</v>
      </c>
      <c r="W13" s="33" t="n"/>
      <c r="X13" s="45" t="n"/>
      <c r="Y13" s="26" t="n">
        <v>0</v>
      </c>
      <c r="Z13" s="45" t="n"/>
      <c r="AA13" s="26" t="n">
        <v>0</v>
      </c>
      <c r="AB13" s="45" t="n"/>
      <c r="AC13" s="67" t="n">
        <v>0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26" t="n">
        <v>0</v>
      </c>
      <c r="M14" s="45" t="n"/>
      <c r="N14" s="26" t="n">
        <v>0</v>
      </c>
      <c r="O14" s="45" t="n"/>
      <c r="P14" s="26" t="n">
        <v>0</v>
      </c>
      <c r="Q14" s="33" t="n"/>
      <c r="R14" s="45" t="n"/>
      <c r="S14" s="67" t="n">
        <v>0</v>
      </c>
      <c r="T14" s="33" t="n"/>
      <c r="U14" s="45" t="n"/>
      <c r="V14" s="26" t="n">
        <v>0</v>
      </c>
      <c r="W14" s="33" t="n"/>
      <c r="X14" s="45" t="n"/>
      <c r="Y14" s="26" t="n">
        <v>0</v>
      </c>
      <c r="Z14" s="45" t="n"/>
      <c r="AA14" s="26" t="n">
        <v>0</v>
      </c>
      <c r="AB14" s="45" t="n"/>
      <c r="AC14" s="67" t="n">
        <v>0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67" t="n">
        <v>0</v>
      </c>
      <c r="M15" s="45" t="n"/>
      <c r="N15" s="67" t="n">
        <v>0</v>
      </c>
      <c r="O15" s="45" t="n"/>
      <c r="P15" s="67" t="n">
        <v>0</v>
      </c>
      <c r="Q15" s="33" t="n"/>
      <c r="R15" s="45" t="n"/>
      <c r="S15" s="67" t="n">
        <v>0</v>
      </c>
      <c r="T15" s="33" t="n"/>
      <c r="U15" s="45" t="n"/>
      <c r="V15" s="67" t="n">
        <v>0</v>
      </c>
      <c r="W15" s="33" t="n"/>
      <c r="X15" s="45" t="n"/>
      <c r="Y15" s="67" t="n">
        <v>0</v>
      </c>
      <c r="Z15" s="45" t="n"/>
      <c r="AA15" s="67" t="n">
        <v>0</v>
      </c>
      <c r="AB15" s="45" t="n"/>
      <c r="AC15" s="67" t="n">
        <v>0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67" t="n">
        <v>0</v>
      </c>
      <c r="AC19" s="67" t="n">
        <v>0</v>
      </c>
      <c r="AD19" s="67" t="n">
        <v>0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67" t="n">
        <v>0</v>
      </c>
      <c r="AC20" s="67" t="n">
        <v>0</v>
      </c>
      <c r="AD20" s="67" t="n">
        <v>0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67" t="n">
        <v>0</v>
      </c>
      <c r="AC21" s="67" t="n">
        <v>0</v>
      </c>
      <c r="AD21" s="67" t="n">
        <v>0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6" t="n">
        <v>0</v>
      </c>
      <c r="AB22" s="67" t="n">
        <v>0</v>
      </c>
      <c r="AC22" s="67" t="n">
        <v>0</v>
      </c>
      <c r="AD22" s="67" t="n">
        <v>0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67" t="n">
        <v>0</v>
      </c>
      <c r="M23" s="67" t="n">
        <v>0</v>
      </c>
      <c r="N23" s="67" t="n">
        <v>0</v>
      </c>
      <c r="O23" s="67" t="n">
        <v>0</v>
      </c>
      <c r="P23" s="67" t="n">
        <v>0</v>
      </c>
      <c r="Q23" s="67" t="n">
        <v>0</v>
      </c>
      <c r="R23" s="67" t="n">
        <v>0</v>
      </c>
      <c r="S23" s="67" t="n">
        <v>0</v>
      </c>
      <c r="T23" s="67" t="n">
        <v>0</v>
      </c>
      <c r="U23" s="67" t="n">
        <v>0</v>
      </c>
      <c r="V23" s="67" t="n">
        <v>0</v>
      </c>
      <c r="W23" s="67" t="n">
        <v>0</v>
      </c>
      <c r="X23" s="67" t="n">
        <v>0</v>
      </c>
      <c r="Y23" s="67" t="n">
        <v>0</v>
      </c>
      <c r="Z23" s="67" t="n">
        <v>0</v>
      </c>
      <c r="AA23" s="67" t="n">
        <v>0</v>
      </c>
      <c r="AB23" s="67" t="n">
        <v>0</v>
      </c>
      <c r="AC23" s="67" t="n">
        <v>0</v>
      </c>
      <c r="AD23" s="67" t="n">
        <v>0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143" t="n">
        <v>0</v>
      </c>
      <c r="P27" s="33" t="n"/>
      <c r="Q27" s="33" t="n"/>
      <c r="R27" s="33" t="n"/>
      <c r="S27" s="143" t="n">
        <v>0</v>
      </c>
      <c r="T27" s="33" t="n"/>
      <c r="U27" s="33" t="n"/>
      <c r="V27" s="33" t="n"/>
      <c r="W27" s="143" t="n">
        <v>0</v>
      </c>
      <c r="X27" s="33" t="n"/>
      <c r="Y27" s="33" t="n"/>
      <c r="Z27" s="33" t="n"/>
      <c r="AA27" s="143" t="n">
        <v>0</v>
      </c>
      <c r="AB27" s="33" t="n"/>
      <c r="AC27" s="33" t="n"/>
      <c r="AD27" s="33" t="n"/>
    </row>
    <row r="28" ht="38.25" customHeight="1">
      <c r="A28" s="154" t="n">
        <v>0</v>
      </c>
      <c r="B28" s="154" t="n">
        <v>0</v>
      </c>
      <c r="C28" s="154" t="n">
        <v>0</v>
      </c>
      <c r="D28" s="154" t="n">
        <v>0</v>
      </c>
      <c r="E28" s="154" t="n">
        <v>0</v>
      </c>
      <c r="F28" s="154" t="n">
        <v>0</v>
      </c>
      <c r="G28" s="165" t="n">
        <v>0</v>
      </c>
      <c r="H28" s="154" t="n">
        <v>0</v>
      </c>
      <c r="I28" s="154" t="n">
        <v>0</v>
      </c>
      <c r="J28" s="154" t="n">
        <v>0</v>
      </c>
      <c r="K28" s="165" t="n">
        <v>0</v>
      </c>
      <c r="L28" s="154" t="n">
        <v>0</v>
      </c>
      <c r="M28" s="154" t="n">
        <v>0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54" t="n">
        <v>0</v>
      </c>
      <c r="P29" s="178" t="n"/>
      <c r="Q29" s="178" t="n"/>
      <c r="R29" s="179" t="n"/>
      <c r="S29" s="154" t="n">
        <v>0</v>
      </c>
      <c r="T29" s="178" t="n"/>
      <c r="U29" s="178" t="n"/>
      <c r="V29" s="179" t="n"/>
      <c r="W29" s="154" t="n"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41" t="n">
        <v>0</v>
      </c>
      <c r="AC30" s="55" t="n">
        <v>0</v>
      </c>
      <c r="AD30" s="55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41" t="n">
        <v>0</v>
      </c>
      <c r="AC31" s="55" t="n">
        <v>0</v>
      </c>
      <c r="AD31" s="55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41" t="n">
        <v>0</v>
      </c>
      <c r="AC32" s="55" t="n">
        <v>0</v>
      </c>
      <c r="AD32" s="55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154" t="n">
        <v>0</v>
      </c>
      <c r="Z39" s="154" t="n">
        <v>0</v>
      </c>
      <c r="AA39" s="154" t="n">
        <v>0</v>
      </c>
      <c r="AB39" s="154" t="n">
        <v>0</v>
      </c>
      <c r="AC39" s="154" t="n">
        <v>0</v>
      </c>
      <c r="AD39" s="154" t="n">
        <v>0</v>
      </c>
    </row>
    <row r="40" ht="24.9" customHeight="1">
      <c r="A40" s="165" t="inlineStr">
        <is>
          <t>Previously treated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51" t="n"/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17" t="inlineStr">
        <is>
          <t>3HR</t>
        </is>
      </c>
      <c r="Y40" s="26" t="n">
        <v>0</v>
      </c>
      <c r="Z40" s="26" t="n">
        <v>0</v>
      </c>
      <c r="AA40" s="26" t="n">
        <v>0</v>
      </c>
      <c r="AB40" s="26" t="n">
        <v>0</v>
      </c>
      <c r="AC40" s="26" t="n">
        <v>0</v>
      </c>
      <c r="AD40" s="26" t="n">
        <v>0</v>
      </c>
    </row>
    <row r="41" ht="24.9" customHeight="1">
      <c r="A41" s="67" t="inlineStr">
        <is>
          <t>Total</t>
        </is>
      </c>
      <c r="B41" s="67" t="n">
        <v>0</v>
      </c>
      <c r="C41" s="67" t="n">
        <v>0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26" t="n">
        <v>0</v>
      </c>
      <c r="Z41" s="26" t="n">
        <v>0</v>
      </c>
      <c r="AA41" s="26" t="n">
        <v>0</v>
      </c>
      <c r="AB41" s="26" t="n">
        <v>0</v>
      </c>
      <c r="AC41" s="26" t="n">
        <v>0</v>
      </c>
      <c r="AD41" s="26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35" t="inlineStr">
        <is>
          <t xml:space="preserve">KMC Leprosy Hospital 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8" t="inlineStr">
        <is>
          <t>Manghopir</t>
        </is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145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 ht="15" customHeight="1">
      <c r="A47" s="177" t="inlineStr">
        <is>
          <t xml:space="preserve">Block 1: </t>
        </is>
      </c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9" t="n"/>
      <c r="L47" s="67" t="inlineStr">
        <is>
          <t>New (N)</t>
        </is>
      </c>
      <c r="M47" s="179" t="n"/>
      <c r="N47" s="67" t="inlineStr">
        <is>
          <t>Relapse ®</t>
        </is>
      </c>
      <c r="O47" s="179" t="n"/>
      <c r="P47" s="165" t="inlineStr">
        <is>
          <t>Previous Treatment History Unknown
(UK)</t>
        </is>
      </c>
      <c r="Q47" s="178" t="n"/>
      <c r="R47" s="179" t="n"/>
      <c r="S47" s="165" t="inlineStr">
        <is>
          <t>New episode
(N+R+UK)</t>
        </is>
      </c>
      <c r="T47" s="178" t="n"/>
      <c r="U47" s="179" t="n"/>
      <c r="V47" s="67" t="inlineStr">
        <is>
          <t>Re - registered Cases ( Excluding Recurrent cases)</t>
        </is>
      </c>
      <c r="W47" s="33" t="n"/>
      <c r="X47" s="33" t="n"/>
      <c r="Y47" s="33" t="n"/>
      <c r="Z47" s="33" t="n"/>
      <c r="AA47" s="33" t="n"/>
      <c r="AB47" s="45" t="n"/>
      <c r="AC47" s="67" t="inlineStr">
        <is>
          <t>Total</t>
        </is>
      </c>
      <c r="AD47" s="179" t="n"/>
    </row>
    <row r="48" ht="23.25" customHeight="1">
      <c r="A48" s="180" t="inlineStr">
        <is>
          <t>All TB Cases Registered</t>
        </is>
      </c>
      <c r="K48" s="181" t="n"/>
      <c r="L48" s="182" t="n"/>
      <c r="M48" s="181" t="n"/>
      <c r="N48" s="182" t="n"/>
      <c r="O48" s="181" t="n"/>
      <c r="P48" s="182" t="n"/>
      <c r="R48" s="181" t="n"/>
      <c r="S48" s="182" t="n"/>
      <c r="U48" s="181" t="n"/>
      <c r="V48" s="165" t="inlineStr">
        <is>
          <t>Treatment after failure</t>
        </is>
      </c>
      <c r="W48" s="178" t="n"/>
      <c r="X48" s="179" t="n"/>
      <c r="Y48" s="165" t="inlineStr">
        <is>
          <t>Treatment after lost to follow-up</t>
        </is>
      </c>
      <c r="Z48" s="179" t="n"/>
      <c r="AA48" s="165" t="inlineStr">
        <is>
          <t>Other</t>
        </is>
      </c>
      <c r="AB48" s="179" t="n"/>
      <c r="AC48" s="182" t="n"/>
      <c r="AD48" s="181" t="n"/>
    </row>
    <row r="49">
      <c r="A49" s="183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184" t="n"/>
      <c r="L49" s="183" t="n"/>
      <c r="M49" s="184" t="n"/>
      <c r="N49" s="183" t="n"/>
      <c r="O49" s="184" t="n"/>
      <c r="P49" s="183" t="n"/>
      <c r="Q49" s="22" t="n"/>
      <c r="R49" s="184" t="n"/>
      <c r="S49" s="183" t="n"/>
      <c r="T49" s="22" t="n"/>
      <c r="U49" s="184" t="n"/>
      <c r="V49" s="183" t="n"/>
      <c r="W49" s="22" t="n"/>
      <c r="X49" s="184" t="n"/>
      <c r="Y49" s="183" t="n"/>
      <c r="Z49" s="184" t="n"/>
      <c r="AA49" s="183" t="n"/>
      <c r="AB49" s="184" t="n"/>
      <c r="AC49" s="183" t="n"/>
      <c r="AD49" s="184" t="n"/>
    </row>
    <row r="50" ht="24.9" customHeight="1">
      <c r="A50" s="185" t="inlineStr">
        <is>
          <t>Pulmonary, Bacteriologically Confermid</t>
        </is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45" t="n"/>
      <c r="L50" s="26" t="n">
        <v>0</v>
      </c>
      <c r="M50" s="45" t="n"/>
      <c r="N50" s="26" t="n">
        <v>0</v>
      </c>
      <c r="O50" s="45" t="n"/>
      <c r="P50" s="26" t="n">
        <v>0</v>
      </c>
      <c r="Q50" s="33" t="n"/>
      <c r="R50" s="45" t="n"/>
      <c r="S50" s="67" t="n">
        <v>0</v>
      </c>
      <c r="T50" s="33" t="n"/>
      <c r="U50" s="45" t="n"/>
      <c r="V50" s="26" t="n">
        <v>0</v>
      </c>
      <c r="W50" s="33" t="n"/>
      <c r="X50" s="45" t="n"/>
      <c r="Y50" s="26" t="n">
        <v>0</v>
      </c>
      <c r="Z50" s="45" t="n"/>
      <c r="AA50" s="26" t="n">
        <v>0</v>
      </c>
      <c r="AB50" s="45" t="n"/>
      <c r="AC50" s="67" t="n">
        <v>0</v>
      </c>
      <c r="AD50" s="45" t="n"/>
    </row>
    <row r="51" ht="24.9" customHeight="1">
      <c r="A51" s="185" t="inlineStr">
        <is>
          <t>Pulmonary , Clinically Diagnosed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26" t="n">
        <v>0</v>
      </c>
      <c r="M51" s="45" t="n"/>
      <c r="N51" s="26" t="n">
        <v>0</v>
      </c>
      <c r="O51" s="45" t="n"/>
      <c r="P51" s="26" t="n">
        <v>0</v>
      </c>
      <c r="Q51" s="33" t="n"/>
      <c r="R51" s="45" t="n"/>
      <c r="S51" s="67" t="n">
        <v>0</v>
      </c>
      <c r="T51" s="33" t="n"/>
      <c r="U51" s="45" t="n"/>
      <c r="V51" s="26" t="n">
        <v>0</v>
      </c>
      <c r="W51" s="33" t="n"/>
      <c r="X51" s="45" t="n"/>
      <c r="Y51" s="26" t="n">
        <v>0</v>
      </c>
      <c r="Z51" s="45" t="n"/>
      <c r="AA51" s="26" t="n">
        <v>0</v>
      </c>
      <c r="AB51" s="45" t="n"/>
      <c r="AC51" s="67" t="n">
        <v>0</v>
      </c>
      <c r="AD51" s="45" t="n"/>
    </row>
    <row r="52" ht="24.9" customHeight="1">
      <c r="A52" s="185" t="inlineStr">
        <is>
          <t>Extra Pulmonary, Bacteriologically Confermid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26" t="n">
        <v>0</v>
      </c>
      <c r="M52" s="45" t="n"/>
      <c r="N52" s="26" t="n">
        <v>0</v>
      </c>
      <c r="O52" s="45" t="n"/>
      <c r="P52" s="26" t="n">
        <v>0</v>
      </c>
      <c r="Q52" s="33" t="n"/>
      <c r="R52" s="45" t="n"/>
      <c r="S52" s="67" t="n">
        <v>0</v>
      </c>
      <c r="T52" s="33" t="n"/>
      <c r="U52" s="45" t="n"/>
      <c r="V52" s="26" t="n">
        <v>0</v>
      </c>
      <c r="W52" s="33" t="n"/>
      <c r="X52" s="45" t="n"/>
      <c r="Y52" s="26" t="n">
        <v>0</v>
      </c>
      <c r="Z52" s="45" t="n"/>
      <c r="AA52" s="26" t="n">
        <v>0</v>
      </c>
      <c r="AB52" s="45" t="n"/>
      <c r="AC52" s="67" t="n">
        <v>0</v>
      </c>
      <c r="AD52" s="45" t="n"/>
    </row>
    <row r="53" ht="24.9" customHeight="1">
      <c r="A53" s="185" t="inlineStr">
        <is>
          <t>Extra Pulmonary , Clinically Diagnosed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26" t="n">
        <v>0</v>
      </c>
      <c r="M53" s="45" t="n"/>
      <c r="N53" s="26" t="n">
        <v>0</v>
      </c>
      <c r="O53" s="45" t="n"/>
      <c r="P53" s="26" t="n">
        <v>0</v>
      </c>
      <c r="Q53" s="33" t="n"/>
      <c r="R53" s="45" t="n"/>
      <c r="S53" s="67" t="n">
        <v>0</v>
      </c>
      <c r="T53" s="33" t="n"/>
      <c r="U53" s="45" t="n"/>
      <c r="V53" s="26" t="n">
        <v>0</v>
      </c>
      <c r="W53" s="33" t="n"/>
      <c r="X53" s="45" t="n"/>
      <c r="Y53" s="26" t="n">
        <v>0</v>
      </c>
      <c r="Z53" s="45" t="n"/>
      <c r="AA53" s="26" t="n">
        <v>0</v>
      </c>
      <c r="AB53" s="45" t="n"/>
      <c r="AC53" s="67" t="n">
        <v>0</v>
      </c>
      <c r="AD53" s="45" t="n"/>
    </row>
    <row r="54" ht="24.9" customHeight="1">
      <c r="A54" s="185" t="inlineStr">
        <is>
          <t>Total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67" t="n">
        <v>0</v>
      </c>
      <c r="M54" s="45" t="n"/>
      <c r="N54" s="67" t="n">
        <v>0</v>
      </c>
      <c r="O54" s="45" t="n"/>
      <c r="P54" s="67" t="n">
        <v>0</v>
      </c>
      <c r="Q54" s="33" t="n"/>
      <c r="R54" s="45" t="n"/>
      <c r="S54" s="67" t="n">
        <v>0</v>
      </c>
      <c r="T54" s="33" t="n"/>
      <c r="U54" s="45" t="n"/>
      <c r="V54" s="67" t="n">
        <v>0</v>
      </c>
      <c r="W54" s="33" t="n"/>
      <c r="X54" s="45" t="n"/>
      <c r="Y54" s="67" t="n">
        <v>0</v>
      </c>
      <c r="Z54" s="45" t="n"/>
      <c r="AA54" s="67" t="n">
        <v>0</v>
      </c>
      <c r="AB54" s="45" t="n"/>
      <c r="AC54" s="67" t="n">
        <v>0</v>
      </c>
      <c r="AD54" s="45" t="n"/>
    </row>
    <row r="55" ht="15.6" customHeight="1">
      <c r="A55" s="23" t="inlineStr">
        <is>
          <t>Block 2: All New, Relapse and previous treatment history unknown Cases registered during the period by Age Group and Gender</t>
        </is>
      </c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5" t="n"/>
    </row>
    <row r="56" ht="21.75" customHeight="1">
      <c r="A56" s="186" t="n"/>
      <c r="B56" s="178" t="n"/>
      <c r="C56" s="178" t="n"/>
      <c r="D56" s="178" t="n"/>
      <c r="E56" s="178" t="n"/>
      <c r="F56" s="178" t="n"/>
      <c r="G56" s="178" t="n"/>
      <c r="H56" s="178" t="n"/>
      <c r="I56" s="178" t="n"/>
      <c r="J56" s="178" t="n"/>
      <c r="K56" s="179" t="n"/>
      <c r="L56" s="67" t="inlineStr">
        <is>
          <t>0-4</t>
        </is>
      </c>
      <c r="M56" s="45" t="n"/>
      <c r="N56" s="187" t="inlineStr">
        <is>
          <t>5-14</t>
        </is>
      </c>
      <c r="O56" s="45" t="n"/>
      <c r="P56" s="188" t="inlineStr">
        <is>
          <t>15-24</t>
        </is>
      </c>
      <c r="Q56" s="45" t="n"/>
      <c r="R56" s="188" t="inlineStr">
        <is>
          <t>25-34</t>
        </is>
      </c>
      <c r="S56" s="45" t="n"/>
      <c r="T56" s="188" t="inlineStr">
        <is>
          <t>35-44</t>
        </is>
      </c>
      <c r="U56" s="45" t="n"/>
      <c r="V56" s="188" t="inlineStr">
        <is>
          <t>45-54</t>
        </is>
      </c>
      <c r="W56" s="45" t="n"/>
      <c r="X56" s="188" t="inlineStr">
        <is>
          <t>55-64</t>
        </is>
      </c>
      <c r="Y56" s="45" t="n"/>
      <c r="Z56" s="188" t="inlineStr">
        <is>
          <t>65 &amp; Above</t>
        </is>
      </c>
      <c r="AA56" s="45" t="n"/>
      <c r="AB56" s="188" t="inlineStr">
        <is>
          <t>Total</t>
        </is>
      </c>
      <c r="AC56" s="45" t="n"/>
      <c r="AD56" s="189" t="inlineStr">
        <is>
          <t>Grand
Total</t>
        </is>
      </c>
    </row>
    <row r="57">
      <c r="A57" s="183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184" t="n"/>
      <c r="L57" s="67" t="inlineStr">
        <is>
          <t>M</t>
        </is>
      </c>
      <c r="M57" s="67" t="inlineStr">
        <is>
          <t>F</t>
        </is>
      </c>
      <c r="N57" s="67" t="inlineStr">
        <is>
          <t>M</t>
        </is>
      </c>
      <c r="O57" s="67" t="inlineStr">
        <is>
          <t>F</t>
        </is>
      </c>
      <c r="P57" s="67" t="inlineStr">
        <is>
          <t>M</t>
        </is>
      </c>
      <c r="Q57" s="67" t="inlineStr">
        <is>
          <t>F</t>
        </is>
      </c>
      <c r="R57" s="67" t="inlineStr">
        <is>
          <t>M</t>
        </is>
      </c>
      <c r="S57" s="67" t="inlineStr">
        <is>
          <t>F</t>
        </is>
      </c>
      <c r="T57" s="67" t="inlineStr">
        <is>
          <t>M</t>
        </is>
      </c>
      <c r="U57" s="67" t="inlineStr">
        <is>
          <t>F</t>
        </is>
      </c>
      <c r="V57" s="67" t="inlineStr">
        <is>
          <t>M</t>
        </is>
      </c>
      <c r="W57" s="67" t="inlineStr">
        <is>
          <t>F</t>
        </is>
      </c>
      <c r="X57" s="67" t="inlineStr">
        <is>
          <t>M</t>
        </is>
      </c>
      <c r="Y57" s="67" t="inlineStr">
        <is>
          <t>F</t>
        </is>
      </c>
      <c r="Z57" s="67" t="inlineStr">
        <is>
          <t>M</t>
        </is>
      </c>
      <c r="AA57" s="67" t="inlineStr">
        <is>
          <t>F</t>
        </is>
      </c>
      <c r="AB57" s="67" t="inlineStr">
        <is>
          <t>M</t>
        </is>
      </c>
      <c r="AC57" s="67" t="inlineStr">
        <is>
          <t>F</t>
        </is>
      </c>
      <c r="AD57" s="190" t="n"/>
    </row>
    <row r="58" ht="24.9" customHeight="1">
      <c r="A58" s="185" t="inlineStr">
        <is>
          <t>Pulmonary, Bacteriologically Confermid</t>
        </is>
      </c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45" t="n"/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67" t="n">
        <v>0</v>
      </c>
      <c r="AC58" s="67" t="n">
        <v>0</v>
      </c>
      <c r="AD58" s="67" t="n">
        <v>0</v>
      </c>
    </row>
    <row r="59" ht="24.9" customHeight="1">
      <c r="A59" s="185" t="inlineStr">
        <is>
          <t>Pulmonary , Clinically Diagnosed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67" t="n">
        <v>0</v>
      </c>
      <c r="AC59" s="67" t="n">
        <v>0</v>
      </c>
      <c r="AD59" s="67" t="n">
        <v>0</v>
      </c>
    </row>
    <row r="60" ht="24.9" customHeight="1">
      <c r="A60" s="185" t="inlineStr">
        <is>
          <t>Extra Pulmonary, Bacteriologically Confermid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67" t="n">
        <v>0</v>
      </c>
      <c r="AC60" s="67" t="n">
        <v>0</v>
      </c>
      <c r="AD60" s="67" t="n">
        <v>0</v>
      </c>
    </row>
    <row r="61" ht="24.9" customHeight="1">
      <c r="A61" s="185" t="inlineStr">
        <is>
          <t>Extra Pulmonary , Clinically Diagnosed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67" t="n">
        <v>0</v>
      </c>
      <c r="AC61" s="67" t="n">
        <v>0</v>
      </c>
      <c r="AD61" s="67" t="n">
        <v>0</v>
      </c>
    </row>
    <row r="62" ht="24.9" customHeight="1">
      <c r="A62" s="67" t="inlineStr">
        <is>
          <t>Total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0</v>
      </c>
      <c r="Q62" s="67" t="n">
        <v>0</v>
      </c>
      <c r="R62" s="67" t="n">
        <v>0</v>
      </c>
      <c r="S62" s="67" t="n">
        <v>0</v>
      </c>
      <c r="T62" s="67" t="n">
        <v>0</v>
      </c>
      <c r="U62" s="67" t="n">
        <v>0</v>
      </c>
      <c r="V62" s="67" t="n">
        <v>0</v>
      </c>
      <c r="W62" s="67" t="n">
        <v>0</v>
      </c>
      <c r="X62" s="67" t="n">
        <v>0</v>
      </c>
      <c r="Y62" s="67" t="n">
        <v>0</v>
      </c>
      <c r="Z62" s="67" t="n">
        <v>0</v>
      </c>
      <c r="AA62" s="67" t="n">
        <v>0</v>
      </c>
      <c r="AB62" s="67" t="n">
        <v>0</v>
      </c>
      <c r="AC62" s="67" t="n">
        <v>0</v>
      </c>
      <c r="AD62" s="67" t="n">
        <v>0</v>
      </c>
    </row>
    <row r="63" ht="6.75" customHeight="1">
      <c r="A63" s="27" t="n"/>
      <c r="B63" s="28" t="n"/>
      <c r="C63" s="28" t="n"/>
      <c r="D63" s="28" t="n"/>
      <c r="E63" s="28" t="n"/>
      <c r="F63" s="29" t="n"/>
      <c r="G63" s="29" t="n"/>
      <c r="H63" s="30" t="n"/>
      <c r="I63" s="30" t="n"/>
      <c r="J63" s="30" t="n"/>
      <c r="K63" s="30" t="n"/>
      <c r="L63" s="30" t="n"/>
      <c r="M63" s="30" t="n"/>
      <c r="N63" s="31" t="n"/>
      <c r="O63" s="30" t="n"/>
      <c r="P63" s="87" t="n"/>
      <c r="Q63" s="45" t="n"/>
      <c r="R63" s="32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3" t="n"/>
    </row>
    <row r="64" ht="18" customHeight="1">
      <c r="A64" s="34" t="inlineStr">
        <is>
          <t>Block 3: Presumptive TB Cases Identified Laboratory Diagnosis and use of WRD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6" t="n"/>
      <c r="N64" s="37" t="n"/>
      <c r="O64" s="34" t="inlineStr">
        <is>
          <t>Block 4 :  TB HIV  Activities</t>
        </is>
      </c>
      <c r="P64" s="35" t="n"/>
      <c r="Q64" s="35" t="n"/>
      <c r="R64" s="35" t="n"/>
      <c r="S64" s="35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25" t="n"/>
    </row>
    <row r="65" ht="42.75" customHeight="1">
      <c r="A65" s="6" t="inlineStr">
        <is>
          <t>Total
New OPD in Quarter</t>
        </is>
      </c>
      <c r="B65" s="88" t="inlineStr">
        <is>
          <t>No. of presumptive TB cases identified</t>
        </is>
      </c>
      <c r="C65" s="179" t="n"/>
      <c r="D65" s="6" t="inlineStr">
        <is>
          <t>No. of Presumptive TB
Patients tested 
Using</t>
        </is>
      </c>
      <c r="E65" s="33" t="n"/>
      <c r="F65" s="33" t="n"/>
      <c r="G65" s="45" t="n"/>
      <c r="H65" s="6" t="inlineStr">
        <is>
          <t>Among Presumptive 
TB cases tested  number reported B+</t>
        </is>
      </c>
      <c r="I65" s="33" t="n"/>
      <c r="J65" s="33" t="n"/>
      <c r="K65" s="45" t="n"/>
      <c r="L65" s="6" t="inlineStr">
        <is>
          <t>Among all
registered
number of
B+ TB
Cases</t>
        </is>
      </c>
      <c r="M65" s="6" t="inlineStr">
        <is>
          <t>Amoung All
(N+R+UK)
number tested
by Gene Xpert</t>
        </is>
      </c>
      <c r="N65" s="5" t="n"/>
      <c r="O65" s="165" t="inlineStr">
        <is>
          <t>No. of TB patients
tested for HIV</t>
        </is>
      </c>
      <c r="P65" s="33" t="n"/>
      <c r="Q65" s="33" t="n"/>
      <c r="R65" s="45" t="n"/>
      <c r="S65" s="165" t="inlineStr">
        <is>
          <t>HIV Reactive</t>
        </is>
      </c>
      <c r="T65" s="33" t="n"/>
      <c r="U65" s="33" t="n"/>
      <c r="V65" s="45" t="n"/>
      <c r="W65" s="165" t="inlineStr">
        <is>
          <t>TB Patients confirmed
positive for HIV</t>
        </is>
      </c>
      <c r="X65" s="33" t="n"/>
      <c r="Y65" s="33" t="n"/>
      <c r="Z65" s="45" t="n"/>
      <c r="AA65" s="165" t="inlineStr">
        <is>
          <t>HIV positive TB Patients put on ART</t>
        </is>
      </c>
      <c r="AB65" s="33" t="n"/>
      <c r="AC65" s="33" t="n"/>
      <c r="AD65" s="45" t="n"/>
    </row>
    <row r="66" ht="48" customHeight="1">
      <c r="A66" s="190" t="n"/>
      <c r="B66" s="6" t="inlineStr">
        <is>
          <t>Total</t>
        </is>
      </c>
      <c r="C66" s="88" t="inlineStr">
        <is>
          <t>Through
Community
Referrals (LHWs)</t>
        </is>
      </c>
      <c r="D66" s="88" t="inlineStr">
        <is>
          <t>AFB</t>
        </is>
      </c>
      <c r="E66" s="88" t="inlineStr">
        <is>
          <t>Xp &amp;
AFB</t>
        </is>
      </c>
      <c r="F66" s="88" t="inlineStr">
        <is>
          <t>XP</t>
        </is>
      </c>
      <c r="G66" s="7" t="inlineStr">
        <is>
          <t>G.Tot</t>
        </is>
      </c>
      <c r="H66" s="7" t="inlineStr">
        <is>
          <t>AFB</t>
        </is>
      </c>
      <c r="I66" s="88" t="inlineStr">
        <is>
          <t>AFB +
Xpert</t>
        </is>
      </c>
      <c r="J66" s="7" t="inlineStr">
        <is>
          <t>Xpert</t>
        </is>
      </c>
      <c r="K66" s="7" t="inlineStr">
        <is>
          <t>G.Tot</t>
        </is>
      </c>
      <c r="L66" s="190" t="n"/>
      <c r="M66" s="190" t="n"/>
      <c r="N66" s="5" t="n"/>
      <c r="O66" s="143" t="n">
        <v>0</v>
      </c>
      <c r="P66" s="33" t="n"/>
      <c r="Q66" s="33" t="n"/>
      <c r="R66" s="33" t="n"/>
      <c r="S66" s="143" t="n">
        <v>0</v>
      </c>
      <c r="T66" s="33" t="n"/>
      <c r="U66" s="33" t="n"/>
      <c r="V66" s="33" t="n"/>
      <c r="W66" s="143" t="n">
        <v>0</v>
      </c>
      <c r="X66" s="33" t="n"/>
      <c r="Y66" s="33" t="n"/>
      <c r="Z66" s="33" t="n"/>
      <c r="AA66" s="143" t="n">
        <v>0</v>
      </c>
      <c r="AB66" s="33" t="n"/>
      <c r="AC66" s="33" t="n"/>
      <c r="AD66" s="33" t="n"/>
    </row>
    <row r="67" ht="38.25" customHeight="1">
      <c r="A67" s="192" t="n">
        <v>0</v>
      </c>
      <c r="B67" s="192" t="n">
        <v>0</v>
      </c>
      <c r="C67" s="192" t="n">
        <v>0</v>
      </c>
      <c r="D67" s="192" t="n">
        <v>0</v>
      </c>
      <c r="E67" s="192" t="n">
        <v>0</v>
      </c>
      <c r="F67" s="192" t="n">
        <v>0</v>
      </c>
      <c r="G67" s="193" t="n">
        <v>0</v>
      </c>
      <c r="H67" s="192" t="n">
        <v>0</v>
      </c>
      <c r="I67" s="192" t="n">
        <v>0</v>
      </c>
      <c r="J67" s="192" t="n">
        <v>0</v>
      </c>
      <c r="K67" s="193" t="n">
        <v>0</v>
      </c>
      <c r="L67" s="192" t="n">
        <v>0</v>
      </c>
      <c r="M67" s="192" t="n">
        <v>0</v>
      </c>
      <c r="N67" s="5" t="n"/>
      <c r="O67" s="165" t="inlineStr">
        <is>
          <t xml:space="preserve">HIV patient tested for TB </t>
        </is>
      </c>
      <c r="P67" s="33" t="n"/>
      <c r="Q67" s="33" t="n"/>
      <c r="R67" s="45" t="n"/>
      <c r="S67" s="165" t="inlineStr">
        <is>
          <t>HIV patients 
diagnosed  for TB</t>
        </is>
      </c>
      <c r="T67" s="33" t="n"/>
      <c r="U67" s="33" t="n"/>
      <c r="V67" s="45" t="n"/>
      <c r="W67" s="165" t="inlineStr">
        <is>
          <t>TB HIV patients put on
 TB Tx</t>
        </is>
      </c>
      <c r="X67" s="33" t="n"/>
      <c r="Y67" s="33" t="n"/>
      <c r="Z67" s="45" t="n"/>
      <c r="AA67" s="165" t="inlineStr">
        <is>
          <t>HIV positive TB negative
patients on TPT</t>
        </is>
      </c>
      <c r="AB67" s="33" t="n"/>
      <c r="AC67" s="33" t="n"/>
      <c r="AD67" s="45" t="n"/>
    </row>
    <row r="68" ht="19.5" customHeight="1">
      <c r="A68" s="191" t="n"/>
      <c r="B68" s="191" t="n"/>
      <c r="C68" s="191" t="n"/>
      <c r="D68" s="191" t="n"/>
      <c r="E68" s="191" t="n"/>
      <c r="F68" s="191" t="n"/>
      <c r="G68" s="191" t="n"/>
      <c r="H68" s="191" t="n"/>
      <c r="I68" s="191" t="n"/>
      <c r="J68" s="191" t="n"/>
      <c r="K68" s="191" t="n"/>
      <c r="L68" s="191" t="n"/>
      <c r="M68" s="191" t="n"/>
      <c r="N68" s="39" t="n"/>
      <c r="O68" s="154" t="n">
        <v>0</v>
      </c>
      <c r="P68" s="178" t="n"/>
      <c r="Q68" s="178" t="n"/>
      <c r="R68" s="179" t="n"/>
      <c r="S68" s="154" t="n">
        <v>0</v>
      </c>
      <c r="T68" s="178" t="n"/>
      <c r="U68" s="178" t="n"/>
      <c r="V68" s="179" t="n"/>
      <c r="W68" s="154" t="n">
        <v>0</v>
      </c>
      <c r="X68" s="178" t="n"/>
      <c r="Y68" s="178" t="n"/>
      <c r="Z68" s="179" t="n"/>
      <c r="AA68" s="8" t="n"/>
      <c r="AB68" s="8" t="inlineStr">
        <is>
          <t>0-4</t>
        </is>
      </c>
      <c r="AC68" s="9" t="inlineStr">
        <is>
          <t>5-14</t>
        </is>
      </c>
      <c r="AD68" s="40" t="inlineStr">
        <is>
          <t>15 +</t>
        </is>
      </c>
    </row>
    <row r="69" ht="18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82" t="n"/>
      <c r="R69" s="181" t="n"/>
      <c r="S69" s="182" t="n"/>
      <c r="V69" s="181" t="n"/>
      <c r="W69" s="182" t="n"/>
      <c r="Z69" s="181" t="n"/>
      <c r="AA69" s="10" t="inlineStr">
        <is>
          <t>6H</t>
        </is>
      </c>
      <c r="AB69" s="41" t="n">
        <v>0</v>
      </c>
      <c r="AC69" s="55" t="n">
        <v>0</v>
      </c>
      <c r="AD69" s="55" t="n">
        <v>0</v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3HR</t>
        </is>
      </c>
      <c r="AB70" s="41" t="n">
        <v>0</v>
      </c>
      <c r="AC70" s="55" t="n">
        <v>0</v>
      </c>
      <c r="AD70" s="55" t="n">
        <v>0</v>
      </c>
    </row>
    <row r="71" ht="18" customHeight="1">
      <c r="A71" s="190" t="n"/>
      <c r="B71" s="190" t="n"/>
      <c r="C71" s="190" t="n"/>
      <c r="D71" s="190" t="n"/>
      <c r="E71" s="190" t="n"/>
      <c r="F71" s="190" t="n"/>
      <c r="G71" s="190" t="n"/>
      <c r="H71" s="190" t="n"/>
      <c r="I71" s="190" t="n"/>
      <c r="J71" s="190" t="n"/>
      <c r="K71" s="190" t="n"/>
      <c r="L71" s="190" t="n"/>
      <c r="M71" s="190" t="n"/>
      <c r="N71" s="39" t="n"/>
      <c r="O71" s="183" t="n"/>
      <c r="P71" s="22" t="n"/>
      <c r="Q71" s="22" t="n"/>
      <c r="R71" s="184" t="n"/>
      <c r="S71" s="183" t="n"/>
      <c r="T71" s="22" t="n"/>
      <c r="U71" s="22" t="n"/>
      <c r="V71" s="184" t="n"/>
      <c r="W71" s="183" t="n"/>
      <c r="X71" s="22" t="n"/>
      <c r="Y71" s="22" t="n"/>
      <c r="Z71" s="184" t="n"/>
      <c r="AA71" s="10" t="inlineStr">
        <is>
          <t>3 HP</t>
        </is>
      </c>
      <c r="AB71" s="41" t="n">
        <v>0</v>
      </c>
      <c r="AC71" s="55" t="n">
        <v>0</v>
      </c>
      <c r="AD71" s="55" t="n">
        <v>0</v>
      </c>
    </row>
    <row r="72" ht="8.25" customHeight="1">
      <c r="A72" s="1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4" t="n"/>
      <c r="O72" s="43" t="n"/>
      <c r="P72" s="43" t="n"/>
      <c r="Q72" s="43" t="n"/>
      <c r="R72" s="43" t="n"/>
      <c r="S72" s="43" t="n"/>
      <c r="T72" s="43" t="n"/>
      <c r="U72" s="43" t="n"/>
      <c r="V72" s="12" t="n"/>
      <c r="W72" s="12" t="n"/>
      <c r="X72" s="12" t="n"/>
      <c r="Y72" s="12" t="n"/>
      <c r="Z72" s="12" t="n"/>
      <c r="AA72" s="12" t="n"/>
      <c r="AB72" s="43" t="n"/>
      <c r="AC72" s="43" t="n"/>
      <c r="AD72" s="45" t="n"/>
    </row>
    <row r="73" ht="18" customHeight="1">
      <c r="A73" s="34" t="inlineStr">
        <is>
          <t>Block 5 :  Bacteriologically Confermid TB Cases with DST Result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6" t="n"/>
      <c r="N73" s="46" t="n"/>
      <c r="O73" s="34" t="inlineStr">
        <is>
          <t>Block 6 :  Contact Tracing HH *</t>
        </is>
      </c>
      <c r="P73" s="36" t="n"/>
      <c r="Q73" s="35" t="n"/>
      <c r="R73" s="47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8" t="n"/>
      <c r="AC73" s="38" t="n"/>
      <c r="AD73" s="48" t="n"/>
    </row>
    <row r="74" ht="18" customHeight="1">
      <c r="A74" s="80" t="inlineStr">
        <is>
          <t>Sensitive =S
Resistance = R</t>
        </is>
      </c>
      <c r="B74" s="81" t="inlineStr">
        <is>
          <t>PTB</t>
        </is>
      </c>
      <c r="C74" s="33" t="n"/>
      <c r="D74" s="33" t="n"/>
      <c r="E74" s="33" t="n"/>
      <c r="F74" s="33" t="n"/>
      <c r="G74" s="45" t="n"/>
      <c r="H74" s="81" t="inlineStr">
        <is>
          <t>EPTB</t>
        </is>
      </c>
      <c r="I74" s="33" t="n"/>
      <c r="J74" s="33" t="n"/>
      <c r="K74" s="33" t="n"/>
      <c r="L74" s="33" t="n"/>
      <c r="M74" s="45" t="n"/>
      <c r="N74" s="49" t="n"/>
      <c r="O74" s="6" t="inlineStr">
        <is>
          <t>Total No. of HH
of B+ PTB</t>
        </is>
      </c>
      <c r="P74" s="178" t="n"/>
      <c r="Q74" s="179" t="n"/>
      <c r="R74" s="6" t="inlineStr">
        <is>
          <t>No. of HH contacts of
B+ PTB Cases
Screened</t>
        </is>
      </c>
      <c r="S74" s="178" t="n"/>
      <c r="T74" s="179" t="n"/>
      <c r="U74" s="6" t="inlineStr">
        <is>
          <t>No. of TB 
Cases diagnosed Amoung HH
contact
screened</t>
        </is>
      </c>
      <c r="V74" s="178" t="n"/>
      <c r="W74" s="179" t="n"/>
      <c r="X74" s="6" t="inlineStr">
        <is>
          <t>No. of HH Contacts 
Initiated on TPT</t>
        </is>
      </c>
      <c r="Y74" s="178" t="n"/>
      <c r="Z74" s="178" t="n"/>
      <c r="AA74" s="179" t="n"/>
      <c r="AB74" s="6" t="inlineStr">
        <is>
          <t>HIV negative 
Immuno - compromised on 
TPT</t>
        </is>
      </c>
      <c r="AC74" s="178" t="n"/>
      <c r="AD74" s="179" t="n"/>
    </row>
    <row r="75" ht="14.25" customHeight="1">
      <c r="A75" s="191" t="n"/>
      <c r="B75" s="67" t="inlineStr">
        <is>
          <t>Rifampicin</t>
        </is>
      </c>
      <c r="C75" s="45" t="n"/>
      <c r="D75" s="67" t="inlineStr">
        <is>
          <t>Isoniazid</t>
        </is>
      </c>
      <c r="E75" s="45" t="n"/>
      <c r="F75" s="67" t="inlineStr">
        <is>
          <t>Fluoroquninolone</t>
        </is>
      </c>
      <c r="G75" s="45" t="n"/>
      <c r="H75" s="67" t="inlineStr">
        <is>
          <t>Rifampicin</t>
        </is>
      </c>
      <c r="I75" s="45" t="n"/>
      <c r="J75" s="67" t="inlineStr">
        <is>
          <t>Isoniazid</t>
        </is>
      </c>
      <c r="K75" s="45" t="n"/>
      <c r="L75" s="67" t="inlineStr">
        <is>
          <t>Fluoroquninolone</t>
        </is>
      </c>
      <c r="M75" s="45" t="n"/>
      <c r="N75" s="50" t="n"/>
      <c r="O75" s="182" t="n"/>
      <c r="Q75" s="181" t="n"/>
      <c r="R75" s="182" t="n"/>
      <c r="T75" s="181" t="n"/>
      <c r="U75" s="182" t="n"/>
      <c r="W75" s="181" t="n"/>
      <c r="X75" s="182" t="n"/>
      <c r="AA75" s="181" t="n"/>
      <c r="AB75" s="182" t="n"/>
      <c r="AD75" s="181" t="n"/>
    </row>
    <row r="76" ht="24.9" customHeight="1">
      <c r="A76" s="190" t="n"/>
      <c r="B76" s="67" t="inlineStr">
        <is>
          <t>S</t>
        </is>
      </c>
      <c r="C76" s="67" t="inlineStr">
        <is>
          <t>R</t>
        </is>
      </c>
      <c r="D76" s="67" t="inlineStr">
        <is>
          <t>S</t>
        </is>
      </c>
      <c r="E76" s="67" t="inlineStr">
        <is>
          <t>R</t>
        </is>
      </c>
      <c r="F76" s="67" t="inlineStr">
        <is>
          <t>S</t>
        </is>
      </c>
      <c r="G76" s="67" t="inlineStr">
        <is>
          <t>R</t>
        </is>
      </c>
      <c r="H76" s="67" t="inlineStr">
        <is>
          <t>S</t>
        </is>
      </c>
      <c r="I76" s="67" t="inlineStr">
        <is>
          <t>R</t>
        </is>
      </c>
      <c r="J76" s="67" t="inlineStr">
        <is>
          <t>S</t>
        </is>
      </c>
      <c r="K76" s="67" t="inlineStr">
        <is>
          <t>R</t>
        </is>
      </c>
      <c r="L76" s="67" t="inlineStr">
        <is>
          <t>S</t>
        </is>
      </c>
      <c r="M76" s="67" t="inlineStr">
        <is>
          <t>R</t>
        </is>
      </c>
      <c r="N76" s="51" t="n"/>
      <c r="O76" s="182" t="n"/>
      <c r="Q76" s="181" t="n"/>
      <c r="R76" s="182" t="n"/>
      <c r="T76" s="181" t="n"/>
      <c r="U76" s="182" t="n"/>
      <c r="W76" s="181" t="n"/>
      <c r="X76" s="183" t="n"/>
      <c r="Y76" s="22" t="n"/>
      <c r="Z76" s="22" t="n"/>
      <c r="AA76" s="184" t="n"/>
      <c r="AB76" s="183" t="n"/>
      <c r="AC76" s="22" t="n"/>
      <c r="AD76" s="184" t="n"/>
    </row>
    <row r="77" ht="24.9" customHeight="1">
      <c r="A77" s="67" t="inlineStr">
        <is>
          <t>New + UK</t>
        </is>
      </c>
      <c r="B77" s="26" t="n">
        <v>0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  <c r="N77" s="51" t="n"/>
      <c r="O77" s="183" t="n"/>
      <c r="P77" s="22" t="n"/>
      <c r="Q77" s="184" t="n"/>
      <c r="R77" s="183" t="n"/>
      <c r="S77" s="22" t="n"/>
      <c r="T77" s="184" t="n"/>
      <c r="U77" s="183" t="n"/>
      <c r="V77" s="22" t="n"/>
      <c r="W77" s="184" t="n"/>
      <c r="X77" s="17" t="n"/>
      <c r="Y77" s="13" t="inlineStr">
        <is>
          <t>0-4</t>
        </is>
      </c>
      <c r="Z77" s="15" t="inlineStr">
        <is>
          <t>5-14</t>
        </is>
      </c>
      <c r="AA77" s="16" t="inlineStr">
        <is>
          <t>15+</t>
        </is>
      </c>
      <c r="AB77" s="13" t="inlineStr">
        <is>
          <t>0-4</t>
        </is>
      </c>
      <c r="AC77" s="15" t="inlineStr">
        <is>
          <t>5-14</t>
        </is>
      </c>
      <c r="AD77" s="16" t="inlineStr">
        <is>
          <t>15+</t>
        </is>
      </c>
    </row>
    <row r="78" ht="24.9" customHeight="1">
      <c r="A78" s="67" t="inlineStr">
        <is>
          <t>Relapse</t>
        </is>
      </c>
      <c r="B78" s="26" t="n">
        <v>0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  <c r="N78" s="51" t="n"/>
      <c r="O78" s="7" t="inlineStr">
        <is>
          <t>0-4</t>
        </is>
      </c>
      <c r="P78" s="52" t="inlineStr">
        <is>
          <t>5-14</t>
        </is>
      </c>
      <c r="Q78" s="14" t="inlineStr">
        <is>
          <t>15 +</t>
        </is>
      </c>
      <c r="R78" s="13" t="inlineStr">
        <is>
          <t>0-4</t>
        </is>
      </c>
      <c r="S78" s="14" t="inlineStr">
        <is>
          <t>5-14</t>
        </is>
      </c>
      <c r="T78" s="14" t="inlineStr">
        <is>
          <t>15 +</t>
        </is>
      </c>
      <c r="U78" s="13" t="inlineStr">
        <is>
          <t>0-4</t>
        </is>
      </c>
      <c r="V78" s="14" t="inlineStr">
        <is>
          <t>5-14</t>
        </is>
      </c>
      <c r="W78" s="14" t="inlineStr">
        <is>
          <t>15 +</t>
        </is>
      </c>
      <c r="X78" s="17" t="inlineStr">
        <is>
          <t>6H</t>
        </is>
      </c>
      <c r="Y78" s="154" t="n">
        <v>0</v>
      </c>
      <c r="Z78" s="154" t="n">
        <v>0</v>
      </c>
      <c r="AA78" s="154" t="n">
        <v>0</v>
      </c>
      <c r="AB78" s="154" t="n">
        <v>0</v>
      </c>
      <c r="AC78" s="154" t="n">
        <v>0</v>
      </c>
      <c r="AD78" s="154" t="n">
        <v>0</v>
      </c>
    </row>
    <row r="79" ht="24.9" customHeight="1">
      <c r="A79" s="165" t="inlineStr">
        <is>
          <t>Previously treated</t>
        </is>
      </c>
      <c r="B79" s="26" t="n">
        <v>0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51" t="n"/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  <c r="V79" s="26" t="n">
        <v>0</v>
      </c>
      <c r="W79" s="26" t="n">
        <v>0</v>
      </c>
      <c r="X79" s="17" t="inlineStr">
        <is>
          <t>3HR</t>
        </is>
      </c>
      <c r="Y79" s="26" t="n">
        <v>0</v>
      </c>
      <c r="Z79" s="26" t="n">
        <v>0</v>
      </c>
      <c r="AA79" s="26" t="n">
        <v>0</v>
      </c>
      <c r="AB79" s="26" t="n">
        <v>0</v>
      </c>
      <c r="AC79" s="26" t="n">
        <v>0</v>
      </c>
      <c r="AD79" s="26" t="n">
        <v>0</v>
      </c>
    </row>
    <row r="80" ht="24.9" customHeight="1">
      <c r="A80" s="67" t="inlineStr">
        <is>
          <t>Total</t>
        </is>
      </c>
      <c r="B80" s="67" t="n">
        <v>0</v>
      </c>
      <c r="C80" s="67" t="n">
        <v>0</v>
      </c>
      <c r="D80" s="67" t="n">
        <v>0</v>
      </c>
      <c r="E80" s="67" t="n">
        <v>0</v>
      </c>
      <c r="F80" s="67" t="n">
        <v>0</v>
      </c>
      <c r="G80" s="67" t="n">
        <v>0</v>
      </c>
      <c r="H80" s="67" t="n">
        <v>0</v>
      </c>
      <c r="I80" s="67" t="n">
        <v>0</v>
      </c>
      <c r="J80" s="67" t="n">
        <v>0</v>
      </c>
      <c r="K80" s="67" t="n">
        <v>0</v>
      </c>
      <c r="L80" s="67" t="n">
        <v>0</v>
      </c>
      <c r="M80" s="67" t="n">
        <v>0</v>
      </c>
      <c r="N80" s="51" t="n"/>
      <c r="O80" s="190" t="n"/>
      <c r="P80" s="190" t="n"/>
      <c r="Q80" s="190" t="n"/>
      <c r="R80" s="190" t="n"/>
      <c r="S80" s="190" t="n"/>
      <c r="T80" s="190" t="n"/>
      <c r="U80" s="190" t="n"/>
      <c r="V80" s="190" t="n"/>
      <c r="W80" s="190" t="n"/>
      <c r="X80" s="53" t="inlineStr">
        <is>
          <t>3 HP</t>
        </is>
      </c>
      <c r="Y80" s="26" t="n">
        <v>0</v>
      </c>
      <c r="Z80" s="26" t="n">
        <v>0</v>
      </c>
      <c r="AA80" s="26" t="n">
        <v>0</v>
      </c>
      <c r="AB80" s="26" t="n">
        <v>0</v>
      </c>
      <c r="AC80" s="26" t="n">
        <v>0</v>
      </c>
      <c r="AD80" s="26" t="n">
        <v>0</v>
      </c>
    </row>
    <row r="81" ht="23.4" customHeight="1">
      <c r="A81" s="146" t="inlineStr">
        <is>
          <t xml:space="preserve">                                                                       INDIVIDUAL/CONSOLIDATED (TICK ONE)</t>
        </is>
      </c>
      <c r="Y81" s="1" t="n"/>
      <c r="Z81" s="133" t="inlineStr">
        <is>
          <t>TB - 07</t>
        </is>
      </c>
      <c r="AB81" s="1" t="n"/>
      <c r="AC81" s="1" t="n"/>
      <c r="AD81" s="1" t="n"/>
    </row>
    <row r="82" ht="30.9" customHeight="1">
      <c r="A82" s="134" t="inlineStr">
        <is>
          <t xml:space="preserve">Name of TB Care Facility (BMU) :  </t>
        </is>
      </c>
      <c r="E82" s="135" t="inlineStr">
        <is>
          <t xml:space="preserve">KMC Leprosy Hospital </t>
        </is>
      </c>
      <c r="I82" s="136" t="inlineStr">
        <is>
          <t xml:space="preserve">District : </t>
        </is>
      </c>
      <c r="K82" s="137" t="n">
        <v>0</v>
      </c>
      <c r="M82" s="136" t="inlineStr">
        <is>
          <t>Central :</t>
        </is>
      </c>
      <c r="O82" s="138" t="inlineStr">
        <is>
          <t>Manghopir</t>
        </is>
      </c>
      <c r="S82" s="54" t="n"/>
      <c r="T82" s="2" t="n"/>
      <c r="U82" s="139" t="inlineStr">
        <is>
          <t xml:space="preserve">Patients registered during  </t>
        </is>
      </c>
      <c r="Z82" s="147" t="inlineStr">
        <is>
          <t>3rd Quarter</t>
        </is>
      </c>
      <c r="AC82" s="145" t="inlineStr">
        <is>
          <t>of Year 2026</t>
        </is>
      </c>
    </row>
    <row r="83" ht="15" customHeight="1"/>
    <row r="84" ht="15.6" customHeight="1">
      <c r="A84" s="99" t="inlineStr">
        <is>
          <t>Name of TB Coodinator/Facility incharge  :</t>
        </is>
      </c>
      <c r="I84" s="100" t="inlineStr">
        <is>
          <t>___________________________________________________</t>
        </is>
      </c>
      <c r="P84" s="21" t="n"/>
      <c r="Q84" s="21" t="n"/>
      <c r="U84" s="101" t="inlineStr">
        <is>
          <t>Date of completion of this form :</t>
        </is>
      </c>
      <c r="AA84" s="102" t="inlineStr">
        <is>
          <t>_______________________</t>
        </is>
      </c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</row>
    <row r="86" ht="15" customHeight="1">
      <c r="A86" s="177" t="inlineStr">
        <is>
          <t xml:space="preserve">Block 1: </t>
        </is>
      </c>
      <c r="B86" s="178" t="n"/>
      <c r="C86" s="178" t="n"/>
      <c r="D86" s="178" t="n"/>
      <c r="E86" s="178" t="n"/>
      <c r="F86" s="178" t="n"/>
      <c r="G86" s="178" t="n"/>
      <c r="H86" s="178" t="n"/>
      <c r="I86" s="178" t="n"/>
      <c r="J86" s="178" t="n"/>
      <c r="K86" s="179" t="n"/>
      <c r="L86" s="67" t="inlineStr">
        <is>
          <t>New (N)</t>
        </is>
      </c>
      <c r="M86" s="179" t="n"/>
      <c r="N86" s="67" t="inlineStr">
        <is>
          <t>Relapse ®</t>
        </is>
      </c>
      <c r="O86" s="179" t="n"/>
      <c r="P86" s="165" t="inlineStr">
        <is>
          <t>Previous Treatment History Unknown
(UK)</t>
        </is>
      </c>
      <c r="Q86" s="178" t="n"/>
      <c r="R86" s="179" t="n"/>
      <c r="S86" s="165" t="inlineStr">
        <is>
          <t>New episode
(N+R+UK)</t>
        </is>
      </c>
      <c r="T86" s="178" t="n"/>
      <c r="U86" s="179" t="n"/>
      <c r="V86" s="67" t="inlineStr">
        <is>
          <t>Re - registered Cases ( Excluding Recurrent cases)</t>
        </is>
      </c>
      <c r="W86" s="33" t="n"/>
      <c r="X86" s="33" t="n"/>
      <c r="Y86" s="33" t="n"/>
      <c r="Z86" s="33" t="n"/>
      <c r="AA86" s="33" t="n"/>
      <c r="AB86" s="45" t="n"/>
      <c r="AC86" s="67" t="inlineStr">
        <is>
          <t>Total</t>
        </is>
      </c>
      <c r="AD86" s="179" t="n"/>
    </row>
    <row r="87" ht="23.25" customHeight="1">
      <c r="A87" s="180" t="inlineStr">
        <is>
          <t>All TB Cases Registered</t>
        </is>
      </c>
      <c r="K87" s="181" t="n"/>
      <c r="L87" s="182" t="n"/>
      <c r="M87" s="181" t="n"/>
      <c r="N87" s="182" t="n"/>
      <c r="O87" s="181" t="n"/>
      <c r="P87" s="182" t="n"/>
      <c r="R87" s="181" t="n"/>
      <c r="S87" s="182" t="n"/>
      <c r="U87" s="181" t="n"/>
      <c r="V87" s="165" t="inlineStr">
        <is>
          <t>Treatment after failure</t>
        </is>
      </c>
      <c r="W87" s="178" t="n"/>
      <c r="X87" s="179" t="n"/>
      <c r="Y87" s="165" t="inlineStr">
        <is>
          <t>Treatment after lost to follow-up</t>
        </is>
      </c>
      <c r="Z87" s="179" t="n"/>
      <c r="AA87" s="165" t="inlineStr">
        <is>
          <t>Other</t>
        </is>
      </c>
      <c r="AB87" s="179" t="n"/>
      <c r="AC87" s="182" t="n"/>
      <c r="AD87" s="181" t="n"/>
    </row>
    <row r="88">
      <c r="A88" s="183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184" t="n"/>
      <c r="L88" s="183" t="n"/>
      <c r="M88" s="184" t="n"/>
      <c r="N88" s="183" t="n"/>
      <c r="O88" s="184" t="n"/>
      <c r="P88" s="183" t="n"/>
      <c r="Q88" s="22" t="n"/>
      <c r="R88" s="184" t="n"/>
      <c r="S88" s="183" t="n"/>
      <c r="T88" s="22" t="n"/>
      <c r="U88" s="184" t="n"/>
      <c r="V88" s="183" t="n"/>
      <c r="W88" s="22" t="n"/>
      <c r="X88" s="184" t="n"/>
      <c r="Y88" s="183" t="n"/>
      <c r="Z88" s="184" t="n"/>
      <c r="AA88" s="183" t="n"/>
      <c r="AB88" s="184" t="n"/>
      <c r="AC88" s="183" t="n"/>
      <c r="AD88" s="184" t="n"/>
    </row>
    <row r="89" ht="24.9" customHeight="1">
      <c r="A89" s="185" t="inlineStr">
        <is>
          <t>Pulmonary, Bacteriologically Confermid</t>
        </is>
      </c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45" t="n"/>
      <c r="L89" s="26" t="n">
        <v>0</v>
      </c>
      <c r="M89" s="45" t="n"/>
      <c r="N89" s="26" t="n">
        <v>0</v>
      </c>
      <c r="O89" s="45" t="n"/>
      <c r="P89" s="26" t="n">
        <v>0</v>
      </c>
      <c r="Q89" s="33" t="n"/>
      <c r="R89" s="45" t="n"/>
      <c r="S89" s="67" t="n">
        <v>0</v>
      </c>
      <c r="T89" s="33" t="n"/>
      <c r="U89" s="45" t="n"/>
      <c r="V89" s="26" t="n">
        <v>0</v>
      </c>
      <c r="W89" s="33" t="n"/>
      <c r="X89" s="45" t="n"/>
      <c r="Y89" s="26" t="n">
        <v>0</v>
      </c>
      <c r="Z89" s="45" t="n"/>
      <c r="AA89" s="26" t="n">
        <v>0</v>
      </c>
      <c r="AB89" s="45" t="n"/>
      <c r="AC89" s="67" t="n">
        <v>0</v>
      </c>
      <c r="AD89" s="45" t="n"/>
    </row>
    <row r="90" ht="24.9" customHeight="1">
      <c r="A90" s="185" t="inlineStr">
        <is>
          <t>Pulmonary , Clinically Diagnosed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26" t="n">
        <v>0</v>
      </c>
      <c r="M90" s="45" t="n"/>
      <c r="N90" s="26" t="n">
        <v>0</v>
      </c>
      <c r="O90" s="45" t="n"/>
      <c r="P90" s="26" t="n">
        <v>0</v>
      </c>
      <c r="Q90" s="33" t="n"/>
      <c r="R90" s="45" t="n"/>
      <c r="S90" s="67" t="n">
        <v>0</v>
      </c>
      <c r="T90" s="33" t="n"/>
      <c r="U90" s="45" t="n"/>
      <c r="V90" s="26" t="n">
        <v>0</v>
      </c>
      <c r="W90" s="33" t="n"/>
      <c r="X90" s="45" t="n"/>
      <c r="Y90" s="26" t="n">
        <v>0</v>
      </c>
      <c r="Z90" s="45" t="n"/>
      <c r="AA90" s="26" t="n">
        <v>0</v>
      </c>
      <c r="AB90" s="45" t="n"/>
      <c r="AC90" s="67" t="n">
        <v>0</v>
      </c>
      <c r="AD90" s="45" t="n"/>
    </row>
    <row r="91" ht="24.9" customHeight="1">
      <c r="A91" s="185" t="inlineStr">
        <is>
          <t>Extra Pulmonary, Bacteriologically Confermid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26" t="n">
        <v>0</v>
      </c>
      <c r="M91" s="45" t="n"/>
      <c r="N91" s="26" t="n">
        <v>0</v>
      </c>
      <c r="O91" s="45" t="n"/>
      <c r="P91" s="26" t="n">
        <v>0</v>
      </c>
      <c r="Q91" s="33" t="n"/>
      <c r="R91" s="45" t="n"/>
      <c r="S91" s="67" t="n">
        <v>0</v>
      </c>
      <c r="T91" s="33" t="n"/>
      <c r="U91" s="45" t="n"/>
      <c r="V91" s="26" t="n">
        <v>0</v>
      </c>
      <c r="W91" s="33" t="n"/>
      <c r="X91" s="45" t="n"/>
      <c r="Y91" s="26" t="n">
        <v>0</v>
      </c>
      <c r="Z91" s="45" t="n"/>
      <c r="AA91" s="26" t="n">
        <v>0</v>
      </c>
      <c r="AB91" s="45" t="n"/>
      <c r="AC91" s="67" t="n">
        <v>0</v>
      </c>
      <c r="AD91" s="45" t="n"/>
    </row>
    <row r="92" ht="24.9" customHeight="1">
      <c r="A92" s="185" t="inlineStr">
        <is>
          <t>Extra Pulmonary , Clinically Diagnosed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26" t="n">
        <v>0</v>
      </c>
      <c r="M92" s="45" t="n"/>
      <c r="N92" s="26" t="n">
        <v>0</v>
      </c>
      <c r="O92" s="45" t="n"/>
      <c r="P92" s="26" t="n">
        <v>0</v>
      </c>
      <c r="Q92" s="33" t="n"/>
      <c r="R92" s="45" t="n"/>
      <c r="S92" s="67" t="n">
        <v>0</v>
      </c>
      <c r="T92" s="33" t="n"/>
      <c r="U92" s="45" t="n"/>
      <c r="V92" s="26" t="n">
        <v>0</v>
      </c>
      <c r="W92" s="33" t="n"/>
      <c r="X92" s="45" t="n"/>
      <c r="Y92" s="26" t="n">
        <v>0</v>
      </c>
      <c r="Z92" s="45" t="n"/>
      <c r="AA92" s="26" t="n">
        <v>0</v>
      </c>
      <c r="AB92" s="45" t="n"/>
      <c r="AC92" s="67" t="n">
        <v>0</v>
      </c>
      <c r="AD92" s="45" t="n"/>
    </row>
    <row r="93" ht="24.9" customHeight="1">
      <c r="A93" s="185" t="inlineStr">
        <is>
          <t>Total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67" t="n">
        <v>0</v>
      </c>
      <c r="M93" s="45" t="n"/>
      <c r="N93" s="67" t="n">
        <v>0</v>
      </c>
      <c r="O93" s="45" t="n"/>
      <c r="P93" s="67" t="n">
        <v>0</v>
      </c>
      <c r="Q93" s="33" t="n"/>
      <c r="R93" s="45" t="n"/>
      <c r="S93" s="67" t="n">
        <v>0</v>
      </c>
      <c r="T93" s="33" t="n"/>
      <c r="U93" s="45" t="n"/>
      <c r="V93" s="67" t="n">
        <v>0</v>
      </c>
      <c r="W93" s="33" t="n"/>
      <c r="X93" s="45" t="n"/>
      <c r="Y93" s="67" t="n">
        <v>0</v>
      </c>
      <c r="Z93" s="45" t="n"/>
      <c r="AA93" s="67" t="n">
        <v>0</v>
      </c>
      <c r="AB93" s="45" t="n"/>
      <c r="AC93" s="67" t="n">
        <v>0</v>
      </c>
      <c r="AD93" s="45" t="n"/>
    </row>
    <row r="94" ht="15.6" customHeight="1">
      <c r="A94" s="23" t="inlineStr">
        <is>
          <t>Block 2: All New, Relapse and previous treatment history unknown Cases registered during the period by Age Group and Gender</t>
        </is>
      </c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5" t="n"/>
    </row>
    <row r="95" ht="21.75" customHeight="1">
      <c r="A95" s="186" t="n"/>
      <c r="B95" s="178" t="n"/>
      <c r="C95" s="178" t="n"/>
      <c r="D95" s="178" t="n"/>
      <c r="E95" s="178" t="n"/>
      <c r="F95" s="178" t="n"/>
      <c r="G95" s="178" t="n"/>
      <c r="H95" s="178" t="n"/>
      <c r="I95" s="178" t="n"/>
      <c r="J95" s="178" t="n"/>
      <c r="K95" s="179" t="n"/>
      <c r="L95" s="67" t="inlineStr">
        <is>
          <t>0-4</t>
        </is>
      </c>
      <c r="M95" s="45" t="n"/>
      <c r="N95" s="187" t="inlineStr">
        <is>
          <t>5-14</t>
        </is>
      </c>
      <c r="O95" s="45" t="n"/>
      <c r="P95" s="188" t="inlineStr">
        <is>
          <t>15-24</t>
        </is>
      </c>
      <c r="Q95" s="45" t="n"/>
      <c r="R95" s="188" t="inlineStr">
        <is>
          <t>25-34</t>
        </is>
      </c>
      <c r="S95" s="45" t="n"/>
      <c r="T95" s="188" t="inlineStr">
        <is>
          <t>35-44</t>
        </is>
      </c>
      <c r="U95" s="45" t="n"/>
      <c r="V95" s="188" t="inlineStr">
        <is>
          <t>45-54</t>
        </is>
      </c>
      <c r="W95" s="45" t="n"/>
      <c r="X95" s="188" t="inlineStr">
        <is>
          <t>55-64</t>
        </is>
      </c>
      <c r="Y95" s="45" t="n"/>
      <c r="Z95" s="188" t="inlineStr">
        <is>
          <t>65 &amp; Above</t>
        </is>
      </c>
      <c r="AA95" s="45" t="n"/>
      <c r="AB95" s="188" t="inlineStr">
        <is>
          <t>Total</t>
        </is>
      </c>
      <c r="AC95" s="45" t="n"/>
      <c r="AD95" s="189" t="inlineStr">
        <is>
          <t>Grand
Total</t>
        </is>
      </c>
    </row>
    <row r="96">
      <c r="A96" s="183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184" t="n"/>
      <c r="L96" s="67" t="inlineStr">
        <is>
          <t>M</t>
        </is>
      </c>
      <c r="M96" s="67" t="inlineStr">
        <is>
          <t>F</t>
        </is>
      </c>
      <c r="N96" s="67" t="inlineStr">
        <is>
          <t>M</t>
        </is>
      </c>
      <c r="O96" s="67" t="inlineStr">
        <is>
          <t>F</t>
        </is>
      </c>
      <c r="P96" s="67" t="inlineStr">
        <is>
          <t>M</t>
        </is>
      </c>
      <c r="Q96" s="67" t="inlineStr">
        <is>
          <t>F</t>
        </is>
      </c>
      <c r="R96" s="67" t="inlineStr">
        <is>
          <t>M</t>
        </is>
      </c>
      <c r="S96" s="67" t="inlineStr">
        <is>
          <t>F</t>
        </is>
      </c>
      <c r="T96" s="67" t="inlineStr">
        <is>
          <t>M</t>
        </is>
      </c>
      <c r="U96" s="67" t="inlineStr">
        <is>
          <t>F</t>
        </is>
      </c>
      <c r="V96" s="67" t="inlineStr">
        <is>
          <t>M</t>
        </is>
      </c>
      <c r="W96" s="67" t="inlineStr">
        <is>
          <t>F</t>
        </is>
      </c>
      <c r="X96" s="67" t="inlineStr">
        <is>
          <t>M</t>
        </is>
      </c>
      <c r="Y96" s="67" t="inlineStr">
        <is>
          <t>F</t>
        </is>
      </c>
      <c r="Z96" s="67" t="inlineStr">
        <is>
          <t>M</t>
        </is>
      </c>
      <c r="AA96" s="67" t="inlineStr">
        <is>
          <t>F</t>
        </is>
      </c>
      <c r="AB96" s="67" t="inlineStr">
        <is>
          <t>M</t>
        </is>
      </c>
      <c r="AC96" s="67" t="inlineStr">
        <is>
          <t>F</t>
        </is>
      </c>
      <c r="AD96" s="190" t="n"/>
    </row>
    <row r="97" ht="24.9" customHeight="1">
      <c r="A97" s="185" t="inlineStr">
        <is>
          <t>Pulmonary, Bacteriologically Confermid</t>
        </is>
      </c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45" t="n"/>
      <c r="L97" s="26" t="n">
        <v>0</v>
      </c>
      <c r="M97" s="26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0</v>
      </c>
      <c r="S97" s="26" t="n">
        <v>0</v>
      </c>
      <c r="T97" s="26" t="n">
        <v>0</v>
      </c>
      <c r="U97" s="26" t="n">
        <v>0</v>
      </c>
      <c r="V97" s="26" t="n">
        <v>0</v>
      </c>
      <c r="W97" s="26" t="n">
        <v>0</v>
      </c>
      <c r="X97" s="26" t="n">
        <v>0</v>
      </c>
      <c r="Y97" s="26" t="n">
        <v>0</v>
      </c>
      <c r="Z97" s="26" t="n">
        <v>0</v>
      </c>
      <c r="AA97" s="26" t="n">
        <v>0</v>
      </c>
      <c r="AB97" s="67" t="n">
        <v>0</v>
      </c>
      <c r="AC97" s="67" t="n">
        <v>0</v>
      </c>
      <c r="AD97" s="67" t="n">
        <v>0</v>
      </c>
    </row>
    <row r="98" ht="24.9" customHeight="1">
      <c r="A98" s="185" t="inlineStr">
        <is>
          <t>Pulmonary , Clinically Diagnosed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  <c r="V98" s="26" t="n">
        <v>0</v>
      </c>
      <c r="W98" s="26" t="n">
        <v>0</v>
      </c>
      <c r="X98" s="26" t="n">
        <v>0</v>
      </c>
      <c r="Y98" s="26" t="n">
        <v>0</v>
      </c>
      <c r="Z98" s="26" t="n">
        <v>0</v>
      </c>
      <c r="AA98" s="26" t="n">
        <v>0</v>
      </c>
      <c r="AB98" s="67" t="n">
        <v>0</v>
      </c>
      <c r="AC98" s="67" t="n">
        <v>0</v>
      </c>
      <c r="AD98" s="67" t="n">
        <v>0</v>
      </c>
    </row>
    <row r="99" ht="24.9" customHeight="1">
      <c r="A99" s="185" t="inlineStr">
        <is>
          <t>Extra Pulmonary, Bacteriologically Confermid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26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  <c r="V99" s="26" t="n">
        <v>0</v>
      </c>
      <c r="W99" s="26" t="n">
        <v>0</v>
      </c>
      <c r="X99" s="26" t="n">
        <v>0</v>
      </c>
      <c r="Y99" s="26" t="n">
        <v>0</v>
      </c>
      <c r="Z99" s="26" t="n">
        <v>0</v>
      </c>
      <c r="AA99" s="26" t="n">
        <v>0</v>
      </c>
      <c r="AB99" s="67" t="n">
        <v>0</v>
      </c>
      <c r="AC99" s="67" t="n">
        <v>0</v>
      </c>
      <c r="AD99" s="67" t="n">
        <v>0</v>
      </c>
    </row>
    <row r="100" ht="24.9" customHeight="1">
      <c r="A100" s="185" t="inlineStr">
        <is>
          <t>Extra Pulmonary , Clinically Diagnosed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  <c r="V100" s="26" t="n">
        <v>0</v>
      </c>
      <c r="W100" s="26" t="n">
        <v>0</v>
      </c>
      <c r="X100" s="26" t="n">
        <v>0</v>
      </c>
      <c r="Y100" s="26" t="n">
        <v>0</v>
      </c>
      <c r="Z100" s="26" t="n">
        <v>0</v>
      </c>
      <c r="AA100" s="26" t="n">
        <v>0</v>
      </c>
      <c r="AB100" s="67" t="n">
        <v>0</v>
      </c>
      <c r="AC100" s="67" t="n">
        <v>0</v>
      </c>
      <c r="AD100" s="67" t="n">
        <v>0</v>
      </c>
    </row>
    <row r="101" ht="24.9" customHeight="1">
      <c r="A101" s="67" t="inlineStr">
        <is>
          <t>Total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67" t="n">
        <v>0</v>
      </c>
      <c r="M101" s="67" t="n">
        <v>0</v>
      </c>
      <c r="N101" s="67" t="n">
        <v>0</v>
      </c>
      <c r="O101" s="67" t="n">
        <v>0</v>
      </c>
      <c r="P101" s="67" t="n">
        <v>0</v>
      </c>
      <c r="Q101" s="67" t="n">
        <v>0</v>
      </c>
      <c r="R101" s="67" t="n">
        <v>0</v>
      </c>
      <c r="S101" s="67" t="n">
        <v>0</v>
      </c>
      <c r="T101" s="67" t="n">
        <v>0</v>
      </c>
      <c r="U101" s="67" t="n">
        <v>0</v>
      </c>
      <c r="V101" s="67" t="n">
        <v>0</v>
      </c>
      <c r="W101" s="67" t="n">
        <v>0</v>
      </c>
      <c r="X101" s="67" t="n">
        <v>0</v>
      </c>
      <c r="Y101" s="67" t="n">
        <v>0</v>
      </c>
      <c r="Z101" s="67" t="n">
        <v>0</v>
      </c>
      <c r="AA101" s="67" t="n">
        <v>0</v>
      </c>
      <c r="AB101" s="67" t="n">
        <v>0</v>
      </c>
      <c r="AC101" s="67" t="n">
        <v>0</v>
      </c>
      <c r="AD101" s="67" t="n">
        <v>0</v>
      </c>
    </row>
    <row r="102" ht="6.75" customHeight="1">
      <c r="A102" s="27" t="n"/>
      <c r="B102" s="28" t="n"/>
      <c r="C102" s="28" t="n"/>
      <c r="D102" s="28" t="n"/>
      <c r="E102" s="28" t="n"/>
      <c r="F102" s="29" t="n"/>
      <c r="G102" s="29" t="n"/>
      <c r="H102" s="30" t="n"/>
      <c r="I102" s="30" t="n"/>
      <c r="J102" s="30" t="n"/>
      <c r="K102" s="30" t="n"/>
      <c r="L102" s="30" t="n"/>
      <c r="M102" s="30" t="n"/>
      <c r="N102" s="31" t="n"/>
      <c r="O102" s="30" t="n"/>
      <c r="P102" s="87" t="n"/>
      <c r="Q102" s="45" t="n"/>
      <c r="R102" s="32" t="n"/>
      <c r="S102" s="30" t="n"/>
      <c r="T102" s="30" t="n"/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3" t="n"/>
    </row>
    <row r="103" ht="18" customHeight="1">
      <c r="A103" s="34" t="inlineStr">
        <is>
          <t>Block 3: Presumptive TB Cases Identified Laboratory Diagnosis and use of WRD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6" t="n"/>
      <c r="N103" s="37" t="n"/>
      <c r="O103" s="34" t="inlineStr">
        <is>
          <t>Block 4 :  TB HIV  Activities</t>
        </is>
      </c>
      <c r="P103" s="35" t="n"/>
      <c r="Q103" s="35" t="n"/>
      <c r="R103" s="35" t="n"/>
      <c r="S103" s="35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25" t="n"/>
    </row>
    <row r="104" ht="42.75" customHeight="1">
      <c r="A104" s="6" t="inlineStr">
        <is>
          <t>Total
New OPD in Quarter</t>
        </is>
      </c>
      <c r="B104" s="88" t="inlineStr">
        <is>
          <t>No. of presumptive TB cases identified</t>
        </is>
      </c>
      <c r="C104" s="179" t="n"/>
      <c r="D104" s="6" t="inlineStr">
        <is>
          <t>No. of Presumptive TB
Patients tested 
Using</t>
        </is>
      </c>
      <c r="E104" s="33" t="n"/>
      <c r="F104" s="33" t="n"/>
      <c r="G104" s="45" t="n"/>
      <c r="H104" s="6" t="inlineStr">
        <is>
          <t>Among Presumptive 
TB cases tested  number reported B+</t>
        </is>
      </c>
      <c r="I104" s="33" t="n"/>
      <c r="J104" s="33" t="n"/>
      <c r="K104" s="45" t="n"/>
      <c r="L104" s="6" t="inlineStr">
        <is>
          <t>Among all
registered
number of
B+ TB
Cases</t>
        </is>
      </c>
      <c r="M104" s="6" t="inlineStr">
        <is>
          <t>Amoung All
(N+R+UK)
number tested
by Gene Xpert</t>
        </is>
      </c>
      <c r="N104" s="5" t="n"/>
      <c r="O104" s="165" t="inlineStr">
        <is>
          <t>No. of TB patients
tested for HIV</t>
        </is>
      </c>
      <c r="P104" s="33" t="n"/>
      <c r="Q104" s="33" t="n"/>
      <c r="R104" s="45" t="n"/>
      <c r="S104" s="165" t="inlineStr">
        <is>
          <t>HIV Reactive</t>
        </is>
      </c>
      <c r="T104" s="33" t="n"/>
      <c r="U104" s="33" t="n"/>
      <c r="V104" s="45" t="n"/>
      <c r="W104" s="165" t="inlineStr">
        <is>
          <t>TB Patients confirmed
positive for HIV</t>
        </is>
      </c>
      <c r="X104" s="33" t="n"/>
      <c r="Y104" s="33" t="n"/>
      <c r="Z104" s="45" t="n"/>
      <c r="AA104" s="165" t="inlineStr">
        <is>
          <t>HIV positive TB Patients put on ART</t>
        </is>
      </c>
      <c r="AB104" s="33" t="n"/>
      <c r="AC104" s="33" t="n"/>
      <c r="AD104" s="45" t="n"/>
    </row>
    <row r="105" ht="48" customHeight="1">
      <c r="A105" s="190" t="n"/>
      <c r="B105" s="6" t="inlineStr">
        <is>
          <t>Total</t>
        </is>
      </c>
      <c r="C105" s="88" t="inlineStr">
        <is>
          <t>Through
Community
Referrals (LHWs)</t>
        </is>
      </c>
      <c r="D105" s="88" t="inlineStr">
        <is>
          <t>AFB</t>
        </is>
      </c>
      <c r="E105" s="88" t="inlineStr">
        <is>
          <t>Xp &amp;
AFB</t>
        </is>
      </c>
      <c r="F105" s="88" t="inlineStr">
        <is>
          <t>XP</t>
        </is>
      </c>
      <c r="G105" s="7" t="inlineStr">
        <is>
          <t>G.Tot</t>
        </is>
      </c>
      <c r="H105" s="7" t="inlineStr">
        <is>
          <t>AFB</t>
        </is>
      </c>
      <c r="I105" s="88" t="inlineStr">
        <is>
          <t>AFB +
Xpert</t>
        </is>
      </c>
      <c r="J105" s="7" t="inlineStr">
        <is>
          <t>Xpert</t>
        </is>
      </c>
      <c r="K105" s="7" t="inlineStr">
        <is>
          <t>G.Tot</t>
        </is>
      </c>
      <c r="L105" s="190" t="n"/>
      <c r="M105" s="190" t="n"/>
      <c r="N105" s="5" t="n"/>
      <c r="O105" s="143" t="n">
        <v>0</v>
      </c>
      <c r="P105" s="33" t="n"/>
      <c r="Q105" s="33" t="n"/>
      <c r="R105" s="33" t="n"/>
      <c r="S105" s="143" t="n">
        <v>0</v>
      </c>
      <c r="T105" s="33" t="n"/>
      <c r="U105" s="33" t="n"/>
      <c r="V105" s="33" t="n"/>
      <c r="W105" s="143" t="n">
        <v>0</v>
      </c>
      <c r="X105" s="33" t="n"/>
      <c r="Y105" s="33" t="n"/>
      <c r="Z105" s="33" t="n"/>
      <c r="AA105" s="143" t="n">
        <v>0</v>
      </c>
      <c r="AB105" s="33" t="n"/>
      <c r="AC105" s="33" t="n"/>
      <c r="AD105" s="33" t="n"/>
    </row>
    <row r="106" ht="38.25" customHeight="1">
      <c r="A106" s="192" t="n">
        <v>0</v>
      </c>
      <c r="B106" s="192" t="n">
        <v>0</v>
      </c>
      <c r="C106" s="192" t="n">
        <v>0</v>
      </c>
      <c r="D106" s="192" t="n">
        <v>0</v>
      </c>
      <c r="E106" s="192" t="n">
        <v>0</v>
      </c>
      <c r="F106" s="192" t="n">
        <v>0</v>
      </c>
      <c r="G106" s="193" t="n">
        <v>0</v>
      </c>
      <c r="H106" s="192" t="n">
        <v>0</v>
      </c>
      <c r="I106" s="192" t="n">
        <v>0</v>
      </c>
      <c r="J106" s="192" t="n">
        <v>0</v>
      </c>
      <c r="K106" s="193" t="n">
        <v>0</v>
      </c>
      <c r="L106" s="192" t="n">
        <v>0</v>
      </c>
      <c r="M106" s="192" t="n">
        <v>0</v>
      </c>
      <c r="N106" s="5" t="n"/>
      <c r="O106" s="165" t="inlineStr">
        <is>
          <t xml:space="preserve">HIV patient tested for TB </t>
        </is>
      </c>
      <c r="P106" s="33" t="n"/>
      <c r="Q106" s="33" t="n"/>
      <c r="R106" s="45" t="n"/>
      <c r="S106" s="165" t="inlineStr">
        <is>
          <t>HIV patients 
diagnosed  for TB</t>
        </is>
      </c>
      <c r="T106" s="33" t="n"/>
      <c r="U106" s="33" t="n"/>
      <c r="V106" s="45" t="n"/>
      <c r="W106" s="165" t="inlineStr">
        <is>
          <t>TB HIV patients put on
 TB Tx</t>
        </is>
      </c>
      <c r="X106" s="33" t="n"/>
      <c r="Y106" s="33" t="n"/>
      <c r="Z106" s="45" t="n"/>
      <c r="AA106" s="165" t="inlineStr">
        <is>
          <t>HIV positive TB negative
patients on TPT</t>
        </is>
      </c>
      <c r="AB106" s="33" t="n"/>
      <c r="AC106" s="33" t="n"/>
      <c r="AD106" s="45" t="n"/>
    </row>
    <row r="107" ht="19.5" customHeight="1">
      <c r="A107" s="191" t="n"/>
      <c r="B107" s="191" t="n"/>
      <c r="C107" s="191" t="n"/>
      <c r="D107" s="191" t="n"/>
      <c r="E107" s="191" t="n"/>
      <c r="F107" s="191" t="n"/>
      <c r="G107" s="191" t="n"/>
      <c r="H107" s="191" t="n"/>
      <c r="I107" s="191" t="n"/>
      <c r="J107" s="191" t="n"/>
      <c r="K107" s="191" t="n"/>
      <c r="L107" s="191" t="n"/>
      <c r="M107" s="191" t="n"/>
      <c r="N107" s="39" t="n"/>
      <c r="O107" s="154" t="n">
        <v>0</v>
      </c>
      <c r="P107" s="178" t="n"/>
      <c r="Q107" s="178" t="n"/>
      <c r="R107" s="179" t="n"/>
      <c r="S107" s="154" t="n">
        <v>0</v>
      </c>
      <c r="T107" s="178" t="n"/>
      <c r="U107" s="178" t="n"/>
      <c r="V107" s="179" t="n"/>
      <c r="W107" s="154" t="n">
        <v>0</v>
      </c>
      <c r="X107" s="178" t="n"/>
      <c r="Y107" s="178" t="n"/>
      <c r="Z107" s="179" t="n"/>
      <c r="AA107" s="8" t="n"/>
      <c r="AB107" s="8" t="inlineStr">
        <is>
          <t>0-4</t>
        </is>
      </c>
      <c r="AC107" s="9" t="inlineStr">
        <is>
          <t>5-14</t>
        </is>
      </c>
      <c r="AD107" s="40" t="inlineStr">
        <is>
          <t>15 +</t>
        </is>
      </c>
    </row>
    <row r="108" ht="18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82" t="n"/>
      <c r="R108" s="181" t="n"/>
      <c r="S108" s="182" t="n"/>
      <c r="V108" s="181" t="n"/>
      <c r="W108" s="182" t="n"/>
      <c r="Z108" s="181" t="n"/>
      <c r="AA108" s="10" t="inlineStr">
        <is>
          <t>6H</t>
        </is>
      </c>
      <c r="AB108" s="41" t="n">
        <v>0</v>
      </c>
      <c r="AC108" s="55" t="n">
        <v>0</v>
      </c>
      <c r="AD108" s="55" t="n">
        <v>0</v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3HR</t>
        </is>
      </c>
      <c r="AB109" s="41" t="n">
        <v>0</v>
      </c>
      <c r="AC109" s="55" t="n">
        <v>0</v>
      </c>
      <c r="AD109" s="55" t="n">
        <v>0</v>
      </c>
    </row>
    <row r="110" ht="18" customHeight="1">
      <c r="A110" s="190" t="n"/>
      <c r="B110" s="190" t="n"/>
      <c r="C110" s="190" t="n"/>
      <c r="D110" s="190" t="n"/>
      <c r="E110" s="190" t="n"/>
      <c r="F110" s="190" t="n"/>
      <c r="G110" s="190" t="n"/>
      <c r="H110" s="190" t="n"/>
      <c r="I110" s="190" t="n"/>
      <c r="J110" s="190" t="n"/>
      <c r="K110" s="190" t="n"/>
      <c r="L110" s="190" t="n"/>
      <c r="M110" s="190" t="n"/>
      <c r="N110" s="39" t="n"/>
      <c r="O110" s="183" t="n"/>
      <c r="P110" s="22" t="n"/>
      <c r="Q110" s="22" t="n"/>
      <c r="R110" s="184" t="n"/>
      <c r="S110" s="183" t="n"/>
      <c r="T110" s="22" t="n"/>
      <c r="U110" s="22" t="n"/>
      <c r="V110" s="184" t="n"/>
      <c r="W110" s="183" t="n"/>
      <c r="X110" s="22" t="n"/>
      <c r="Y110" s="22" t="n"/>
      <c r="Z110" s="184" t="n"/>
      <c r="AA110" s="10" t="inlineStr">
        <is>
          <t>3 HP</t>
        </is>
      </c>
      <c r="AB110" s="41" t="n">
        <v>0</v>
      </c>
      <c r="AC110" s="55" t="n">
        <v>0</v>
      </c>
      <c r="AD110" s="55" t="n">
        <v>0</v>
      </c>
    </row>
    <row r="111" ht="8.25" customHeight="1">
      <c r="A111" s="1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4" t="n"/>
      <c r="O111" s="43" t="n"/>
      <c r="P111" s="43" t="n"/>
      <c r="Q111" s="43" t="n"/>
      <c r="R111" s="43" t="n"/>
      <c r="S111" s="43" t="n"/>
      <c r="T111" s="43" t="n"/>
      <c r="U111" s="43" t="n"/>
      <c r="V111" s="12" t="n"/>
      <c r="W111" s="12" t="n"/>
      <c r="X111" s="12" t="n"/>
      <c r="Y111" s="12" t="n"/>
      <c r="Z111" s="12" t="n"/>
      <c r="AA111" s="12" t="n"/>
      <c r="AB111" s="43" t="n"/>
      <c r="AC111" s="43" t="n"/>
      <c r="AD111" s="45" t="n"/>
    </row>
    <row r="112" ht="18" customHeight="1">
      <c r="A112" s="34" t="inlineStr">
        <is>
          <t>Block 5 :  Bacteriologically Confermid TB Cases with DST Result</t>
        </is>
      </c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6" t="n"/>
      <c r="N112" s="46" t="n"/>
      <c r="O112" s="34" t="inlineStr">
        <is>
          <t>Block 6 :  Contact Tracing HH *</t>
        </is>
      </c>
      <c r="P112" s="36" t="n"/>
      <c r="Q112" s="35" t="n"/>
      <c r="R112" s="47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8" t="n"/>
      <c r="AC112" s="38" t="n"/>
      <c r="AD112" s="48" t="n"/>
    </row>
    <row r="113" ht="18" customHeight="1">
      <c r="A113" s="80" t="inlineStr">
        <is>
          <t>Sensitive =S
Resistance = R</t>
        </is>
      </c>
      <c r="B113" s="81" t="inlineStr">
        <is>
          <t>PTB</t>
        </is>
      </c>
      <c r="C113" s="33" t="n"/>
      <c r="D113" s="33" t="n"/>
      <c r="E113" s="33" t="n"/>
      <c r="F113" s="33" t="n"/>
      <c r="G113" s="45" t="n"/>
      <c r="H113" s="81" t="inlineStr">
        <is>
          <t>EPTB</t>
        </is>
      </c>
      <c r="I113" s="33" t="n"/>
      <c r="J113" s="33" t="n"/>
      <c r="K113" s="33" t="n"/>
      <c r="L113" s="33" t="n"/>
      <c r="M113" s="45" t="n"/>
      <c r="N113" s="49" t="n"/>
      <c r="O113" s="6" t="inlineStr">
        <is>
          <t>Total No. of HH
of B+ PTB</t>
        </is>
      </c>
      <c r="P113" s="178" t="n"/>
      <c r="Q113" s="179" t="n"/>
      <c r="R113" s="6" t="inlineStr">
        <is>
          <t>No. of HH contacts of
B+ PTB Cases
Screened</t>
        </is>
      </c>
      <c r="S113" s="178" t="n"/>
      <c r="T113" s="179" t="n"/>
      <c r="U113" s="6" t="inlineStr">
        <is>
          <t>No. of TB 
Cases diagnosed Amoung HH
contact
screened</t>
        </is>
      </c>
      <c r="V113" s="178" t="n"/>
      <c r="W113" s="179" t="n"/>
      <c r="X113" s="6" t="inlineStr">
        <is>
          <t>No. of HH Contacts 
Initiated on TPT</t>
        </is>
      </c>
      <c r="Y113" s="178" t="n"/>
      <c r="Z113" s="178" t="n"/>
      <c r="AA113" s="179" t="n"/>
      <c r="AB113" s="6" t="inlineStr">
        <is>
          <t>HIV negative 
Immuno - compromised on 
TPT</t>
        </is>
      </c>
      <c r="AC113" s="178" t="n"/>
      <c r="AD113" s="179" t="n"/>
    </row>
    <row r="114" ht="15" customHeight="1">
      <c r="A114" s="191" t="n"/>
      <c r="B114" s="67" t="inlineStr">
        <is>
          <t>Rifampicin</t>
        </is>
      </c>
      <c r="C114" s="45" t="n"/>
      <c r="D114" s="67" t="inlineStr">
        <is>
          <t>Isoniazid</t>
        </is>
      </c>
      <c r="E114" s="45" t="n"/>
      <c r="F114" s="67" t="inlineStr">
        <is>
          <t>Fluoroquninolone</t>
        </is>
      </c>
      <c r="G114" s="45" t="n"/>
      <c r="H114" s="67" t="inlineStr">
        <is>
          <t>Rifampicin</t>
        </is>
      </c>
      <c r="I114" s="45" t="n"/>
      <c r="J114" s="67" t="inlineStr">
        <is>
          <t>Isoniazid</t>
        </is>
      </c>
      <c r="K114" s="45" t="n"/>
      <c r="L114" s="67" t="inlineStr">
        <is>
          <t>Fluoroquninolone</t>
        </is>
      </c>
      <c r="M114" s="45" t="n"/>
      <c r="N114" s="50" t="n"/>
      <c r="O114" s="182" t="n"/>
      <c r="Q114" s="181" t="n"/>
      <c r="R114" s="182" t="n"/>
      <c r="T114" s="181" t="n"/>
      <c r="U114" s="182" t="n"/>
      <c r="W114" s="181" t="n"/>
      <c r="X114" s="182" t="n"/>
      <c r="AA114" s="181" t="n"/>
      <c r="AB114" s="182" t="n"/>
      <c r="AD114" s="181" t="n"/>
    </row>
    <row r="115" ht="24.9" customHeight="1">
      <c r="A115" s="190" t="n"/>
      <c r="B115" s="67" t="inlineStr">
        <is>
          <t>S</t>
        </is>
      </c>
      <c r="C115" s="67" t="inlineStr">
        <is>
          <t>R</t>
        </is>
      </c>
      <c r="D115" s="67" t="inlineStr">
        <is>
          <t>S</t>
        </is>
      </c>
      <c r="E115" s="67" t="inlineStr">
        <is>
          <t>R</t>
        </is>
      </c>
      <c r="F115" s="67" t="inlineStr">
        <is>
          <t>S</t>
        </is>
      </c>
      <c r="G115" s="67" t="inlineStr">
        <is>
          <t>R</t>
        </is>
      </c>
      <c r="H115" s="67" t="inlineStr">
        <is>
          <t>S</t>
        </is>
      </c>
      <c r="I115" s="67" t="inlineStr">
        <is>
          <t>R</t>
        </is>
      </c>
      <c r="J115" s="67" t="inlineStr">
        <is>
          <t>S</t>
        </is>
      </c>
      <c r="K115" s="67" t="inlineStr">
        <is>
          <t>R</t>
        </is>
      </c>
      <c r="L115" s="67" t="inlineStr">
        <is>
          <t>S</t>
        </is>
      </c>
      <c r="M115" s="67" t="inlineStr">
        <is>
          <t>R</t>
        </is>
      </c>
      <c r="N115" s="51" t="n"/>
      <c r="O115" s="182" t="n"/>
      <c r="Q115" s="181" t="n"/>
      <c r="R115" s="182" t="n"/>
      <c r="T115" s="181" t="n"/>
      <c r="U115" s="182" t="n"/>
      <c r="W115" s="181" t="n"/>
      <c r="X115" s="183" t="n"/>
      <c r="Y115" s="22" t="n"/>
      <c r="Z115" s="22" t="n"/>
      <c r="AA115" s="184" t="n"/>
      <c r="AB115" s="183" t="n"/>
      <c r="AC115" s="22" t="n"/>
      <c r="AD115" s="184" t="n"/>
    </row>
    <row r="116" ht="24.9" customHeight="1">
      <c r="A116" s="67" t="inlineStr">
        <is>
          <t>New + UK</t>
        </is>
      </c>
      <c r="B116" s="26" t="n">
        <v>0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51" t="n"/>
      <c r="O116" s="183" t="n"/>
      <c r="P116" s="22" t="n"/>
      <c r="Q116" s="184" t="n"/>
      <c r="R116" s="183" t="n"/>
      <c r="S116" s="22" t="n"/>
      <c r="T116" s="184" t="n"/>
      <c r="U116" s="183" t="n"/>
      <c r="V116" s="22" t="n"/>
      <c r="W116" s="184" t="n"/>
      <c r="X116" s="6" t="n"/>
      <c r="Y116" s="13" t="inlineStr">
        <is>
          <t>0-4</t>
        </is>
      </c>
      <c r="Z116" s="15" t="inlineStr">
        <is>
          <t>5-14</t>
        </is>
      </c>
      <c r="AA116" s="6" t="inlineStr">
        <is>
          <t>15+</t>
        </is>
      </c>
      <c r="AB116" s="13" t="inlineStr">
        <is>
          <t>0-4</t>
        </is>
      </c>
      <c r="AC116" s="15" t="inlineStr">
        <is>
          <t>5-14</t>
        </is>
      </c>
      <c r="AD116" s="6" t="inlineStr">
        <is>
          <t>15+</t>
        </is>
      </c>
    </row>
    <row r="117" ht="24.9" customHeight="1">
      <c r="A117" s="67" t="inlineStr">
        <is>
          <t>Relapse</t>
        </is>
      </c>
      <c r="B117" s="26" t="n">
        <v>0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0</v>
      </c>
      <c r="L117" s="26" t="n">
        <v>0</v>
      </c>
      <c r="M117" s="26" t="n">
        <v>0</v>
      </c>
      <c r="N117" s="51" t="n"/>
      <c r="O117" s="7" t="inlineStr">
        <is>
          <t>0-4</t>
        </is>
      </c>
      <c r="P117" s="52" t="inlineStr">
        <is>
          <t>5-14</t>
        </is>
      </c>
      <c r="Q117" s="14" t="inlineStr">
        <is>
          <t>15 +</t>
        </is>
      </c>
      <c r="R117" s="13" t="inlineStr">
        <is>
          <t>0-4</t>
        </is>
      </c>
      <c r="S117" s="14" t="inlineStr">
        <is>
          <t>5-14</t>
        </is>
      </c>
      <c r="T117" s="14" t="inlineStr">
        <is>
          <t>15 +</t>
        </is>
      </c>
      <c r="U117" s="13" t="inlineStr">
        <is>
          <t>0-4</t>
        </is>
      </c>
      <c r="V117" s="14" t="inlineStr">
        <is>
          <t>5-14</t>
        </is>
      </c>
      <c r="W117" s="14" t="inlineStr">
        <is>
          <t>15 +</t>
        </is>
      </c>
      <c r="X117" s="6" t="inlineStr">
        <is>
          <t>6H</t>
        </is>
      </c>
      <c r="Y117" s="154" t="n">
        <v>0</v>
      </c>
      <c r="Z117" s="154" t="n">
        <v>0</v>
      </c>
      <c r="AA117" s="154" t="n">
        <v>0</v>
      </c>
      <c r="AB117" s="154" t="n">
        <v>0</v>
      </c>
      <c r="AC117" s="154" t="n">
        <v>0</v>
      </c>
      <c r="AD117" s="154" t="n">
        <v>0</v>
      </c>
    </row>
    <row r="118" ht="24.9" customHeight="1">
      <c r="A118" s="165" t="inlineStr">
        <is>
          <t>Previously treated</t>
        </is>
      </c>
      <c r="B118" s="26" t="n">
        <v>0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0</v>
      </c>
      <c r="L118" s="26" t="n">
        <v>0</v>
      </c>
      <c r="M118" s="26" t="n">
        <v>0</v>
      </c>
      <c r="N118" s="51" t="n"/>
      <c r="O118" s="26" t="n">
        <v>0</v>
      </c>
      <c r="P118" s="26" t="n">
        <v>0</v>
      </c>
      <c r="Q118" s="26" t="n">
        <v>0</v>
      </c>
      <c r="R118" s="26" t="n">
        <v>0</v>
      </c>
      <c r="S118" s="26" t="n">
        <v>0</v>
      </c>
      <c r="T118" s="26" t="n">
        <v>0</v>
      </c>
      <c r="U118" s="26" t="n">
        <v>0</v>
      </c>
      <c r="V118" s="26" t="n">
        <v>0</v>
      </c>
      <c r="W118" s="26" t="n">
        <v>0</v>
      </c>
      <c r="X118" s="6" t="inlineStr">
        <is>
          <t>3HR</t>
        </is>
      </c>
      <c r="Y118" s="26" t="n">
        <v>0</v>
      </c>
      <c r="Z118" s="26" t="n">
        <v>0</v>
      </c>
      <c r="AA118" s="26" t="n">
        <v>0</v>
      </c>
      <c r="AB118" s="26" t="n">
        <v>0</v>
      </c>
      <c r="AC118" s="26" t="n">
        <v>0</v>
      </c>
      <c r="AD118" s="26" t="n">
        <v>0</v>
      </c>
    </row>
    <row r="119" ht="24.9" customHeight="1">
      <c r="A119" s="67" t="inlineStr">
        <is>
          <t>Total</t>
        </is>
      </c>
      <c r="B119" s="67" t="n">
        <v>0</v>
      </c>
      <c r="C119" s="67" t="n">
        <v>0</v>
      </c>
      <c r="D119" s="67" t="n">
        <v>0</v>
      </c>
      <c r="E119" s="67" t="n">
        <v>0</v>
      </c>
      <c r="F119" s="67" t="n">
        <v>0</v>
      </c>
      <c r="G119" s="67" t="n">
        <v>0</v>
      </c>
      <c r="H119" s="67" t="n">
        <v>0</v>
      </c>
      <c r="I119" s="67" t="n">
        <v>0</v>
      </c>
      <c r="J119" s="67" t="n">
        <v>0</v>
      </c>
      <c r="K119" s="67" t="n">
        <v>0</v>
      </c>
      <c r="L119" s="67" t="n">
        <v>0</v>
      </c>
      <c r="M119" s="67" t="n">
        <v>0</v>
      </c>
      <c r="N119" s="51" t="n"/>
      <c r="O119" s="190" t="n"/>
      <c r="P119" s="190" t="n"/>
      <c r="Q119" s="190" t="n"/>
      <c r="R119" s="190" t="n"/>
      <c r="S119" s="190" t="n"/>
      <c r="T119" s="190" t="n"/>
      <c r="U119" s="190" t="n"/>
      <c r="V119" s="190" t="n"/>
      <c r="W119" s="190" t="n"/>
      <c r="X119" s="13" t="inlineStr">
        <is>
          <t>3 HP</t>
        </is>
      </c>
      <c r="Y119" s="26" t="n">
        <v>0</v>
      </c>
      <c r="Z119" s="26" t="n">
        <v>0</v>
      </c>
      <c r="AA119" s="26" t="n">
        <v>0</v>
      </c>
      <c r="AB119" s="26" t="n">
        <v>0</v>
      </c>
      <c r="AC119" s="26" t="n">
        <v>0</v>
      </c>
      <c r="AD119" s="26" t="n">
        <v>0</v>
      </c>
    </row>
    <row r="120" ht="23.4" customHeight="1">
      <c r="A120" s="146" t="inlineStr">
        <is>
          <t xml:space="preserve">                                                                       INDIVIDUAL/CONSOLIDATED (TICK ONE)</t>
        </is>
      </c>
      <c r="Y120" s="1" t="n"/>
      <c r="Z120" s="133" t="inlineStr">
        <is>
          <t>TB - 07</t>
        </is>
      </c>
      <c r="AB120" s="1" t="n"/>
      <c r="AC120" s="1" t="n"/>
      <c r="AD120" s="1" t="n"/>
    </row>
    <row r="121" ht="30.9" customHeight="1">
      <c r="A121" s="134" t="inlineStr">
        <is>
          <t xml:space="preserve">Name of TB Care Facility (BMU) :  </t>
        </is>
      </c>
      <c r="E121" s="135" t="inlineStr">
        <is>
          <t xml:space="preserve">KMC Leprosy Hospital </t>
        </is>
      </c>
      <c r="I121" s="136" t="inlineStr">
        <is>
          <t xml:space="preserve">District : </t>
        </is>
      </c>
      <c r="K121" s="137" t="n">
        <v>0</v>
      </c>
      <c r="M121" s="136" t="inlineStr">
        <is>
          <t>Central :</t>
        </is>
      </c>
      <c r="O121" s="138" t="inlineStr">
        <is>
          <t>Manghopir</t>
        </is>
      </c>
      <c r="S121" s="54" t="n"/>
      <c r="T121" s="2" t="n"/>
      <c r="U121" s="139" t="inlineStr">
        <is>
          <t xml:space="preserve">Patients registered during  </t>
        </is>
      </c>
      <c r="Z121" s="147" t="inlineStr">
        <is>
          <t>4th Quarter</t>
        </is>
      </c>
      <c r="AC121" s="145" t="inlineStr">
        <is>
          <t>of Year 2026</t>
        </is>
      </c>
    </row>
    <row r="122" ht="15" customHeight="1"/>
    <row r="123" ht="15.6" customHeight="1">
      <c r="A123" s="99" t="inlineStr">
        <is>
          <t>Name of TB Coodinator/Facility incharge  :</t>
        </is>
      </c>
      <c r="I123" s="100" t="inlineStr">
        <is>
          <t>___________________________________________________</t>
        </is>
      </c>
      <c r="P123" s="21" t="n"/>
      <c r="Q123" s="21" t="n"/>
      <c r="U123" s="101" t="inlineStr">
        <is>
          <t>Date of completion of this form :</t>
        </is>
      </c>
      <c r="AA123" s="102" t="inlineStr">
        <is>
          <t>_______________________</t>
        </is>
      </c>
    </row>
    <row r="124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</row>
    <row r="125" ht="15" customHeight="1">
      <c r="A125" s="177" t="inlineStr">
        <is>
          <t xml:space="preserve">Block 1: </t>
        </is>
      </c>
      <c r="B125" s="178" t="n"/>
      <c r="C125" s="178" t="n"/>
      <c r="D125" s="178" t="n"/>
      <c r="E125" s="178" t="n"/>
      <c r="F125" s="178" t="n"/>
      <c r="G125" s="178" t="n"/>
      <c r="H125" s="178" t="n"/>
      <c r="I125" s="178" t="n"/>
      <c r="J125" s="178" t="n"/>
      <c r="K125" s="179" t="n"/>
      <c r="L125" s="67" t="inlineStr">
        <is>
          <t>New (N)</t>
        </is>
      </c>
      <c r="M125" s="179" t="n"/>
      <c r="N125" s="67" t="inlineStr">
        <is>
          <t>Relapse ®</t>
        </is>
      </c>
      <c r="O125" s="179" t="n"/>
      <c r="P125" s="165" t="inlineStr">
        <is>
          <t>Previous Treatment History Unknown
(UK)</t>
        </is>
      </c>
      <c r="Q125" s="178" t="n"/>
      <c r="R125" s="179" t="n"/>
      <c r="S125" s="165" t="inlineStr">
        <is>
          <t>New episode
(N+R+UK)</t>
        </is>
      </c>
      <c r="T125" s="178" t="n"/>
      <c r="U125" s="179" t="n"/>
      <c r="V125" s="67" t="inlineStr">
        <is>
          <t>Re - registered Cases ( Excluding Recurrent cases)</t>
        </is>
      </c>
      <c r="W125" s="33" t="n"/>
      <c r="X125" s="33" t="n"/>
      <c r="Y125" s="33" t="n"/>
      <c r="Z125" s="33" t="n"/>
      <c r="AA125" s="33" t="n"/>
      <c r="AB125" s="45" t="n"/>
      <c r="AC125" s="67" t="inlineStr">
        <is>
          <t>Total</t>
        </is>
      </c>
      <c r="AD125" s="179" t="n"/>
    </row>
    <row r="126" ht="23.25" customHeight="1">
      <c r="A126" s="180" t="inlineStr">
        <is>
          <t>All TB Cases Registered</t>
        </is>
      </c>
      <c r="K126" s="181" t="n"/>
      <c r="L126" s="182" t="n"/>
      <c r="M126" s="181" t="n"/>
      <c r="N126" s="182" t="n"/>
      <c r="O126" s="181" t="n"/>
      <c r="P126" s="182" t="n"/>
      <c r="R126" s="181" t="n"/>
      <c r="S126" s="182" t="n"/>
      <c r="U126" s="181" t="n"/>
      <c r="V126" s="165" t="inlineStr">
        <is>
          <t>Treatment after failure</t>
        </is>
      </c>
      <c r="W126" s="178" t="n"/>
      <c r="X126" s="179" t="n"/>
      <c r="Y126" s="165" t="inlineStr">
        <is>
          <t>Treatment after lost to follow-up</t>
        </is>
      </c>
      <c r="Z126" s="179" t="n"/>
      <c r="AA126" s="165" t="inlineStr">
        <is>
          <t>Other</t>
        </is>
      </c>
      <c r="AB126" s="179" t="n"/>
      <c r="AC126" s="182" t="n"/>
      <c r="AD126" s="181" t="n"/>
    </row>
    <row r="127">
      <c r="A127" s="183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184" t="n"/>
      <c r="L127" s="183" t="n"/>
      <c r="M127" s="184" t="n"/>
      <c r="N127" s="183" t="n"/>
      <c r="O127" s="184" t="n"/>
      <c r="P127" s="183" t="n"/>
      <c r="Q127" s="22" t="n"/>
      <c r="R127" s="184" t="n"/>
      <c r="S127" s="183" t="n"/>
      <c r="T127" s="22" t="n"/>
      <c r="U127" s="184" t="n"/>
      <c r="V127" s="183" t="n"/>
      <c r="W127" s="22" t="n"/>
      <c r="X127" s="184" t="n"/>
      <c r="Y127" s="183" t="n"/>
      <c r="Z127" s="184" t="n"/>
      <c r="AA127" s="183" t="n"/>
      <c r="AB127" s="184" t="n"/>
      <c r="AC127" s="183" t="n"/>
      <c r="AD127" s="184" t="n"/>
    </row>
    <row r="128" ht="24.9" customHeight="1">
      <c r="A128" s="185" t="inlineStr">
        <is>
          <t>Pulmonary, Bacteriologically Confermid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45" t="n"/>
      <c r="L128" s="26" t="n">
        <v>0</v>
      </c>
      <c r="M128" s="45" t="n"/>
      <c r="N128" s="26" t="n">
        <v>0</v>
      </c>
      <c r="O128" s="45" t="n"/>
      <c r="P128" s="26" t="n">
        <v>0</v>
      </c>
      <c r="Q128" s="33" t="n"/>
      <c r="R128" s="45" t="n"/>
      <c r="S128" s="67" t="n">
        <v>0</v>
      </c>
      <c r="T128" s="33" t="n"/>
      <c r="U128" s="45" t="n"/>
      <c r="V128" s="26" t="n">
        <v>0</v>
      </c>
      <c r="W128" s="33" t="n"/>
      <c r="X128" s="45" t="n"/>
      <c r="Y128" s="26" t="n">
        <v>0</v>
      </c>
      <c r="Z128" s="45" t="n"/>
      <c r="AA128" s="26" t="n">
        <v>0</v>
      </c>
      <c r="AB128" s="45" t="n"/>
      <c r="AC128" s="67" t="n">
        <v>0</v>
      </c>
      <c r="AD128" s="45" t="n"/>
    </row>
    <row r="129" ht="24.9" customHeight="1">
      <c r="A129" s="185" t="inlineStr">
        <is>
          <t>Pulmonary , Clinically Diagnosed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26" t="n">
        <v>0</v>
      </c>
      <c r="M129" s="45" t="n"/>
      <c r="N129" s="26" t="n">
        <v>0</v>
      </c>
      <c r="O129" s="45" t="n"/>
      <c r="P129" s="26" t="n">
        <v>0</v>
      </c>
      <c r="Q129" s="33" t="n"/>
      <c r="R129" s="45" t="n"/>
      <c r="S129" s="67" t="n">
        <v>0</v>
      </c>
      <c r="T129" s="33" t="n"/>
      <c r="U129" s="45" t="n"/>
      <c r="V129" s="26" t="n">
        <v>0</v>
      </c>
      <c r="W129" s="33" t="n"/>
      <c r="X129" s="45" t="n"/>
      <c r="Y129" s="26" t="n">
        <v>0</v>
      </c>
      <c r="Z129" s="45" t="n"/>
      <c r="AA129" s="26" t="n">
        <v>0</v>
      </c>
      <c r="AB129" s="45" t="n"/>
      <c r="AC129" s="67" t="n">
        <v>0</v>
      </c>
      <c r="AD129" s="45" t="n"/>
    </row>
    <row r="130" ht="24.9" customHeight="1">
      <c r="A130" s="185" t="inlineStr">
        <is>
          <t>Extra Pulmonary, Bacteriologically Confermid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26" t="n">
        <v>0</v>
      </c>
      <c r="M130" s="45" t="n"/>
      <c r="N130" s="26" t="n">
        <v>0</v>
      </c>
      <c r="O130" s="45" t="n"/>
      <c r="P130" s="26" t="n">
        <v>0</v>
      </c>
      <c r="Q130" s="33" t="n"/>
      <c r="R130" s="45" t="n"/>
      <c r="S130" s="67" t="n">
        <v>0</v>
      </c>
      <c r="T130" s="33" t="n"/>
      <c r="U130" s="45" t="n"/>
      <c r="V130" s="26" t="n">
        <v>0</v>
      </c>
      <c r="W130" s="33" t="n"/>
      <c r="X130" s="45" t="n"/>
      <c r="Y130" s="26" t="n">
        <v>0</v>
      </c>
      <c r="Z130" s="45" t="n"/>
      <c r="AA130" s="26" t="n">
        <v>0</v>
      </c>
      <c r="AB130" s="45" t="n"/>
      <c r="AC130" s="67" t="n">
        <v>0</v>
      </c>
      <c r="AD130" s="45" t="n"/>
    </row>
    <row r="131" ht="24.9" customHeight="1">
      <c r="A131" s="185" t="inlineStr">
        <is>
          <t>Extra Pulmonary , Clinically Diagnosed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26" t="n">
        <v>0</v>
      </c>
      <c r="M131" s="45" t="n"/>
      <c r="N131" s="26" t="n">
        <v>0</v>
      </c>
      <c r="O131" s="45" t="n"/>
      <c r="P131" s="26" t="n">
        <v>0</v>
      </c>
      <c r="Q131" s="33" t="n"/>
      <c r="R131" s="45" t="n"/>
      <c r="S131" s="67" t="n">
        <v>0</v>
      </c>
      <c r="T131" s="33" t="n"/>
      <c r="U131" s="45" t="n"/>
      <c r="V131" s="26" t="n">
        <v>0</v>
      </c>
      <c r="W131" s="33" t="n"/>
      <c r="X131" s="45" t="n"/>
      <c r="Y131" s="26" t="n">
        <v>0</v>
      </c>
      <c r="Z131" s="45" t="n"/>
      <c r="AA131" s="26" t="n">
        <v>0</v>
      </c>
      <c r="AB131" s="45" t="n"/>
      <c r="AC131" s="67" t="n">
        <v>0</v>
      </c>
      <c r="AD131" s="45" t="n"/>
    </row>
    <row r="132" ht="24.9" customHeight="1">
      <c r="A132" s="185" t="inlineStr">
        <is>
          <t>Total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67" t="n">
        <v>0</v>
      </c>
      <c r="M132" s="45" t="n"/>
      <c r="N132" s="67" t="n">
        <v>0</v>
      </c>
      <c r="O132" s="45" t="n"/>
      <c r="P132" s="67" t="n">
        <v>0</v>
      </c>
      <c r="Q132" s="33" t="n"/>
      <c r="R132" s="45" t="n"/>
      <c r="S132" s="67" t="n">
        <v>0</v>
      </c>
      <c r="T132" s="33" t="n"/>
      <c r="U132" s="45" t="n"/>
      <c r="V132" s="67" t="n">
        <v>0</v>
      </c>
      <c r="W132" s="33" t="n"/>
      <c r="X132" s="45" t="n"/>
      <c r="Y132" s="67" t="n">
        <v>0</v>
      </c>
      <c r="Z132" s="45" t="n"/>
      <c r="AA132" s="67" t="n">
        <v>0</v>
      </c>
      <c r="AB132" s="45" t="n"/>
      <c r="AC132" s="67" t="n">
        <v>0</v>
      </c>
      <c r="AD132" s="45" t="n"/>
    </row>
    <row r="133" ht="15.6" customHeight="1">
      <c r="A133" s="23" t="inlineStr">
        <is>
          <t>Block 2: All New, Relapse and previous treatment history unknown Cases registered during the period by Age Group and Gender</t>
        </is>
      </c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5" t="n"/>
    </row>
    <row r="134" ht="21.75" customHeight="1">
      <c r="A134" s="186" t="n"/>
      <c r="B134" s="178" t="n"/>
      <c r="C134" s="178" t="n"/>
      <c r="D134" s="178" t="n"/>
      <c r="E134" s="178" t="n"/>
      <c r="F134" s="178" t="n"/>
      <c r="G134" s="178" t="n"/>
      <c r="H134" s="178" t="n"/>
      <c r="I134" s="178" t="n"/>
      <c r="J134" s="178" t="n"/>
      <c r="K134" s="179" t="n"/>
      <c r="L134" s="67" t="inlineStr">
        <is>
          <t>0-4</t>
        </is>
      </c>
      <c r="M134" s="45" t="n"/>
      <c r="N134" s="187" t="inlineStr">
        <is>
          <t>5-14</t>
        </is>
      </c>
      <c r="O134" s="45" t="n"/>
      <c r="P134" s="188" t="inlineStr">
        <is>
          <t>15-24</t>
        </is>
      </c>
      <c r="Q134" s="45" t="n"/>
      <c r="R134" s="188" t="inlineStr">
        <is>
          <t>25-34</t>
        </is>
      </c>
      <c r="S134" s="45" t="n"/>
      <c r="T134" s="188" t="inlineStr">
        <is>
          <t>35-44</t>
        </is>
      </c>
      <c r="U134" s="45" t="n"/>
      <c r="V134" s="188" t="inlineStr">
        <is>
          <t>45-54</t>
        </is>
      </c>
      <c r="W134" s="45" t="n"/>
      <c r="X134" s="188" t="inlineStr">
        <is>
          <t>55-64</t>
        </is>
      </c>
      <c r="Y134" s="45" t="n"/>
      <c r="Z134" s="188" t="inlineStr">
        <is>
          <t>65 &amp; Above</t>
        </is>
      </c>
      <c r="AA134" s="45" t="n"/>
      <c r="AB134" s="188" t="inlineStr">
        <is>
          <t>Total</t>
        </is>
      </c>
      <c r="AC134" s="45" t="n"/>
      <c r="AD134" s="189" t="inlineStr">
        <is>
          <t>Grand
Total</t>
        </is>
      </c>
    </row>
    <row r="135">
      <c r="A135" s="183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184" t="n"/>
      <c r="L135" s="67" t="inlineStr">
        <is>
          <t>M</t>
        </is>
      </c>
      <c r="M135" s="67" t="inlineStr">
        <is>
          <t>F</t>
        </is>
      </c>
      <c r="N135" s="67" t="inlineStr">
        <is>
          <t>M</t>
        </is>
      </c>
      <c r="O135" s="67" t="inlineStr">
        <is>
          <t>F</t>
        </is>
      </c>
      <c r="P135" s="67" t="inlineStr">
        <is>
          <t>M</t>
        </is>
      </c>
      <c r="Q135" s="67" t="inlineStr">
        <is>
          <t>F</t>
        </is>
      </c>
      <c r="R135" s="67" t="inlineStr">
        <is>
          <t>M</t>
        </is>
      </c>
      <c r="S135" s="67" t="inlineStr">
        <is>
          <t>F</t>
        </is>
      </c>
      <c r="T135" s="67" t="inlineStr">
        <is>
          <t>M</t>
        </is>
      </c>
      <c r="U135" s="67" t="inlineStr">
        <is>
          <t>F</t>
        </is>
      </c>
      <c r="V135" s="67" t="inlineStr">
        <is>
          <t>M</t>
        </is>
      </c>
      <c r="W135" s="67" t="inlineStr">
        <is>
          <t>F</t>
        </is>
      </c>
      <c r="X135" s="67" t="inlineStr">
        <is>
          <t>M</t>
        </is>
      </c>
      <c r="Y135" s="67" t="inlineStr">
        <is>
          <t>F</t>
        </is>
      </c>
      <c r="Z135" s="67" t="inlineStr">
        <is>
          <t>M</t>
        </is>
      </c>
      <c r="AA135" s="67" t="inlineStr">
        <is>
          <t>F</t>
        </is>
      </c>
      <c r="AB135" s="67" t="inlineStr">
        <is>
          <t>M</t>
        </is>
      </c>
      <c r="AC135" s="67" t="inlineStr">
        <is>
          <t>F</t>
        </is>
      </c>
      <c r="AD135" s="190" t="n"/>
    </row>
    <row r="136" ht="24.9" customHeight="1">
      <c r="A136" s="185" t="inlineStr">
        <is>
          <t>Pulmonary, Bacteriologically Confermid</t>
        </is>
      </c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45" t="n"/>
      <c r="L136" s="26" t="n">
        <v>0</v>
      </c>
      <c r="M136" s="26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0</v>
      </c>
      <c r="U136" s="26" t="n">
        <v>0</v>
      </c>
      <c r="V136" s="26" t="n">
        <v>0</v>
      </c>
      <c r="W136" s="26" t="n">
        <v>0</v>
      </c>
      <c r="X136" s="26" t="n">
        <v>0</v>
      </c>
      <c r="Y136" s="26" t="n">
        <v>0</v>
      </c>
      <c r="Z136" s="26" t="n">
        <v>0</v>
      </c>
      <c r="AA136" s="26" t="n">
        <v>0</v>
      </c>
      <c r="AB136" s="67" t="n">
        <v>0</v>
      </c>
      <c r="AC136" s="67" t="n">
        <v>0</v>
      </c>
      <c r="AD136" s="67" t="n">
        <v>0</v>
      </c>
    </row>
    <row r="137" ht="24.9" customHeight="1">
      <c r="A137" s="185" t="inlineStr">
        <is>
          <t>Pulmonary , Clinically Diagnosed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26" t="n">
        <v>0</v>
      </c>
      <c r="M137" s="26" t="n">
        <v>0</v>
      </c>
      <c r="N137" s="26" t="n">
        <v>0</v>
      </c>
      <c r="O137" s="26" t="n">
        <v>0</v>
      </c>
      <c r="P137" s="26" t="n">
        <v>0</v>
      </c>
      <c r="Q137" s="26" t="n">
        <v>0</v>
      </c>
      <c r="R137" s="26" t="n">
        <v>0</v>
      </c>
      <c r="S137" s="26" t="n">
        <v>0</v>
      </c>
      <c r="T137" s="26" t="n">
        <v>0</v>
      </c>
      <c r="U137" s="26" t="n">
        <v>0</v>
      </c>
      <c r="V137" s="26" t="n">
        <v>0</v>
      </c>
      <c r="W137" s="26" t="n">
        <v>0</v>
      </c>
      <c r="X137" s="26" t="n">
        <v>0</v>
      </c>
      <c r="Y137" s="26" t="n">
        <v>0</v>
      </c>
      <c r="Z137" s="26" t="n">
        <v>0</v>
      </c>
      <c r="AA137" s="26" t="n">
        <v>0</v>
      </c>
      <c r="AB137" s="67" t="n">
        <v>0</v>
      </c>
      <c r="AC137" s="67" t="n">
        <v>0</v>
      </c>
      <c r="AD137" s="67" t="n">
        <v>0</v>
      </c>
    </row>
    <row r="138" ht="24.9" customHeight="1">
      <c r="A138" s="185" t="inlineStr">
        <is>
          <t>Extra Pulmonary, Bacteriologically Confermid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26" t="n">
        <v>0</v>
      </c>
      <c r="M138" s="26" t="n">
        <v>0</v>
      </c>
      <c r="N138" s="26" t="n">
        <v>0</v>
      </c>
      <c r="O138" s="26" t="n">
        <v>0</v>
      </c>
      <c r="P138" s="26" t="n">
        <v>0</v>
      </c>
      <c r="Q138" s="26" t="n">
        <v>0</v>
      </c>
      <c r="R138" s="26" t="n">
        <v>0</v>
      </c>
      <c r="S138" s="26" t="n">
        <v>0</v>
      </c>
      <c r="T138" s="26" t="n">
        <v>0</v>
      </c>
      <c r="U138" s="26" t="n">
        <v>0</v>
      </c>
      <c r="V138" s="26" t="n">
        <v>0</v>
      </c>
      <c r="W138" s="26" t="n">
        <v>0</v>
      </c>
      <c r="X138" s="26" t="n">
        <v>0</v>
      </c>
      <c r="Y138" s="26" t="n">
        <v>0</v>
      </c>
      <c r="Z138" s="26" t="n">
        <v>0</v>
      </c>
      <c r="AA138" s="26" t="n">
        <v>0</v>
      </c>
      <c r="AB138" s="67" t="n">
        <v>0</v>
      </c>
      <c r="AC138" s="67" t="n">
        <v>0</v>
      </c>
      <c r="AD138" s="67" t="n">
        <v>0</v>
      </c>
    </row>
    <row r="139" ht="24.9" customHeight="1">
      <c r="A139" s="185" t="inlineStr">
        <is>
          <t>Extra Pulmonary , Clinically Diagnosed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26" t="n">
        <v>0</v>
      </c>
      <c r="M139" s="26" t="n">
        <v>0</v>
      </c>
      <c r="N139" s="26" t="n">
        <v>0</v>
      </c>
      <c r="O139" s="26" t="n">
        <v>0</v>
      </c>
      <c r="P139" s="26" t="n">
        <v>0</v>
      </c>
      <c r="Q139" s="26" t="n">
        <v>0</v>
      </c>
      <c r="R139" s="26" t="n">
        <v>0</v>
      </c>
      <c r="S139" s="26" t="n">
        <v>0</v>
      </c>
      <c r="T139" s="26" t="n">
        <v>0</v>
      </c>
      <c r="U139" s="26" t="n">
        <v>0</v>
      </c>
      <c r="V139" s="26" t="n">
        <v>0</v>
      </c>
      <c r="W139" s="26" t="n">
        <v>0</v>
      </c>
      <c r="X139" s="26" t="n">
        <v>0</v>
      </c>
      <c r="Y139" s="26" t="n">
        <v>0</v>
      </c>
      <c r="Z139" s="26" t="n">
        <v>0</v>
      </c>
      <c r="AA139" s="26" t="n">
        <v>0</v>
      </c>
      <c r="AB139" s="67" t="n">
        <v>0</v>
      </c>
      <c r="AC139" s="67" t="n">
        <v>0</v>
      </c>
      <c r="AD139" s="67" t="n">
        <v>0</v>
      </c>
    </row>
    <row r="140" ht="24.9" customHeight="1">
      <c r="A140" s="67" t="inlineStr">
        <is>
          <t>Total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67" t="n">
        <v>0</v>
      </c>
      <c r="M140" s="67" t="n">
        <v>0</v>
      </c>
      <c r="N140" s="67" t="n">
        <v>0</v>
      </c>
      <c r="O140" s="67" t="n">
        <v>0</v>
      </c>
      <c r="P140" s="67" t="n">
        <v>0</v>
      </c>
      <c r="Q140" s="67" t="n">
        <v>0</v>
      </c>
      <c r="R140" s="67" t="n">
        <v>0</v>
      </c>
      <c r="S140" s="67" t="n">
        <v>0</v>
      </c>
      <c r="T140" s="67" t="n">
        <v>0</v>
      </c>
      <c r="U140" s="67" t="n">
        <v>0</v>
      </c>
      <c r="V140" s="67" t="n">
        <v>0</v>
      </c>
      <c r="W140" s="67" t="n">
        <v>0</v>
      </c>
      <c r="X140" s="67" t="n">
        <v>0</v>
      </c>
      <c r="Y140" s="67" t="n">
        <v>0</v>
      </c>
      <c r="Z140" s="67" t="n">
        <v>0</v>
      </c>
      <c r="AA140" s="67" t="n">
        <v>0</v>
      </c>
      <c r="AB140" s="67" t="n">
        <v>0</v>
      </c>
      <c r="AC140" s="67" t="n">
        <v>0</v>
      </c>
      <c r="AD140" s="67" t="n">
        <v>0</v>
      </c>
    </row>
    <row r="141" ht="6.75" customHeight="1">
      <c r="A141" s="27" t="n"/>
      <c r="B141" s="28" t="n"/>
      <c r="C141" s="28" t="n"/>
      <c r="D141" s="28" t="n"/>
      <c r="E141" s="28" t="n"/>
      <c r="F141" s="29" t="n"/>
      <c r="G141" s="29" t="n"/>
      <c r="H141" s="30" t="n"/>
      <c r="I141" s="30" t="n"/>
      <c r="J141" s="30" t="n"/>
      <c r="K141" s="30" t="n"/>
      <c r="L141" s="30" t="n"/>
      <c r="M141" s="30" t="n"/>
      <c r="N141" s="31" t="n"/>
      <c r="O141" s="30" t="n"/>
      <c r="P141" s="87" t="n"/>
      <c r="Q141" s="45" t="n"/>
      <c r="R141" s="32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3" t="n"/>
    </row>
    <row r="142" ht="18" customHeight="1">
      <c r="A142" s="34" t="inlineStr">
        <is>
          <t>Block 3: Presumptive TB Cases Identified Laboratory Diagnosis and use of WRD</t>
        </is>
      </c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6" t="n"/>
      <c r="N142" s="37" t="n"/>
      <c r="O142" s="34" t="inlineStr">
        <is>
          <t>Block 4 :  TB HIV  Activities</t>
        </is>
      </c>
      <c r="P142" s="35" t="n"/>
      <c r="Q142" s="35" t="n"/>
      <c r="R142" s="35" t="n"/>
      <c r="S142" s="35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25" t="n"/>
    </row>
    <row r="143" ht="42.75" customHeight="1">
      <c r="A143" s="6" t="inlineStr">
        <is>
          <t>Total
New OPD in Quarter</t>
        </is>
      </c>
      <c r="B143" s="88" t="inlineStr">
        <is>
          <t>No. of presumptive TB cases identified</t>
        </is>
      </c>
      <c r="C143" s="179" t="n"/>
      <c r="D143" s="6" t="inlineStr">
        <is>
          <t>No. of Presumptive TB
Patients tested 
Using</t>
        </is>
      </c>
      <c r="E143" s="33" t="n"/>
      <c r="F143" s="33" t="n"/>
      <c r="G143" s="45" t="n"/>
      <c r="H143" s="6" t="inlineStr">
        <is>
          <t>Among Presumptive 
TB cases tested  number reported B+</t>
        </is>
      </c>
      <c r="I143" s="33" t="n"/>
      <c r="J143" s="33" t="n"/>
      <c r="K143" s="45" t="n"/>
      <c r="L143" s="6" t="inlineStr">
        <is>
          <t>Among all
registered
number of
B+ TB
Cases</t>
        </is>
      </c>
      <c r="M143" s="6" t="inlineStr">
        <is>
          <t>Amoung All
(N+R+UK)
number tested
by Gene Xpert</t>
        </is>
      </c>
      <c r="N143" s="5" t="n"/>
      <c r="O143" s="165" t="inlineStr">
        <is>
          <t>No. of TB patients
tested for HIV</t>
        </is>
      </c>
      <c r="P143" s="33" t="n"/>
      <c r="Q143" s="33" t="n"/>
      <c r="R143" s="45" t="n"/>
      <c r="S143" s="165" t="inlineStr">
        <is>
          <t>HIV Reactive</t>
        </is>
      </c>
      <c r="T143" s="33" t="n"/>
      <c r="U143" s="33" t="n"/>
      <c r="V143" s="45" t="n"/>
      <c r="W143" s="165" t="inlineStr">
        <is>
          <t>TB Patients confirmed
positive for HIV</t>
        </is>
      </c>
      <c r="X143" s="33" t="n"/>
      <c r="Y143" s="33" t="n"/>
      <c r="Z143" s="45" t="n"/>
      <c r="AA143" s="165" t="inlineStr">
        <is>
          <t>HIV positive TB Patients put on ART</t>
        </is>
      </c>
      <c r="AB143" s="33" t="n"/>
      <c r="AC143" s="33" t="n"/>
      <c r="AD143" s="45" t="n"/>
    </row>
    <row r="144" ht="48" customHeight="1">
      <c r="A144" s="190" t="n"/>
      <c r="B144" s="6" t="inlineStr">
        <is>
          <t>Total</t>
        </is>
      </c>
      <c r="C144" s="88" t="inlineStr">
        <is>
          <t>Through
Community
Referrals (LHWs)</t>
        </is>
      </c>
      <c r="D144" s="88" t="inlineStr">
        <is>
          <t>AFB</t>
        </is>
      </c>
      <c r="E144" s="88" t="inlineStr">
        <is>
          <t>Xp &amp;
AFB</t>
        </is>
      </c>
      <c r="F144" s="88" t="inlineStr">
        <is>
          <t>XP</t>
        </is>
      </c>
      <c r="G144" s="7" t="inlineStr">
        <is>
          <t>G.Tot</t>
        </is>
      </c>
      <c r="H144" s="7" t="inlineStr">
        <is>
          <t>AFB</t>
        </is>
      </c>
      <c r="I144" s="88" t="inlineStr">
        <is>
          <t>AFB +
Xpert</t>
        </is>
      </c>
      <c r="J144" s="7" t="inlineStr">
        <is>
          <t>Xpert</t>
        </is>
      </c>
      <c r="K144" s="7" t="inlineStr">
        <is>
          <t>G.Tot</t>
        </is>
      </c>
      <c r="L144" s="190" t="n"/>
      <c r="M144" s="190" t="n"/>
      <c r="N144" s="5" t="n"/>
      <c r="O144" s="143" t="n">
        <v>0</v>
      </c>
      <c r="P144" s="33" t="n"/>
      <c r="Q144" s="33" t="n"/>
      <c r="R144" s="33" t="n"/>
      <c r="S144" s="143" t="n">
        <v>0</v>
      </c>
      <c r="T144" s="33" t="n"/>
      <c r="U144" s="33" t="n"/>
      <c r="V144" s="33" t="n"/>
      <c r="W144" s="143" t="n">
        <v>0</v>
      </c>
      <c r="X144" s="33" t="n"/>
      <c r="Y144" s="33" t="n"/>
      <c r="Z144" s="33" t="n"/>
      <c r="AA144" s="143" t="n">
        <v>0</v>
      </c>
      <c r="AB144" s="33" t="n"/>
      <c r="AC144" s="33" t="n"/>
      <c r="AD144" s="33" t="n"/>
    </row>
    <row r="145" ht="38.25" customHeight="1">
      <c r="A145" s="192" t="n">
        <v>0</v>
      </c>
      <c r="B145" s="192" t="n">
        <v>0</v>
      </c>
      <c r="C145" s="192" t="n">
        <v>0</v>
      </c>
      <c r="D145" s="192" t="n">
        <v>0</v>
      </c>
      <c r="E145" s="192" t="n">
        <v>0</v>
      </c>
      <c r="F145" s="192" t="n">
        <v>0</v>
      </c>
      <c r="G145" s="193" t="n">
        <v>0</v>
      </c>
      <c r="H145" s="192" t="n">
        <v>0</v>
      </c>
      <c r="I145" s="192" t="n">
        <v>0</v>
      </c>
      <c r="J145" s="192" t="n">
        <v>0</v>
      </c>
      <c r="K145" s="193" t="n">
        <v>0</v>
      </c>
      <c r="L145" s="192" t="n">
        <v>0</v>
      </c>
      <c r="M145" s="192" t="n">
        <v>0</v>
      </c>
      <c r="N145" s="5" t="n"/>
      <c r="O145" s="165" t="inlineStr">
        <is>
          <t xml:space="preserve">HIV patient tested for TB </t>
        </is>
      </c>
      <c r="P145" s="33" t="n"/>
      <c r="Q145" s="33" t="n"/>
      <c r="R145" s="45" t="n"/>
      <c r="S145" s="165" t="inlineStr">
        <is>
          <t>HIV patients 
diagnosed  for TB</t>
        </is>
      </c>
      <c r="T145" s="33" t="n"/>
      <c r="U145" s="33" t="n"/>
      <c r="V145" s="45" t="n"/>
      <c r="W145" s="165" t="inlineStr">
        <is>
          <t>TB HIV patients put on
 TB Tx</t>
        </is>
      </c>
      <c r="X145" s="33" t="n"/>
      <c r="Y145" s="33" t="n"/>
      <c r="Z145" s="45" t="n"/>
      <c r="AA145" s="165" t="inlineStr">
        <is>
          <t>HIV positive TB negative
patients on TPT</t>
        </is>
      </c>
      <c r="AB145" s="33" t="n"/>
      <c r="AC145" s="33" t="n"/>
      <c r="AD145" s="45" t="n"/>
    </row>
    <row r="146" ht="19.5" customHeight="1">
      <c r="A146" s="191" t="n"/>
      <c r="B146" s="191" t="n"/>
      <c r="C146" s="191" t="n"/>
      <c r="D146" s="191" t="n"/>
      <c r="E146" s="191" t="n"/>
      <c r="F146" s="191" t="n"/>
      <c r="G146" s="191" t="n"/>
      <c r="H146" s="191" t="n"/>
      <c r="I146" s="191" t="n"/>
      <c r="J146" s="191" t="n"/>
      <c r="K146" s="191" t="n"/>
      <c r="L146" s="191" t="n"/>
      <c r="M146" s="191" t="n"/>
      <c r="N146" s="39" t="n"/>
      <c r="O146" s="154" t="n">
        <v>0</v>
      </c>
      <c r="P146" s="178" t="n"/>
      <c r="Q146" s="178" t="n"/>
      <c r="R146" s="179" t="n"/>
      <c r="S146" s="154" t="n">
        <v>0</v>
      </c>
      <c r="T146" s="178" t="n"/>
      <c r="U146" s="178" t="n"/>
      <c r="V146" s="179" t="n"/>
      <c r="W146" s="154" t="n">
        <v>0</v>
      </c>
      <c r="X146" s="178" t="n"/>
      <c r="Y146" s="178" t="n"/>
      <c r="Z146" s="179" t="n"/>
      <c r="AA146" s="8" t="n"/>
      <c r="AB146" s="8" t="inlineStr">
        <is>
          <t>0-4</t>
        </is>
      </c>
      <c r="AC146" s="9" t="inlineStr">
        <is>
          <t>5-14</t>
        </is>
      </c>
      <c r="AD146" s="40" t="inlineStr">
        <is>
          <t>15 +</t>
        </is>
      </c>
    </row>
    <row r="147" ht="18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82" t="n"/>
      <c r="R147" s="181" t="n"/>
      <c r="S147" s="182" t="n"/>
      <c r="V147" s="181" t="n"/>
      <c r="W147" s="182" t="n"/>
      <c r="Z147" s="181" t="n"/>
      <c r="AA147" s="10" t="inlineStr">
        <is>
          <t>6H</t>
        </is>
      </c>
      <c r="AB147" s="41" t="n">
        <v>0</v>
      </c>
      <c r="AC147" s="55" t="n">
        <v>0</v>
      </c>
      <c r="AD147" s="55" t="n">
        <v>0</v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3HR</t>
        </is>
      </c>
      <c r="AB148" s="41" t="n">
        <v>0</v>
      </c>
      <c r="AC148" s="55" t="n">
        <v>0</v>
      </c>
      <c r="AD148" s="55" t="n">
        <v>0</v>
      </c>
    </row>
    <row r="149" ht="18" customHeight="1">
      <c r="A149" s="190" t="n"/>
      <c r="B149" s="190" t="n"/>
      <c r="C149" s="190" t="n"/>
      <c r="D149" s="190" t="n"/>
      <c r="E149" s="190" t="n"/>
      <c r="F149" s="190" t="n"/>
      <c r="G149" s="190" t="n"/>
      <c r="H149" s="190" t="n"/>
      <c r="I149" s="190" t="n"/>
      <c r="J149" s="190" t="n"/>
      <c r="K149" s="190" t="n"/>
      <c r="L149" s="190" t="n"/>
      <c r="M149" s="190" t="n"/>
      <c r="N149" s="39" t="n"/>
      <c r="O149" s="183" t="n"/>
      <c r="P149" s="22" t="n"/>
      <c r="Q149" s="22" t="n"/>
      <c r="R149" s="184" t="n"/>
      <c r="S149" s="183" t="n"/>
      <c r="T149" s="22" t="n"/>
      <c r="U149" s="22" t="n"/>
      <c r="V149" s="184" t="n"/>
      <c r="W149" s="183" t="n"/>
      <c r="X149" s="22" t="n"/>
      <c r="Y149" s="22" t="n"/>
      <c r="Z149" s="184" t="n"/>
      <c r="AA149" s="10" t="inlineStr">
        <is>
          <t>3 HP</t>
        </is>
      </c>
      <c r="AB149" s="41" t="n">
        <v>0</v>
      </c>
      <c r="AC149" s="55" t="n">
        <v>0</v>
      </c>
      <c r="AD149" s="55" t="n">
        <v>0</v>
      </c>
    </row>
    <row r="150" ht="8.25" customHeight="1">
      <c r="A150" s="11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4" t="n"/>
      <c r="O150" s="43" t="n"/>
      <c r="P150" s="43" t="n"/>
      <c r="Q150" s="43" t="n"/>
      <c r="R150" s="43" t="n"/>
      <c r="S150" s="43" t="n"/>
      <c r="T150" s="43" t="n"/>
      <c r="U150" s="43" t="n"/>
      <c r="V150" s="12" t="n"/>
      <c r="W150" s="12" t="n"/>
      <c r="X150" s="12" t="n"/>
      <c r="Y150" s="12" t="n"/>
      <c r="Z150" s="12" t="n"/>
      <c r="AA150" s="12" t="n"/>
      <c r="AB150" s="43" t="n"/>
      <c r="AC150" s="43" t="n"/>
      <c r="AD150" s="45" t="n"/>
    </row>
    <row r="151" ht="18" customHeight="1">
      <c r="A151" s="34" t="inlineStr">
        <is>
          <t>Block 5 :  Bacteriologically Confermid TB Cases with DST Result</t>
        </is>
      </c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6" t="n"/>
      <c r="N151" s="46" t="n"/>
      <c r="O151" s="34" t="inlineStr">
        <is>
          <t>Block 6 :  Contact Tracing HH *</t>
        </is>
      </c>
      <c r="P151" s="36" t="n"/>
      <c r="Q151" s="35" t="n"/>
      <c r="R151" s="47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8" t="n"/>
      <c r="AC151" s="38" t="n"/>
      <c r="AD151" s="48" t="n"/>
    </row>
    <row r="152" ht="18" customHeight="1">
      <c r="A152" s="80" t="inlineStr">
        <is>
          <t>Sensitive =S
Resistance = R</t>
        </is>
      </c>
      <c r="B152" s="81" t="inlineStr">
        <is>
          <t>PTB</t>
        </is>
      </c>
      <c r="C152" s="33" t="n"/>
      <c r="D152" s="33" t="n"/>
      <c r="E152" s="33" t="n"/>
      <c r="F152" s="33" t="n"/>
      <c r="G152" s="45" t="n"/>
      <c r="H152" s="81" t="inlineStr">
        <is>
          <t>EPTB</t>
        </is>
      </c>
      <c r="I152" s="33" t="n"/>
      <c r="J152" s="33" t="n"/>
      <c r="K152" s="33" t="n"/>
      <c r="L152" s="33" t="n"/>
      <c r="M152" s="45" t="n"/>
      <c r="N152" s="49" t="n"/>
      <c r="O152" s="6" t="inlineStr">
        <is>
          <t>Total No. of HH
of B+ PTB</t>
        </is>
      </c>
      <c r="P152" s="178" t="n"/>
      <c r="Q152" s="179" t="n"/>
      <c r="R152" s="6" t="inlineStr">
        <is>
          <t>No. of HH contacts of
B+ PTB Cases
Screened</t>
        </is>
      </c>
      <c r="S152" s="178" t="n"/>
      <c r="T152" s="179" t="n"/>
      <c r="U152" s="6" t="inlineStr">
        <is>
          <t>No. of TB 
Cases diagnosed Amoung HH
contact
screened</t>
        </is>
      </c>
      <c r="V152" s="178" t="n"/>
      <c r="W152" s="179" t="n"/>
      <c r="X152" s="6" t="inlineStr">
        <is>
          <t>No. of HH Contacts 
Initiated on TPT</t>
        </is>
      </c>
      <c r="Y152" s="178" t="n"/>
      <c r="Z152" s="178" t="n"/>
      <c r="AA152" s="179" t="n"/>
      <c r="AB152" s="6" t="inlineStr">
        <is>
          <t>HIV negative 
Immuno - compromised on 
TPT</t>
        </is>
      </c>
      <c r="AC152" s="178" t="n"/>
      <c r="AD152" s="179" t="n"/>
    </row>
    <row r="153" ht="13.5" customHeight="1">
      <c r="A153" s="191" t="n"/>
      <c r="B153" s="67" t="inlineStr">
        <is>
          <t>Rifampicin</t>
        </is>
      </c>
      <c r="C153" s="45" t="n"/>
      <c r="D153" s="67" t="inlineStr">
        <is>
          <t>Isoniazid</t>
        </is>
      </c>
      <c r="E153" s="45" t="n"/>
      <c r="F153" s="67" t="inlineStr">
        <is>
          <t>Fluoroquninolone</t>
        </is>
      </c>
      <c r="G153" s="45" t="n"/>
      <c r="H153" s="67" t="inlineStr">
        <is>
          <t>Rifampicin</t>
        </is>
      </c>
      <c r="I153" s="45" t="n"/>
      <c r="J153" s="67" t="inlineStr">
        <is>
          <t>Isoniazid</t>
        </is>
      </c>
      <c r="K153" s="45" t="n"/>
      <c r="L153" s="67" t="inlineStr">
        <is>
          <t>Fluoroquninolone</t>
        </is>
      </c>
      <c r="M153" s="45" t="n"/>
      <c r="N153" s="50" t="n"/>
      <c r="O153" s="182" t="n"/>
      <c r="Q153" s="181" t="n"/>
      <c r="R153" s="182" t="n"/>
      <c r="T153" s="181" t="n"/>
      <c r="U153" s="182" t="n"/>
      <c r="W153" s="181" t="n"/>
      <c r="X153" s="182" t="n"/>
      <c r="AA153" s="181" t="n"/>
      <c r="AB153" s="182" t="n"/>
      <c r="AD153" s="181" t="n"/>
    </row>
    <row r="154" ht="24.9" customHeight="1">
      <c r="A154" s="190" t="n"/>
      <c r="B154" s="67" t="inlineStr">
        <is>
          <t>S</t>
        </is>
      </c>
      <c r="C154" s="67" t="inlineStr">
        <is>
          <t>R</t>
        </is>
      </c>
      <c r="D154" s="67" t="inlineStr">
        <is>
          <t>S</t>
        </is>
      </c>
      <c r="E154" s="67" t="inlineStr">
        <is>
          <t>R</t>
        </is>
      </c>
      <c r="F154" s="67" t="inlineStr">
        <is>
          <t>S</t>
        </is>
      </c>
      <c r="G154" s="67" t="inlineStr">
        <is>
          <t>R</t>
        </is>
      </c>
      <c r="H154" s="67" t="inlineStr">
        <is>
          <t>S</t>
        </is>
      </c>
      <c r="I154" s="67" t="inlineStr">
        <is>
          <t>R</t>
        </is>
      </c>
      <c r="J154" s="67" t="inlineStr">
        <is>
          <t>S</t>
        </is>
      </c>
      <c r="K154" s="67" t="inlineStr">
        <is>
          <t>R</t>
        </is>
      </c>
      <c r="L154" s="67" t="inlineStr">
        <is>
          <t>S</t>
        </is>
      </c>
      <c r="M154" s="67" t="inlineStr">
        <is>
          <t>R</t>
        </is>
      </c>
      <c r="N154" s="51" t="n"/>
      <c r="O154" s="182" t="n"/>
      <c r="Q154" s="181" t="n"/>
      <c r="R154" s="182" t="n"/>
      <c r="T154" s="181" t="n"/>
      <c r="U154" s="182" t="n"/>
      <c r="W154" s="181" t="n"/>
      <c r="X154" s="183" t="n"/>
      <c r="Y154" s="22" t="n"/>
      <c r="Z154" s="22" t="n"/>
      <c r="AA154" s="184" t="n"/>
      <c r="AB154" s="183" t="n"/>
      <c r="AC154" s="22" t="n"/>
      <c r="AD154" s="184" t="n"/>
    </row>
    <row r="155" ht="24.9" customHeight="1">
      <c r="A155" s="67" t="inlineStr">
        <is>
          <t>New + UK</t>
        </is>
      </c>
      <c r="B155" s="26" t="n">
        <v>0</v>
      </c>
      <c r="C155" s="26" t="n">
        <v>0</v>
      </c>
      <c r="D155" s="26" t="n">
        <v>0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0</v>
      </c>
      <c r="J155" s="26" t="n">
        <v>0</v>
      </c>
      <c r="K155" s="26" t="n">
        <v>0</v>
      </c>
      <c r="L155" s="26" t="n">
        <v>0</v>
      </c>
      <c r="M155" s="26" t="n">
        <v>0</v>
      </c>
      <c r="N155" s="51" t="n"/>
      <c r="O155" s="183" t="n"/>
      <c r="P155" s="22" t="n"/>
      <c r="Q155" s="184" t="n"/>
      <c r="R155" s="183" t="n"/>
      <c r="S155" s="22" t="n"/>
      <c r="T155" s="184" t="n"/>
      <c r="U155" s="183" t="n"/>
      <c r="V155" s="22" t="n"/>
      <c r="W155" s="184" t="n"/>
      <c r="X155" s="17" t="n"/>
      <c r="Y155" s="13" t="inlineStr">
        <is>
          <t>0-4</t>
        </is>
      </c>
      <c r="Z155" s="15" t="inlineStr">
        <is>
          <t>5-14</t>
        </is>
      </c>
      <c r="AA155" s="16" t="inlineStr">
        <is>
          <t>15+</t>
        </is>
      </c>
      <c r="AB155" s="13" t="inlineStr">
        <is>
          <t>0-4</t>
        </is>
      </c>
      <c r="AC155" s="15" t="inlineStr">
        <is>
          <t>5-14</t>
        </is>
      </c>
      <c r="AD155" s="16" t="inlineStr">
        <is>
          <t>15+</t>
        </is>
      </c>
    </row>
    <row r="156" ht="24.9" customHeight="1">
      <c r="A156" s="67" t="inlineStr">
        <is>
          <t>Relapse</t>
        </is>
      </c>
      <c r="B156" s="26" t="n">
        <v>0</v>
      </c>
      <c r="C156" s="2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0</v>
      </c>
      <c r="J156" s="26" t="n">
        <v>0</v>
      </c>
      <c r="K156" s="26" t="n">
        <v>0</v>
      </c>
      <c r="L156" s="26" t="n">
        <v>0</v>
      </c>
      <c r="M156" s="26" t="n">
        <v>0</v>
      </c>
      <c r="N156" s="51" t="n"/>
      <c r="O156" s="7" t="inlineStr">
        <is>
          <t>0-4</t>
        </is>
      </c>
      <c r="P156" s="52" t="inlineStr">
        <is>
          <t>5-14</t>
        </is>
      </c>
      <c r="Q156" s="14" t="inlineStr">
        <is>
          <t>15 +</t>
        </is>
      </c>
      <c r="R156" s="13" t="inlineStr">
        <is>
          <t>0-4</t>
        </is>
      </c>
      <c r="S156" s="14" t="inlineStr">
        <is>
          <t>5-14</t>
        </is>
      </c>
      <c r="T156" s="14" t="inlineStr">
        <is>
          <t>15 +</t>
        </is>
      </c>
      <c r="U156" s="13" t="inlineStr">
        <is>
          <t>0-4</t>
        </is>
      </c>
      <c r="V156" s="14" t="inlineStr">
        <is>
          <t>5-14</t>
        </is>
      </c>
      <c r="W156" s="14" t="inlineStr">
        <is>
          <t>15 +</t>
        </is>
      </c>
      <c r="X156" s="17" t="inlineStr">
        <is>
          <t>6H</t>
        </is>
      </c>
      <c r="Y156" s="154" t="n">
        <v>0</v>
      </c>
      <c r="Z156" s="154" t="n">
        <v>0</v>
      </c>
      <c r="AA156" s="154" t="n">
        <v>0</v>
      </c>
      <c r="AB156" s="154" t="n">
        <v>0</v>
      </c>
      <c r="AC156" s="154" t="n">
        <v>0</v>
      </c>
      <c r="AD156" s="154" t="n">
        <v>0</v>
      </c>
    </row>
    <row r="157" ht="24.9" customHeight="1">
      <c r="A157" s="165" t="inlineStr">
        <is>
          <t>Previously treated</t>
        </is>
      </c>
      <c r="B157" s="26" t="n">
        <v>0</v>
      </c>
      <c r="C157" s="2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0</v>
      </c>
      <c r="J157" s="26" t="n">
        <v>0</v>
      </c>
      <c r="K157" s="26" t="n">
        <v>0</v>
      </c>
      <c r="L157" s="26" t="n">
        <v>0</v>
      </c>
      <c r="M157" s="26" t="n">
        <v>0</v>
      </c>
      <c r="N157" s="51" t="n"/>
      <c r="O157" s="26" t="n">
        <v>0</v>
      </c>
      <c r="P157" s="26" t="n">
        <v>0</v>
      </c>
      <c r="Q157" s="26" t="n">
        <v>0</v>
      </c>
      <c r="R157" s="26" t="n">
        <v>0</v>
      </c>
      <c r="S157" s="26" t="n">
        <v>0</v>
      </c>
      <c r="T157" s="26" t="n">
        <v>0</v>
      </c>
      <c r="U157" s="26" t="n">
        <v>0</v>
      </c>
      <c r="V157" s="26" t="n">
        <v>0</v>
      </c>
      <c r="W157" s="26" t="n">
        <v>0</v>
      </c>
      <c r="X157" s="17" t="inlineStr">
        <is>
          <t>3HR</t>
        </is>
      </c>
      <c r="Y157" s="26" t="n">
        <v>0</v>
      </c>
      <c r="Z157" s="26" t="n">
        <v>0</v>
      </c>
      <c r="AA157" s="26" t="n">
        <v>0</v>
      </c>
      <c r="AB157" s="26" t="n">
        <v>0</v>
      </c>
      <c r="AC157" s="26" t="n">
        <v>0</v>
      </c>
      <c r="AD157" s="26" t="n">
        <v>0</v>
      </c>
    </row>
    <row r="158" ht="24.9" customHeight="1">
      <c r="A158" s="67" t="inlineStr">
        <is>
          <t>Total</t>
        </is>
      </c>
      <c r="B158" s="67" t="n">
        <v>0</v>
      </c>
      <c r="C158" s="67" t="n">
        <v>0</v>
      </c>
      <c r="D158" s="67" t="n">
        <v>0</v>
      </c>
      <c r="E158" s="67" t="n">
        <v>0</v>
      </c>
      <c r="F158" s="67" t="n">
        <v>0</v>
      </c>
      <c r="G158" s="67" t="n">
        <v>0</v>
      </c>
      <c r="H158" s="67" t="n">
        <v>0</v>
      </c>
      <c r="I158" s="67" t="n">
        <v>0</v>
      </c>
      <c r="J158" s="67" t="n">
        <v>0</v>
      </c>
      <c r="K158" s="67" t="n">
        <v>0</v>
      </c>
      <c r="L158" s="67" t="n">
        <v>0</v>
      </c>
      <c r="M158" s="67" t="n">
        <v>0</v>
      </c>
      <c r="N158" s="51" t="n"/>
      <c r="O158" s="190" t="n"/>
      <c r="P158" s="190" t="n"/>
      <c r="Q158" s="190" t="n"/>
      <c r="R158" s="190" t="n"/>
      <c r="S158" s="190" t="n"/>
      <c r="T158" s="190" t="n"/>
      <c r="U158" s="190" t="n"/>
      <c r="V158" s="190" t="n"/>
      <c r="W158" s="190" t="n"/>
      <c r="X158" s="53" t="inlineStr">
        <is>
          <t>3 HP</t>
        </is>
      </c>
      <c r="Y158" s="26" t="n">
        <v>0</v>
      </c>
      <c r="Z158" s="26" t="n">
        <v>0</v>
      </c>
      <c r="AA158" s="26" t="n">
        <v>0</v>
      </c>
      <c r="AB158" s="26" t="n">
        <v>0</v>
      </c>
      <c r="AC158" s="26" t="n">
        <v>0</v>
      </c>
      <c r="AD158" s="26" t="n">
        <v>0</v>
      </c>
    </row>
    <row r="159" ht="23.4" customHeight="1">
      <c r="A159" s="132" t="inlineStr">
        <is>
          <t xml:space="preserve">                                                                       INDIVIDUAL/CONSOLIDATED (TICK ONE)</t>
        </is>
      </c>
      <c r="Y159" s="1" t="n"/>
      <c r="Z159" s="133" t="inlineStr">
        <is>
          <t>TB - 07</t>
        </is>
      </c>
      <c r="AB159" s="1" t="n"/>
      <c r="AC159" s="1" t="n"/>
      <c r="AD159" s="1" t="n"/>
    </row>
    <row r="160" ht="30.9" customHeight="1">
      <c r="A160" s="134" t="inlineStr">
        <is>
          <t xml:space="preserve">Name of TB Care Facility (BMU) :  </t>
        </is>
      </c>
      <c r="E160" s="135" t="inlineStr">
        <is>
          <t xml:space="preserve">KMC Leprosy Hospital </t>
        </is>
      </c>
      <c r="I160" s="136" t="inlineStr">
        <is>
          <t xml:space="preserve">District : </t>
        </is>
      </c>
      <c r="K160" s="137" t="n">
        <v>0</v>
      </c>
      <c r="M160" s="136" t="inlineStr">
        <is>
          <t>Central :</t>
        </is>
      </c>
      <c r="O160" s="138" t="inlineStr">
        <is>
          <t>Manghopir</t>
        </is>
      </c>
      <c r="S160" s="54" t="n"/>
      <c r="T160" s="2" t="n"/>
      <c r="U160" s="139" t="inlineStr">
        <is>
          <t xml:space="preserve">Patients registered during  </t>
        </is>
      </c>
      <c r="Z160" s="140" t="inlineStr">
        <is>
          <t>COSOLIDATED</t>
        </is>
      </c>
      <c r="AC160" s="98" t="inlineStr">
        <is>
          <t>of Year 2026</t>
        </is>
      </c>
    </row>
    <row r="161" ht="15" customHeight="1"/>
    <row r="162" ht="15.6" customHeight="1">
      <c r="A162" s="99" t="inlineStr">
        <is>
          <t>Name of TB Coodinator/Facility incharge  :</t>
        </is>
      </c>
      <c r="I162" s="100" t="inlineStr">
        <is>
          <t>___________________________________________________</t>
        </is>
      </c>
      <c r="P162" s="21" t="n"/>
      <c r="Q162" s="21" t="n"/>
      <c r="U162" s="101" t="inlineStr">
        <is>
          <t>Date of completion of this form :</t>
        </is>
      </c>
      <c r="AA162" s="102" t="inlineStr">
        <is>
          <t>_______________________</t>
        </is>
      </c>
    </row>
    <row r="16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</row>
    <row r="164" ht="15" customHeight="1">
      <c r="A164" s="177" t="inlineStr">
        <is>
          <t xml:space="preserve">Block 1: </t>
        </is>
      </c>
      <c r="B164" s="178" t="n"/>
      <c r="C164" s="178" t="n"/>
      <c r="D164" s="178" t="n"/>
      <c r="E164" s="178" t="n"/>
      <c r="F164" s="178" t="n"/>
      <c r="G164" s="178" t="n"/>
      <c r="H164" s="178" t="n"/>
      <c r="I164" s="178" t="n"/>
      <c r="J164" s="178" t="n"/>
      <c r="K164" s="179" t="n"/>
      <c r="L164" s="67" t="inlineStr">
        <is>
          <t>New (N)</t>
        </is>
      </c>
      <c r="M164" s="179" t="n"/>
      <c r="N164" s="67" t="inlineStr">
        <is>
          <t>Relapse ®</t>
        </is>
      </c>
      <c r="O164" s="179" t="n"/>
      <c r="P164" s="165" t="inlineStr">
        <is>
          <t>Previous Treatment History Unknown
(UK)</t>
        </is>
      </c>
      <c r="Q164" s="178" t="n"/>
      <c r="R164" s="179" t="n"/>
      <c r="S164" s="165" t="inlineStr">
        <is>
          <t>New episode
(N+R+UK)</t>
        </is>
      </c>
      <c r="T164" s="178" t="n"/>
      <c r="U164" s="179" t="n"/>
      <c r="V164" s="67" t="inlineStr">
        <is>
          <t>Re - registered Cases ( Excluding Recurrent cases)</t>
        </is>
      </c>
      <c r="W164" s="33" t="n"/>
      <c r="X164" s="33" t="n"/>
      <c r="Y164" s="33" t="n"/>
      <c r="Z164" s="33" t="n"/>
      <c r="AA164" s="33" t="n"/>
      <c r="AB164" s="45" t="n"/>
      <c r="AC164" s="67" t="inlineStr">
        <is>
          <t>Total</t>
        </is>
      </c>
      <c r="AD164" s="179" t="n"/>
    </row>
    <row r="165" ht="23.25" customHeight="1">
      <c r="A165" s="180" t="inlineStr">
        <is>
          <t>All TB Cases Registered</t>
        </is>
      </c>
      <c r="K165" s="181" t="n"/>
      <c r="L165" s="182" t="n"/>
      <c r="M165" s="181" t="n"/>
      <c r="N165" s="182" t="n"/>
      <c r="O165" s="181" t="n"/>
      <c r="P165" s="182" t="n"/>
      <c r="R165" s="181" t="n"/>
      <c r="S165" s="182" t="n"/>
      <c r="U165" s="181" t="n"/>
      <c r="V165" s="165" t="inlineStr">
        <is>
          <t>Treatment after failure</t>
        </is>
      </c>
      <c r="W165" s="178" t="n"/>
      <c r="X165" s="179" t="n"/>
      <c r="Y165" s="165" t="inlineStr">
        <is>
          <t>Treatment after lost to follow-up</t>
        </is>
      </c>
      <c r="Z165" s="179" t="n"/>
      <c r="AA165" s="165" t="inlineStr">
        <is>
          <t>Other</t>
        </is>
      </c>
      <c r="AB165" s="179" t="n"/>
      <c r="AC165" s="182" t="n"/>
      <c r="AD165" s="181" t="n"/>
    </row>
    <row r="166">
      <c r="A166" s="183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184" t="n"/>
      <c r="L166" s="183" t="n"/>
      <c r="M166" s="184" t="n"/>
      <c r="N166" s="183" t="n"/>
      <c r="O166" s="184" t="n"/>
      <c r="P166" s="183" t="n"/>
      <c r="Q166" s="22" t="n"/>
      <c r="R166" s="184" t="n"/>
      <c r="S166" s="183" t="n"/>
      <c r="T166" s="22" t="n"/>
      <c r="U166" s="184" t="n"/>
      <c r="V166" s="183" t="n"/>
      <c r="W166" s="22" t="n"/>
      <c r="X166" s="184" t="n"/>
      <c r="Y166" s="183" t="n"/>
      <c r="Z166" s="184" t="n"/>
      <c r="AA166" s="183" t="n"/>
      <c r="AB166" s="184" t="n"/>
      <c r="AC166" s="183" t="n"/>
      <c r="AD166" s="184" t="n"/>
    </row>
    <row r="167" ht="24.9" customHeight="1">
      <c r="A167" s="185" t="inlineStr">
        <is>
          <t>Pulmonary, Bacteriologically Confermid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45" t="n"/>
      <c r="L167" s="67" t="n">
        <v>0</v>
      </c>
      <c r="M167" s="45" t="n"/>
      <c r="N167" s="67" t="n">
        <v>0</v>
      </c>
      <c r="O167" s="45" t="n"/>
      <c r="P167" s="26" t="n">
        <v>0</v>
      </c>
      <c r="Q167" s="33" t="n"/>
      <c r="R167" s="45" t="n"/>
      <c r="S167" s="67" t="n">
        <v>0</v>
      </c>
      <c r="T167" s="33" t="n"/>
      <c r="U167" s="45" t="n"/>
      <c r="V167" s="26" t="n">
        <v>0</v>
      </c>
      <c r="W167" s="33" t="n"/>
      <c r="X167" s="45" t="n"/>
      <c r="Y167" s="67" t="n">
        <v>0</v>
      </c>
      <c r="Z167" s="45" t="n"/>
      <c r="AA167" s="67" t="n">
        <v>0</v>
      </c>
      <c r="AB167" s="45" t="n"/>
      <c r="AC167" s="67" t="n">
        <v>0</v>
      </c>
      <c r="AD167" s="45" t="n"/>
    </row>
    <row r="168" ht="24.9" customHeight="1">
      <c r="A168" s="185" t="inlineStr">
        <is>
          <t>Pulmonary , Clinically Diagnosed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67" t="n">
        <v>0</v>
      </c>
      <c r="M168" s="45" t="n"/>
      <c r="N168" s="67" t="n">
        <v>0</v>
      </c>
      <c r="O168" s="45" t="n"/>
      <c r="P168" s="26" t="n">
        <v>0</v>
      </c>
      <c r="Q168" s="33" t="n"/>
      <c r="R168" s="45" t="n"/>
      <c r="S168" s="67" t="n">
        <v>0</v>
      </c>
      <c r="T168" s="33" t="n"/>
      <c r="U168" s="45" t="n"/>
      <c r="V168" s="26" t="n">
        <v>0</v>
      </c>
      <c r="W168" s="33" t="n"/>
      <c r="X168" s="45" t="n"/>
      <c r="Y168" s="67" t="n">
        <v>0</v>
      </c>
      <c r="Z168" s="45" t="n"/>
      <c r="AA168" s="67" t="n">
        <v>0</v>
      </c>
      <c r="AB168" s="45" t="n"/>
      <c r="AC168" s="67" t="n">
        <v>0</v>
      </c>
      <c r="AD168" s="45" t="n"/>
    </row>
    <row r="169" ht="24.9" customHeight="1">
      <c r="A169" s="185" t="inlineStr">
        <is>
          <t>Extra Pulmonary, Bacteriologically Confermid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67" t="n">
        <v>0</v>
      </c>
      <c r="M169" s="45" t="n"/>
      <c r="N169" s="67" t="n">
        <v>0</v>
      </c>
      <c r="O169" s="45" t="n"/>
      <c r="P169" s="26" t="n">
        <v>0</v>
      </c>
      <c r="Q169" s="33" t="n"/>
      <c r="R169" s="45" t="n"/>
      <c r="S169" s="67" t="n">
        <v>0</v>
      </c>
      <c r="T169" s="33" t="n"/>
      <c r="U169" s="45" t="n"/>
      <c r="V169" s="26" t="n">
        <v>0</v>
      </c>
      <c r="W169" s="33" t="n"/>
      <c r="X169" s="45" t="n"/>
      <c r="Y169" s="67" t="n">
        <v>0</v>
      </c>
      <c r="Z169" s="45" t="n"/>
      <c r="AA169" s="67" t="n">
        <v>0</v>
      </c>
      <c r="AB169" s="45" t="n"/>
      <c r="AC169" s="67" t="n">
        <v>0</v>
      </c>
      <c r="AD169" s="45" t="n"/>
    </row>
    <row r="170" ht="24.9" customHeight="1">
      <c r="A170" s="185" t="inlineStr">
        <is>
          <t>Extra Pulmonary , Clinically Diagnosed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67" t="n">
        <v>0</v>
      </c>
      <c r="M170" s="45" t="n"/>
      <c r="N170" s="67" t="n">
        <v>0</v>
      </c>
      <c r="O170" s="45" t="n"/>
      <c r="P170" s="26" t="n">
        <v>0</v>
      </c>
      <c r="Q170" s="33" t="n"/>
      <c r="R170" s="45" t="n"/>
      <c r="S170" s="67" t="n">
        <v>0</v>
      </c>
      <c r="T170" s="33" t="n"/>
      <c r="U170" s="45" t="n"/>
      <c r="V170" s="26" t="n">
        <v>0</v>
      </c>
      <c r="W170" s="33" t="n"/>
      <c r="X170" s="45" t="n"/>
      <c r="Y170" s="67" t="n">
        <v>0</v>
      </c>
      <c r="Z170" s="45" t="n"/>
      <c r="AA170" s="67" t="n">
        <v>0</v>
      </c>
      <c r="AB170" s="45" t="n"/>
      <c r="AC170" s="67" t="n">
        <v>0</v>
      </c>
      <c r="AD170" s="45" t="n"/>
    </row>
    <row r="171" ht="24.9" customHeight="1">
      <c r="A171" s="185" t="inlineStr">
        <is>
          <t>Total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67" t="n">
        <v>0</v>
      </c>
      <c r="M171" s="45" t="n"/>
      <c r="N171" s="67" t="n">
        <v>0</v>
      </c>
      <c r="O171" s="45" t="n"/>
      <c r="P171" s="67" t="n">
        <v>0</v>
      </c>
      <c r="Q171" s="33" t="n"/>
      <c r="R171" s="45" t="n"/>
      <c r="S171" s="67" t="n">
        <v>0</v>
      </c>
      <c r="T171" s="33" t="n"/>
      <c r="U171" s="45" t="n"/>
      <c r="V171" s="67" t="n">
        <v>0</v>
      </c>
      <c r="W171" s="33" t="n"/>
      <c r="X171" s="45" t="n"/>
      <c r="Y171" s="67" t="n">
        <v>0</v>
      </c>
      <c r="Z171" s="45" t="n"/>
      <c r="AA171" s="67" t="n">
        <v>0</v>
      </c>
      <c r="AB171" s="45" t="n"/>
      <c r="AC171" s="67" t="n">
        <v>0</v>
      </c>
      <c r="AD171" s="45" t="n"/>
    </row>
    <row r="172" ht="15.6" customHeight="1">
      <c r="A172" s="23" t="inlineStr">
        <is>
          <t>Block 2: All New, Relapse and previous treatment history unknown Cases registered during the period by Age Group and Gender</t>
        </is>
      </c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5" t="n"/>
    </row>
    <row r="173" ht="21.75" customHeight="1">
      <c r="A173" s="186" t="n"/>
      <c r="B173" s="178" t="n"/>
      <c r="C173" s="178" t="n"/>
      <c r="D173" s="178" t="n"/>
      <c r="E173" s="178" t="n"/>
      <c r="F173" s="178" t="n"/>
      <c r="G173" s="178" t="n"/>
      <c r="H173" s="178" t="n"/>
      <c r="I173" s="178" t="n"/>
      <c r="J173" s="178" t="n"/>
      <c r="K173" s="179" t="n"/>
      <c r="L173" s="67" t="inlineStr">
        <is>
          <t>0-4</t>
        </is>
      </c>
      <c r="M173" s="45" t="n"/>
      <c r="N173" s="187" t="inlineStr">
        <is>
          <t>5-14</t>
        </is>
      </c>
      <c r="O173" s="45" t="n"/>
      <c r="P173" s="188" t="inlineStr">
        <is>
          <t>15-24</t>
        </is>
      </c>
      <c r="Q173" s="45" t="n"/>
      <c r="R173" s="188" t="inlineStr">
        <is>
          <t>25-34</t>
        </is>
      </c>
      <c r="S173" s="45" t="n"/>
      <c r="T173" s="188" t="inlineStr">
        <is>
          <t>35-44</t>
        </is>
      </c>
      <c r="U173" s="45" t="n"/>
      <c r="V173" s="188" t="inlineStr">
        <is>
          <t>45-54</t>
        </is>
      </c>
      <c r="W173" s="45" t="n"/>
      <c r="X173" s="188" t="inlineStr">
        <is>
          <t>55-64</t>
        </is>
      </c>
      <c r="Y173" s="45" t="n"/>
      <c r="Z173" s="188" t="inlineStr">
        <is>
          <t>65 &amp; Above</t>
        </is>
      </c>
      <c r="AA173" s="45" t="n"/>
      <c r="AB173" s="188" t="inlineStr">
        <is>
          <t>Total</t>
        </is>
      </c>
      <c r="AC173" s="45" t="n"/>
      <c r="AD173" s="189" t="inlineStr">
        <is>
          <t>Grand
Total</t>
        </is>
      </c>
    </row>
    <row r="174">
      <c r="A174" s="183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184" t="n"/>
      <c r="L174" s="67" t="inlineStr">
        <is>
          <t>M</t>
        </is>
      </c>
      <c r="M174" s="67" t="inlineStr">
        <is>
          <t>F</t>
        </is>
      </c>
      <c r="N174" s="67" t="inlineStr">
        <is>
          <t>M</t>
        </is>
      </c>
      <c r="O174" s="67" t="inlineStr">
        <is>
          <t>F</t>
        </is>
      </c>
      <c r="P174" s="67" t="inlineStr">
        <is>
          <t>M</t>
        </is>
      </c>
      <c r="Q174" s="67" t="inlineStr">
        <is>
          <t>F</t>
        </is>
      </c>
      <c r="R174" s="67" t="inlineStr">
        <is>
          <t>M</t>
        </is>
      </c>
      <c r="S174" s="67" t="inlineStr">
        <is>
          <t>F</t>
        </is>
      </c>
      <c r="T174" s="67" t="inlineStr">
        <is>
          <t>M</t>
        </is>
      </c>
      <c r="U174" s="67" t="inlineStr">
        <is>
          <t>F</t>
        </is>
      </c>
      <c r="V174" s="67" t="inlineStr">
        <is>
          <t>M</t>
        </is>
      </c>
      <c r="W174" s="67" t="inlineStr">
        <is>
          <t>F</t>
        </is>
      </c>
      <c r="X174" s="67" t="inlineStr">
        <is>
          <t>M</t>
        </is>
      </c>
      <c r="Y174" s="67" t="inlineStr">
        <is>
          <t>F</t>
        </is>
      </c>
      <c r="Z174" s="67" t="inlineStr">
        <is>
          <t>M</t>
        </is>
      </c>
      <c r="AA174" s="67" t="inlineStr">
        <is>
          <t>F</t>
        </is>
      </c>
      <c r="AB174" s="67" t="inlineStr">
        <is>
          <t>M</t>
        </is>
      </c>
      <c r="AC174" s="67" t="inlineStr">
        <is>
          <t>F</t>
        </is>
      </c>
      <c r="AD174" s="190" t="n"/>
    </row>
    <row r="175" ht="18" customHeight="1">
      <c r="A175" s="185" t="inlineStr">
        <is>
          <t>Pulmonary, Bacteriologically Confermid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45" t="n"/>
      <c r="L175" s="67" t="n">
        <v>0</v>
      </c>
      <c r="M175" s="67" t="n">
        <v>0</v>
      </c>
      <c r="N175" s="67" t="n">
        <v>0</v>
      </c>
      <c r="O175" s="67" t="n">
        <v>0</v>
      </c>
      <c r="P175" s="67" t="n">
        <v>0</v>
      </c>
      <c r="Q175" s="67" t="n">
        <v>0</v>
      </c>
      <c r="R175" s="67" t="n">
        <v>0</v>
      </c>
      <c r="S175" s="67" t="n">
        <v>0</v>
      </c>
      <c r="T175" s="67" t="n">
        <v>0</v>
      </c>
      <c r="U175" s="67" t="n">
        <v>0</v>
      </c>
      <c r="V175" s="67" t="n">
        <v>0</v>
      </c>
      <c r="W175" s="67" t="n">
        <v>0</v>
      </c>
      <c r="X175" s="67" t="n">
        <v>0</v>
      </c>
      <c r="Y175" s="67" t="n">
        <v>0</v>
      </c>
      <c r="Z175" s="67" t="n">
        <v>0</v>
      </c>
      <c r="AA175" s="67" t="n">
        <v>0</v>
      </c>
      <c r="AB175" s="67" t="n">
        <v>0</v>
      </c>
      <c r="AC175" s="67" t="n">
        <v>0</v>
      </c>
      <c r="AD175" s="67" t="n">
        <v>0</v>
      </c>
    </row>
    <row r="176" ht="18" customHeight="1">
      <c r="A176" s="185" t="inlineStr">
        <is>
          <t>Pulmonary , Clinically Diagnosed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67" t="n">
        <v>0</v>
      </c>
      <c r="M176" s="67" t="n">
        <v>0</v>
      </c>
      <c r="N176" s="67" t="n">
        <v>0</v>
      </c>
      <c r="O176" s="67" t="n">
        <v>0</v>
      </c>
      <c r="P176" s="67" t="n">
        <v>0</v>
      </c>
      <c r="Q176" s="67" t="n">
        <v>0</v>
      </c>
      <c r="R176" s="67" t="n">
        <v>0</v>
      </c>
      <c r="S176" s="67" t="n">
        <v>0</v>
      </c>
      <c r="T176" s="67" t="n">
        <v>0</v>
      </c>
      <c r="U176" s="67" t="n">
        <v>0</v>
      </c>
      <c r="V176" s="67" t="n">
        <v>0</v>
      </c>
      <c r="W176" s="67" t="n">
        <v>0</v>
      </c>
      <c r="X176" s="67" t="n">
        <v>0</v>
      </c>
      <c r="Y176" s="67" t="n">
        <v>0</v>
      </c>
      <c r="Z176" s="67" t="n">
        <v>0</v>
      </c>
      <c r="AA176" s="67" t="n">
        <v>0</v>
      </c>
      <c r="AB176" s="67" t="n">
        <v>0</v>
      </c>
      <c r="AC176" s="67" t="n">
        <v>0</v>
      </c>
      <c r="AD176" s="67" t="n">
        <v>0</v>
      </c>
    </row>
    <row r="177" ht="18" customHeight="1">
      <c r="A177" s="185" t="inlineStr">
        <is>
          <t>Extra Pulmonary, Bacteriologically Confermid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67" t="n">
        <v>0</v>
      </c>
      <c r="M177" s="67" t="n">
        <v>0</v>
      </c>
      <c r="N177" s="67" t="n">
        <v>0</v>
      </c>
      <c r="O177" s="67" t="n">
        <v>0</v>
      </c>
      <c r="P177" s="67" t="n">
        <v>0</v>
      </c>
      <c r="Q177" s="67" t="n">
        <v>0</v>
      </c>
      <c r="R177" s="67" t="n">
        <v>0</v>
      </c>
      <c r="S177" s="67" t="n">
        <v>0</v>
      </c>
      <c r="T177" s="67" t="n">
        <v>0</v>
      </c>
      <c r="U177" s="67" t="n">
        <v>0</v>
      </c>
      <c r="V177" s="67" t="n">
        <v>0</v>
      </c>
      <c r="W177" s="67" t="n">
        <v>0</v>
      </c>
      <c r="X177" s="67" t="n">
        <v>0</v>
      </c>
      <c r="Y177" s="67" t="n">
        <v>0</v>
      </c>
      <c r="Z177" s="67" t="n">
        <v>0</v>
      </c>
      <c r="AA177" s="67" t="n">
        <v>0</v>
      </c>
      <c r="AB177" s="67" t="n">
        <v>0</v>
      </c>
      <c r="AC177" s="67" t="n">
        <v>0</v>
      </c>
      <c r="AD177" s="67" t="n">
        <v>0</v>
      </c>
    </row>
    <row r="178" ht="18" customHeight="1">
      <c r="A178" s="185" t="inlineStr">
        <is>
          <t>Extra Pulmonary , Clinically Diagnosed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67" t="n">
        <v>0</v>
      </c>
      <c r="M178" s="67" t="n">
        <v>0</v>
      </c>
      <c r="N178" s="67" t="n">
        <v>0</v>
      </c>
      <c r="O178" s="67" t="n">
        <v>0</v>
      </c>
      <c r="P178" s="67" t="n">
        <v>0</v>
      </c>
      <c r="Q178" s="67" t="n">
        <v>0</v>
      </c>
      <c r="R178" s="67" t="n">
        <v>0</v>
      </c>
      <c r="S178" s="67" t="n">
        <v>0</v>
      </c>
      <c r="T178" s="67" t="n">
        <v>0</v>
      </c>
      <c r="U178" s="67" t="n">
        <v>0</v>
      </c>
      <c r="V178" s="67" t="n">
        <v>0</v>
      </c>
      <c r="W178" s="67" t="n">
        <v>0</v>
      </c>
      <c r="X178" s="67" t="n">
        <v>0</v>
      </c>
      <c r="Y178" s="67" t="n">
        <v>0</v>
      </c>
      <c r="Z178" s="67" t="n">
        <v>0</v>
      </c>
      <c r="AA178" s="67" t="n">
        <v>0</v>
      </c>
      <c r="AB178" s="67" t="n">
        <v>0</v>
      </c>
      <c r="AC178" s="67" t="n">
        <v>0</v>
      </c>
      <c r="AD178" s="67" t="n">
        <v>0</v>
      </c>
    </row>
    <row r="179" ht="18" customHeight="1">
      <c r="A179" s="67" t="inlineStr">
        <is>
          <t>Total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67" t="n">
        <v>0</v>
      </c>
      <c r="M179" s="67" t="n">
        <v>0</v>
      </c>
      <c r="N179" s="67" t="n">
        <v>0</v>
      </c>
      <c r="O179" s="67" t="n">
        <v>0</v>
      </c>
      <c r="P179" s="67" t="n">
        <v>0</v>
      </c>
      <c r="Q179" s="67" t="n">
        <v>0</v>
      </c>
      <c r="R179" s="67" t="n">
        <v>0</v>
      </c>
      <c r="S179" s="67" t="n">
        <v>0</v>
      </c>
      <c r="T179" s="67" t="n">
        <v>0</v>
      </c>
      <c r="U179" s="67" t="n">
        <v>0</v>
      </c>
      <c r="V179" s="67" t="n">
        <v>0</v>
      </c>
      <c r="W179" s="67" t="n">
        <v>0</v>
      </c>
      <c r="X179" s="67" t="n">
        <v>0</v>
      </c>
      <c r="Y179" s="67" t="n">
        <v>0</v>
      </c>
      <c r="Z179" s="67" t="n">
        <v>0</v>
      </c>
      <c r="AA179" s="67" t="n">
        <v>0</v>
      </c>
      <c r="AB179" s="67" t="n">
        <v>0</v>
      </c>
      <c r="AC179" s="67" t="n">
        <v>0</v>
      </c>
      <c r="AD179" s="67" t="n">
        <v>0</v>
      </c>
    </row>
    <row r="180" ht="6.75" customHeight="1">
      <c r="A180" s="27" t="n"/>
      <c r="B180" s="28" t="n"/>
      <c r="C180" s="28" t="n"/>
      <c r="D180" s="28" t="n"/>
      <c r="E180" s="28" t="n"/>
      <c r="F180" s="29" t="n"/>
      <c r="G180" s="29" t="n"/>
      <c r="H180" s="30" t="n"/>
      <c r="I180" s="30" t="n"/>
      <c r="J180" s="30" t="n"/>
      <c r="K180" s="30" t="n"/>
      <c r="L180" s="30" t="n"/>
      <c r="M180" s="30" t="n"/>
      <c r="N180" s="31" t="n"/>
      <c r="O180" s="30" t="n"/>
      <c r="P180" s="87" t="n"/>
      <c r="Q180" s="45" t="n"/>
      <c r="R180" s="32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30" t="n"/>
      <c r="AD180" s="33" t="n"/>
    </row>
    <row r="181" ht="18" customHeight="1">
      <c r="A181" s="34" t="inlineStr">
        <is>
          <t>Block 3: Presumptive TB Cases Identified Laboratory Diagnosis and use of WRD</t>
        </is>
      </c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6" t="n"/>
      <c r="N181" s="37" t="n"/>
      <c r="O181" s="34" t="inlineStr">
        <is>
          <t>Block 4 :  TB HIV  Activities</t>
        </is>
      </c>
      <c r="P181" s="35" t="n"/>
      <c r="Q181" s="35" t="n"/>
      <c r="R181" s="35" t="n"/>
      <c r="S181" s="35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25" t="n"/>
    </row>
    <row r="182" ht="45" customHeight="1">
      <c r="A182" s="6" t="inlineStr">
        <is>
          <t>Total
New OPD in Quarter</t>
        </is>
      </c>
      <c r="B182" s="88" t="inlineStr">
        <is>
          <t>No. of presumptive TB cases identified</t>
        </is>
      </c>
      <c r="C182" s="179" t="n"/>
      <c r="D182" s="6" t="inlineStr">
        <is>
          <t>No. of Presumptive TB
Patients tested 
Using</t>
        </is>
      </c>
      <c r="E182" s="33" t="n"/>
      <c r="F182" s="33" t="n"/>
      <c r="G182" s="45" t="n"/>
      <c r="H182" s="6" t="inlineStr">
        <is>
          <t>Among Presumptive 
TB cases tested  number reported B+</t>
        </is>
      </c>
      <c r="I182" s="33" t="n"/>
      <c r="J182" s="33" t="n"/>
      <c r="K182" s="45" t="n"/>
      <c r="L182" s="6" t="inlineStr">
        <is>
          <t>Among all
registered
number of
B+ TB
Cases</t>
        </is>
      </c>
      <c r="M182" s="6" t="inlineStr">
        <is>
          <t>Amoung All
(N+R+UK)
number tested
by Gene Xpert</t>
        </is>
      </c>
      <c r="N182" s="5" t="n"/>
      <c r="O182" s="165" t="inlineStr">
        <is>
          <t>No. of TB patients
tested for HIV</t>
        </is>
      </c>
      <c r="P182" s="33" t="n"/>
      <c r="Q182" s="33" t="n"/>
      <c r="R182" s="45" t="n"/>
      <c r="S182" s="165" t="inlineStr">
        <is>
          <t>HIV Reactive</t>
        </is>
      </c>
      <c r="T182" s="33" t="n"/>
      <c r="U182" s="33" t="n"/>
      <c r="V182" s="45" t="n"/>
      <c r="W182" s="165" t="inlineStr">
        <is>
          <t>TB Patients confirmed
positive for HIV</t>
        </is>
      </c>
      <c r="X182" s="33" t="n"/>
      <c r="Y182" s="33" t="n"/>
      <c r="Z182" s="45" t="n"/>
      <c r="AA182" s="165" t="inlineStr">
        <is>
          <t>HIV positive TB Patients put on ART</t>
        </is>
      </c>
      <c r="AB182" s="33" t="n"/>
      <c r="AC182" s="33" t="n"/>
      <c r="AD182" s="45" t="n"/>
    </row>
    <row r="183" ht="48" customHeight="1">
      <c r="A183" s="190" t="n"/>
      <c r="B183" s="6" t="inlineStr">
        <is>
          <t>Total</t>
        </is>
      </c>
      <c r="C183" s="88" t="inlineStr">
        <is>
          <t>Through
Community
Referrals (LHWs)</t>
        </is>
      </c>
      <c r="D183" s="88" t="inlineStr">
        <is>
          <t>AFB</t>
        </is>
      </c>
      <c r="E183" s="88" t="inlineStr">
        <is>
          <t>Xp &amp;
AFB</t>
        </is>
      </c>
      <c r="F183" s="88" t="inlineStr">
        <is>
          <t>XP</t>
        </is>
      </c>
      <c r="G183" s="7" t="inlineStr">
        <is>
          <t>G.Tot</t>
        </is>
      </c>
      <c r="H183" s="7" t="inlineStr">
        <is>
          <t>AFB</t>
        </is>
      </c>
      <c r="I183" s="88" t="inlineStr">
        <is>
          <t>AFB +
Xpert</t>
        </is>
      </c>
      <c r="J183" s="7" t="inlineStr">
        <is>
          <t>Xpert</t>
        </is>
      </c>
      <c r="K183" s="7" t="inlineStr">
        <is>
          <t>G.Tot</t>
        </is>
      </c>
      <c r="L183" s="190" t="n"/>
      <c r="M183" s="190" t="n"/>
      <c r="N183" s="5" t="n"/>
      <c r="O183" s="93" t="n">
        <v>0</v>
      </c>
      <c r="P183" s="33" t="n"/>
      <c r="Q183" s="33" t="n"/>
      <c r="R183" s="33" t="n"/>
      <c r="S183" s="93" t="n">
        <v>0</v>
      </c>
      <c r="T183" s="33" t="n"/>
      <c r="U183" s="33" t="n"/>
      <c r="V183" s="33" t="n"/>
      <c r="W183" s="93" t="n">
        <v>0</v>
      </c>
      <c r="X183" s="33" t="n"/>
      <c r="Y183" s="33" t="n"/>
      <c r="Z183" s="33" t="n"/>
      <c r="AA183" s="93" t="n">
        <v>0</v>
      </c>
      <c r="AB183" s="33" t="n"/>
      <c r="AC183" s="33" t="n"/>
      <c r="AD183" s="33" t="n"/>
    </row>
    <row r="184" ht="38.25" customHeight="1">
      <c r="A184" s="193" t="n">
        <v>0</v>
      </c>
      <c r="B184" s="193" t="n">
        <v>0</v>
      </c>
      <c r="C184" s="193" t="n">
        <v>0</v>
      </c>
      <c r="D184" s="193" t="n">
        <v>0</v>
      </c>
      <c r="E184" s="193" t="n">
        <v>0</v>
      </c>
      <c r="F184" s="193" t="n">
        <v>0</v>
      </c>
      <c r="G184" s="193" t="n">
        <v>0</v>
      </c>
      <c r="H184" s="193" t="n">
        <v>0</v>
      </c>
      <c r="I184" s="193" t="n">
        <v>0</v>
      </c>
      <c r="J184" s="193" t="n">
        <v>0</v>
      </c>
      <c r="K184" s="193" t="n">
        <v>0</v>
      </c>
      <c r="L184" s="193" t="n">
        <v>0</v>
      </c>
      <c r="M184" s="193" t="n">
        <v>0</v>
      </c>
      <c r="N184" s="5" t="n"/>
      <c r="O184" s="165" t="inlineStr">
        <is>
          <t xml:space="preserve">HIV patient tested for TB </t>
        </is>
      </c>
      <c r="P184" s="33" t="n"/>
      <c r="Q184" s="33" t="n"/>
      <c r="R184" s="45" t="n"/>
      <c r="S184" s="165" t="inlineStr">
        <is>
          <t>HIV patients 
diagnosed  for TB</t>
        </is>
      </c>
      <c r="T184" s="33" t="n"/>
      <c r="U184" s="33" t="n"/>
      <c r="V184" s="45" t="n"/>
      <c r="W184" s="165" t="inlineStr">
        <is>
          <t>TB HIV patients put on
 TB Tx</t>
        </is>
      </c>
      <c r="X184" s="33" t="n"/>
      <c r="Y184" s="33" t="n"/>
      <c r="Z184" s="45" t="n"/>
      <c r="AA184" s="165" t="inlineStr">
        <is>
          <t>HIV positive TB negative
patients on TPT</t>
        </is>
      </c>
      <c r="AB184" s="33" t="n"/>
      <c r="AC184" s="33" t="n"/>
      <c r="AD184" s="45" t="n"/>
    </row>
    <row r="185" ht="19.5" customHeight="1">
      <c r="A185" s="191" t="n"/>
      <c r="B185" s="191" t="n"/>
      <c r="C185" s="191" t="n"/>
      <c r="D185" s="191" t="n"/>
      <c r="E185" s="191" t="n"/>
      <c r="F185" s="191" t="n"/>
      <c r="G185" s="191" t="n"/>
      <c r="H185" s="191" t="n"/>
      <c r="I185" s="191" t="n"/>
      <c r="J185" s="191" t="n"/>
      <c r="K185" s="191" t="n"/>
      <c r="L185" s="191" t="n"/>
      <c r="M185" s="191" t="n"/>
      <c r="N185" s="39" t="n"/>
      <c r="O185" s="165" t="n">
        <v>0</v>
      </c>
      <c r="P185" s="178" t="n"/>
      <c r="Q185" s="178" t="n"/>
      <c r="R185" s="179" t="n"/>
      <c r="S185" s="165" t="n">
        <v>0</v>
      </c>
      <c r="T185" s="178" t="n"/>
      <c r="U185" s="178" t="n"/>
      <c r="V185" s="179" t="n"/>
      <c r="W185" s="165" t="n">
        <v>0</v>
      </c>
      <c r="X185" s="178" t="n"/>
      <c r="Y185" s="178" t="n"/>
      <c r="Z185" s="179" t="n"/>
      <c r="AA185" s="8" t="n"/>
      <c r="AB185" s="8" t="inlineStr">
        <is>
          <t>0-4</t>
        </is>
      </c>
      <c r="AC185" s="9" t="inlineStr">
        <is>
          <t>5-14</t>
        </is>
      </c>
      <c r="AD185" s="40" t="inlineStr">
        <is>
          <t>15 +</t>
        </is>
      </c>
    </row>
    <row r="186" ht="18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82" t="n"/>
      <c r="R186" s="181" t="n"/>
      <c r="S186" s="182" t="n"/>
      <c r="V186" s="181" t="n"/>
      <c r="W186" s="182" t="n"/>
      <c r="Z186" s="181" t="n"/>
      <c r="AA186" s="10" t="inlineStr">
        <is>
          <t>6H</t>
        </is>
      </c>
      <c r="AB186" s="67" t="n">
        <v>0</v>
      </c>
      <c r="AC186" s="67" t="n">
        <v>0</v>
      </c>
      <c r="AD186" s="67" t="n">
        <v>0</v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3HR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0" t="n"/>
      <c r="B188" s="190" t="n"/>
      <c r="C188" s="190" t="n"/>
      <c r="D188" s="190" t="n"/>
      <c r="E188" s="190" t="n"/>
      <c r="F188" s="190" t="n"/>
      <c r="G188" s="190" t="n"/>
      <c r="H188" s="190" t="n"/>
      <c r="I188" s="190" t="n"/>
      <c r="J188" s="190" t="n"/>
      <c r="K188" s="190" t="n"/>
      <c r="L188" s="190" t="n"/>
      <c r="M188" s="190" t="n"/>
      <c r="N188" s="39" t="n"/>
      <c r="O188" s="183" t="n"/>
      <c r="P188" s="22" t="n"/>
      <c r="Q188" s="22" t="n"/>
      <c r="R188" s="184" t="n"/>
      <c r="S188" s="183" t="n"/>
      <c r="T188" s="22" t="n"/>
      <c r="U188" s="22" t="n"/>
      <c r="V188" s="184" t="n"/>
      <c r="W188" s="183" t="n"/>
      <c r="X188" s="22" t="n"/>
      <c r="Y188" s="22" t="n"/>
      <c r="Z188" s="184" t="n"/>
      <c r="AA188" s="10" t="inlineStr">
        <is>
          <t>3 HP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34" t="inlineStr">
        <is>
          <t>Block 5 :  Bacteriologically Confermid TB Cases with DST Result</t>
        </is>
      </c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6" t="n"/>
      <c r="N189" s="46" t="n"/>
      <c r="O189" s="34" t="inlineStr">
        <is>
          <t>Block 6 :  Contact Tracing HH *</t>
        </is>
      </c>
      <c r="P189" s="36" t="n"/>
      <c r="Q189" s="35" t="n"/>
      <c r="R189" s="47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8" t="n"/>
      <c r="AC189" s="38" t="n"/>
      <c r="AD189" s="48" t="n"/>
    </row>
    <row r="190" ht="18" customHeight="1">
      <c r="A190" s="80" t="inlineStr">
        <is>
          <t>Sensitive =S
Resistance = R</t>
        </is>
      </c>
      <c r="B190" s="81" t="inlineStr">
        <is>
          <t>PTB</t>
        </is>
      </c>
      <c r="C190" s="33" t="n"/>
      <c r="D190" s="33" t="n"/>
      <c r="E190" s="33" t="n"/>
      <c r="F190" s="33" t="n"/>
      <c r="G190" s="45" t="n"/>
      <c r="H190" s="81" t="inlineStr">
        <is>
          <t>EPTB</t>
        </is>
      </c>
      <c r="I190" s="33" t="n"/>
      <c r="J190" s="33" t="n"/>
      <c r="K190" s="33" t="n"/>
      <c r="L190" s="33" t="n"/>
      <c r="M190" s="45" t="n"/>
      <c r="N190" s="49" t="n"/>
      <c r="O190" s="6" t="inlineStr">
        <is>
          <t>Total No. of HH
of B+ PTB</t>
        </is>
      </c>
      <c r="P190" s="178" t="n"/>
      <c r="Q190" s="179" t="n"/>
      <c r="R190" s="6" t="inlineStr">
        <is>
          <t>No. of HH contacts of
B+ PTB Cases
Screened</t>
        </is>
      </c>
      <c r="S190" s="178" t="n"/>
      <c r="T190" s="179" t="n"/>
      <c r="U190" s="6" t="inlineStr">
        <is>
          <t>No. of TB 
Cases diagnosed Amoung HH
contact
screened</t>
        </is>
      </c>
      <c r="V190" s="178" t="n"/>
      <c r="W190" s="179" t="n"/>
      <c r="X190" s="6" t="inlineStr">
        <is>
          <t>No. of HH Contacts 
Initiated on TPT</t>
        </is>
      </c>
      <c r="Y190" s="178" t="n"/>
      <c r="Z190" s="178" t="n"/>
      <c r="AA190" s="179" t="n"/>
      <c r="AB190" s="6" t="inlineStr">
        <is>
          <t>HIV negative 
Immuno - compromised on 
TPT</t>
        </is>
      </c>
      <c r="AC190" s="178" t="n"/>
      <c r="AD190" s="179" t="n"/>
    </row>
    <row r="191" ht="20.25" customHeight="1">
      <c r="A191" s="191" t="n"/>
      <c r="B191" s="67" t="inlineStr">
        <is>
          <t>Rifampicin</t>
        </is>
      </c>
      <c r="C191" s="45" t="n"/>
      <c r="D191" s="67" t="inlineStr">
        <is>
          <t>Isoniazid</t>
        </is>
      </c>
      <c r="E191" s="45" t="n"/>
      <c r="F191" s="67" t="inlineStr">
        <is>
          <t>Fluoroquninolone</t>
        </is>
      </c>
      <c r="G191" s="45" t="n"/>
      <c r="H191" s="67" t="inlineStr">
        <is>
          <t>Rifampicin</t>
        </is>
      </c>
      <c r="I191" s="45" t="n"/>
      <c r="J191" s="67" t="inlineStr">
        <is>
          <t>Isoniazid</t>
        </is>
      </c>
      <c r="K191" s="45" t="n"/>
      <c r="L191" s="67" t="inlineStr">
        <is>
          <t>Fluoroquninolone</t>
        </is>
      </c>
      <c r="M191" s="45" t="n"/>
      <c r="N191" s="50" t="n"/>
      <c r="O191" s="182" t="n"/>
      <c r="Q191" s="181" t="n"/>
      <c r="R191" s="182" t="n"/>
      <c r="T191" s="181" t="n"/>
      <c r="U191" s="182" t="n"/>
      <c r="W191" s="181" t="n"/>
      <c r="X191" s="182" t="n"/>
      <c r="AA191" s="181" t="n"/>
      <c r="AB191" s="182" t="n"/>
      <c r="AD191" s="181" t="n"/>
    </row>
    <row r="192" ht="16.5" customHeight="1">
      <c r="A192" s="190" t="n"/>
      <c r="B192" s="67" t="inlineStr">
        <is>
          <t>S</t>
        </is>
      </c>
      <c r="C192" s="67" t="inlineStr">
        <is>
          <t>R</t>
        </is>
      </c>
      <c r="D192" s="67" t="inlineStr">
        <is>
          <t>S</t>
        </is>
      </c>
      <c r="E192" s="67" t="inlineStr">
        <is>
          <t>R</t>
        </is>
      </c>
      <c r="F192" s="67" t="inlineStr">
        <is>
          <t>S</t>
        </is>
      </c>
      <c r="G192" s="67" t="inlineStr">
        <is>
          <t>R</t>
        </is>
      </c>
      <c r="H192" s="67" t="inlineStr">
        <is>
          <t>S</t>
        </is>
      </c>
      <c r="I192" s="67" t="inlineStr">
        <is>
          <t>R</t>
        </is>
      </c>
      <c r="J192" s="67" t="inlineStr">
        <is>
          <t>S</t>
        </is>
      </c>
      <c r="K192" s="67" t="inlineStr">
        <is>
          <t>R</t>
        </is>
      </c>
      <c r="L192" s="67" t="inlineStr">
        <is>
          <t>S</t>
        </is>
      </c>
      <c r="M192" s="67" t="inlineStr">
        <is>
          <t>R</t>
        </is>
      </c>
      <c r="N192" s="51" t="n"/>
      <c r="O192" s="182" t="n"/>
      <c r="Q192" s="181" t="n"/>
      <c r="R192" s="182" t="n"/>
      <c r="T192" s="181" t="n"/>
      <c r="U192" s="182" t="n"/>
      <c r="W192" s="181" t="n"/>
      <c r="X192" s="183" t="n"/>
      <c r="Y192" s="22" t="n"/>
      <c r="Z192" s="22" t="n"/>
      <c r="AA192" s="184" t="n"/>
      <c r="AB192" s="183" t="n"/>
      <c r="AC192" s="22" t="n"/>
      <c r="AD192" s="184" t="n"/>
    </row>
    <row r="193" ht="24.9" customHeight="1">
      <c r="A193" s="67" t="inlineStr">
        <is>
          <t>New + UK</t>
        </is>
      </c>
      <c r="B193" s="67" t="n">
        <v>0</v>
      </c>
      <c r="C193" s="67" t="n">
        <v>0</v>
      </c>
      <c r="D193" s="67" t="n">
        <v>0</v>
      </c>
      <c r="E193" s="67" t="n">
        <v>0</v>
      </c>
      <c r="F193" s="67" t="n">
        <v>0</v>
      </c>
      <c r="G193" s="67" t="n">
        <v>0</v>
      </c>
      <c r="H193" s="67" t="n">
        <v>0</v>
      </c>
      <c r="I193" s="67" t="n">
        <v>0</v>
      </c>
      <c r="J193" s="67" t="n">
        <v>0</v>
      </c>
      <c r="K193" s="67" t="n">
        <v>0</v>
      </c>
      <c r="L193" s="67" t="n">
        <v>0</v>
      </c>
      <c r="M193" s="67" t="n">
        <v>0</v>
      </c>
      <c r="N193" s="51" t="n"/>
      <c r="O193" s="183" t="n"/>
      <c r="P193" s="22" t="n"/>
      <c r="Q193" s="184" t="n"/>
      <c r="R193" s="183" t="n"/>
      <c r="S193" s="22" t="n"/>
      <c r="T193" s="184" t="n"/>
      <c r="U193" s="183" t="n"/>
      <c r="V193" s="22" t="n"/>
      <c r="W193" s="184" t="n"/>
      <c r="X193" s="17" t="n"/>
      <c r="Y193" s="13" t="inlineStr">
        <is>
          <t>0-4</t>
        </is>
      </c>
      <c r="Z193" s="15" t="inlineStr">
        <is>
          <t>5-14</t>
        </is>
      </c>
      <c r="AA193" s="16" t="inlineStr">
        <is>
          <t>15+</t>
        </is>
      </c>
      <c r="AB193" s="13" t="inlineStr">
        <is>
          <t>0-4</t>
        </is>
      </c>
      <c r="AC193" s="15" t="inlineStr">
        <is>
          <t>5-14</t>
        </is>
      </c>
      <c r="AD193" s="16" t="inlineStr">
        <is>
          <t>15+</t>
        </is>
      </c>
    </row>
    <row r="194" ht="24.9" customHeight="1">
      <c r="A194" s="67" t="inlineStr">
        <is>
          <t>Relapse</t>
        </is>
      </c>
      <c r="B194" s="67" t="n">
        <v>0</v>
      </c>
      <c r="C194" s="67" t="n">
        <v>0</v>
      </c>
      <c r="D194" s="67" t="n">
        <v>0</v>
      </c>
      <c r="E194" s="67" t="n">
        <v>0</v>
      </c>
      <c r="F194" s="67" t="n">
        <v>0</v>
      </c>
      <c r="G194" s="67" t="n">
        <v>0</v>
      </c>
      <c r="H194" s="67" t="n">
        <v>0</v>
      </c>
      <c r="I194" s="67" t="n">
        <v>0</v>
      </c>
      <c r="J194" s="67" t="n">
        <v>0</v>
      </c>
      <c r="K194" s="67" t="n">
        <v>0</v>
      </c>
      <c r="L194" s="67" t="n">
        <v>0</v>
      </c>
      <c r="M194" s="67" t="n">
        <v>0</v>
      </c>
      <c r="N194" s="51" t="n"/>
      <c r="O194" s="7" t="inlineStr">
        <is>
          <t>0-4</t>
        </is>
      </c>
      <c r="P194" s="52" t="inlineStr">
        <is>
          <t>5-14</t>
        </is>
      </c>
      <c r="Q194" s="14" t="inlineStr">
        <is>
          <t>15 +</t>
        </is>
      </c>
      <c r="R194" s="13" t="inlineStr">
        <is>
          <t>0-4</t>
        </is>
      </c>
      <c r="S194" s="14" t="inlineStr">
        <is>
          <t>5-14</t>
        </is>
      </c>
      <c r="T194" s="14" t="inlineStr">
        <is>
          <t>15 +</t>
        </is>
      </c>
      <c r="U194" s="13" t="inlineStr">
        <is>
          <t>0-4</t>
        </is>
      </c>
      <c r="V194" s="14" t="inlineStr">
        <is>
          <t>5-14</t>
        </is>
      </c>
      <c r="W194" s="14" t="inlineStr">
        <is>
          <t>15 +</t>
        </is>
      </c>
      <c r="X194" s="17" t="inlineStr">
        <is>
          <t>6H</t>
        </is>
      </c>
      <c r="Y194" s="67" t="n">
        <v>0</v>
      </c>
      <c r="Z194" s="67" t="n">
        <v>0</v>
      </c>
      <c r="AA194" s="67" t="n">
        <v>0</v>
      </c>
      <c r="AB194" s="67" t="n">
        <v>0</v>
      </c>
      <c r="AC194" s="67" t="n">
        <v>0</v>
      </c>
      <c r="AD194" s="67" t="n">
        <v>0</v>
      </c>
    </row>
    <row r="195" ht="24.9" customHeight="1">
      <c r="A195" s="165" t="inlineStr">
        <is>
          <t>Previously treated</t>
        </is>
      </c>
      <c r="B195" s="67" t="n">
        <v>0</v>
      </c>
      <c r="C195" s="67" t="n">
        <v>0</v>
      </c>
      <c r="D195" s="67" t="n">
        <v>0</v>
      </c>
      <c r="E195" s="67" t="n">
        <v>0</v>
      </c>
      <c r="F195" s="67" t="n">
        <v>0</v>
      </c>
      <c r="G195" s="67" t="n">
        <v>0</v>
      </c>
      <c r="H195" s="67" t="n">
        <v>0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67" t="n">
        <v>0</v>
      </c>
      <c r="P195" s="67" t="n">
        <v>0</v>
      </c>
      <c r="Q195" s="67" t="n">
        <v>0</v>
      </c>
      <c r="R195" s="67" t="n">
        <v>0</v>
      </c>
      <c r="S195" s="67" t="n">
        <v>0</v>
      </c>
      <c r="T195" s="67" t="n">
        <v>0</v>
      </c>
      <c r="U195" s="67" t="n">
        <v>0</v>
      </c>
      <c r="V195" s="67" t="n">
        <v>0</v>
      </c>
      <c r="W195" s="67" t="n">
        <v>0</v>
      </c>
      <c r="X195" s="17" t="inlineStr">
        <is>
          <t>3HR</t>
        </is>
      </c>
      <c r="Y195" s="67" t="n">
        <v>0</v>
      </c>
      <c r="Z195" s="67" t="n">
        <v>0</v>
      </c>
      <c r="AA195" s="67" t="n">
        <v>0</v>
      </c>
      <c r="AB195" s="67" t="n">
        <v>0</v>
      </c>
      <c r="AC195" s="67" t="n">
        <v>0</v>
      </c>
      <c r="AD195" s="67" t="n">
        <v>0</v>
      </c>
    </row>
    <row r="196" ht="24.9" customHeight="1">
      <c r="A196" s="67" t="inlineStr">
        <is>
          <t>Total</t>
        </is>
      </c>
      <c r="B196" s="67" t="n">
        <v>0</v>
      </c>
      <c r="C196" s="67" t="n">
        <v>0</v>
      </c>
      <c r="D196" s="67" t="n">
        <v>0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190" t="n"/>
      <c r="P196" s="190" t="n"/>
      <c r="Q196" s="190" t="n"/>
      <c r="R196" s="190" t="n"/>
      <c r="S196" s="190" t="n"/>
      <c r="T196" s="190" t="n"/>
      <c r="U196" s="190" t="n"/>
      <c r="V196" s="190" t="n"/>
      <c r="W196" s="190" t="n"/>
      <c r="X196" s="53" t="inlineStr">
        <is>
          <t>3 HP</t>
        </is>
      </c>
      <c r="Y196" s="67" t="n">
        <v>0</v>
      </c>
      <c r="Z196" s="67" t="n">
        <v>0</v>
      </c>
      <c r="AA196" s="67" t="n">
        <v>0</v>
      </c>
      <c r="AB196" s="67" t="n">
        <v>0</v>
      </c>
      <c r="AC196" s="67" t="n">
        <v>0</v>
      </c>
      <c r="AD196" s="67" t="n">
        <v>0</v>
      </c>
    </row>
  </sheetData>
  <mergeCells count="727">
    <mergeCell ref="A176:K176"/>
    <mergeCell ref="F106:F110"/>
    <mergeCell ref="S14:U14"/>
    <mergeCell ref="R157:R158"/>
    <mergeCell ref="A15:K15"/>
    <mergeCell ref="AA90:AB90"/>
    <mergeCell ref="A51:K51"/>
    <mergeCell ref="S13:U13"/>
    <mergeCell ref="A178:K178"/>
    <mergeCell ref="AA104:AD104"/>
    <mergeCell ref="A121:D121"/>
    <mergeCell ref="A44:D44"/>
    <mergeCell ref="S15:U15"/>
    <mergeCell ref="S144:V144"/>
    <mergeCell ref="AA106:AD106"/>
    <mergeCell ref="V168:X168"/>
    <mergeCell ref="N169:O169"/>
    <mergeCell ref="T79:T80"/>
    <mergeCell ref="Y129:Z129"/>
    <mergeCell ref="AA105:AD105"/>
    <mergeCell ref="Y50:Z50"/>
    <mergeCell ref="P12:R12"/>
    <mergeCell ref="I46:O46"/>
    <mergeCell ref="V8:AB8"/>
    <mergeCell ref="S145:V145"/>
    <mergeCell ref="P14:R14"/>
    <mergeCell ref="Y52:Z52"/>
    <mergeCell ref="E82:H82"/>
    <mergeCell ref="V92:X92"/>
    <mergeCell ref="S91:U91"/>
    <mergeCell ref="G67:G71"/>
    <mergeCell ref="AA87:AB88"/>
    <mergeCell ref="A62:K62"/>
    <mergeCell ref="N168:O168"/>
    <mergeCell ref="S93:U93"/>
    <mergeCell ref="AA11:AB11"/>
    <mergeCell ref="P24:Q24"/>
    <mergeCell ref="N89:O89"/>
    <mergeCell ref="AC11:AD11"/>
    <mergeCell ref="U160:Y161"/>
    <mergeCell ref="X173:Y173"/>
    <mergeCell ref="S170:U170"/>
    <mergeCell ref="Z173:AA173"/>
    <mergeCell ref="AA92:AB92"/>
    <mergeCell ref="P90:R90"/>
    <mergeCell ref="AC82:AD83"/>
    <mergeCell ref="A59:K59"/>
    <mergeCell ref="V89:X89"/>
    <mergeCell ref="W67:Z67"/>
    <mergeCell ref="Y167:Z167"/>
    <mergeCell ref="AA167:AB167"/>
    <mergeCell ref="T40:T41"/>
    <mergeCell ref="A61:K61"/>
    <mergeCell ref="N171:O171"/>
    <mergeCell ref="V40:V41"/>
    <mergeCell ref="O190:Q193"/>
    <mergeCell ref="Z43:AA43"/>
    <mergeCell ref="Y169:Z169"/>
    <mergeCell ref="A128:K128"/>
    <mergeCell ref="A90:K90"/>
    <mergeCell ref="L143:L144"/>
    <mergeCell ref="A84:H84"/>
    <mergeCell ref="S195:S196"/>
    <mergeCell ref="N52:O52"/>
    <mergeCell ref="U195:U196"/>
    <mergeCell ref="Z3:AA3"/>
    <mergeCell ref="A136:K136"/>
    <mergeCell ref="U44:Y45"/>
    <mergeCell ref="M104:M105"/>
    <mergeCell ref="A129:K129"/>
    <mergeCell ref="P141:Q141"/>
    <mergeCell ref="H75:I75"/>
    <mergeCell ref="J75:K75"/>
    <mergeCell ref="AC93:AD93"/>
    <mergeCell ref="AD134:AD135"/>
    <mergeCell ref="A131:K131"/>
    <mergeCell ref="O74:Q77"/>
    <mergeCell ref="Y53:Z53"/>
    <mergeCell ref="T134:U134"/>
    <mergeCell ref="Y130:Z130"/>
    <mergeCell ref="AA130:AB130"/>
    <mergeCell ref="A95:K96"/>
    <mergeCell ref="L134:M134"/>
    <mergeCell ref="N134:O134"/>
    <mergeCell ref="M182:M183"/>
    <mergeCell ref="F28:F32"/>
    <mergeCell ref="H28:H32"/>
    <mergeCell ref="X152:AA154"/>
    <mergeCell ref="U162:Z162"/>
    <mergeCell ref="Y126:Z127"/>
    <mergeCell ref="H190:M190"/>
    <mergeCell ref="O146:R149"/>
    <mergeCell ref="S184:V184"/>
    <mergeCell ref="AA126:AB127"/>
    <mergeCell ref="S171:U171"/>
    <mergeCell ref="F114:G114"/>
    <mergeCell ref="K44:L44"/>
    <mergeCell ref="N164:O166"/>
    <mergeCell ref="H184:H188"/>
    <mergeCell ref="S92:U92"/>
    <mergeCell ref="Z160:AB161"/>
    <mergeCell ref="AA28:AD28"/>
    <mergeCell ref="L26:L27"/>
    <mergeCell ref="D65:G65"/>
    <mergeCell ref="P93:R93"/>
    <mergeCell ref="Z17:AA17"/>
    <mergeCell ref="L129:M129"/>
    <mergeCell ref="S68:V71"/>
    <mergeCell ref="L50:M50"/>
    <mergeCell ref="L182:L183"/>
    <mergeCell ref="L52:M52"/>
    <mergeCell ref="O4:R4"/>
    <mergeCell ref="U84:Z84"/>
    <mergeCell ref="A145:A149"/>
    <mergeCell ref="P180:Q180"/>
    <mergeCell ref="A113:A115"/>
    <mergeCell ref="H74:M74"/>
    <mergeCell ref="O104:R104"/>
    <mergeCell ref="U40:U41"/>
    <mergeCell ref="S8:U10"/>
    <mergeCell ref="A56:K57"/>
    <mergeCell ref="W40:W41"/>
    <mergeCell ref="P130:R130"/>
    <mergeCell ref="K121:L121"/>
    <mergeCell ref="O157:O158"/>
    <mergeCell ref="Z44:AB45"/>
    <mergeCell ref="D143:G143"/>
    <mergeCell ref="S131:U131"/>
    <mergeCell ref="O29:R32"/>
    <mergeCell ref="L13:M13"/>
    <mergeCell ref="AC47:AD49"/>
    <mergeCell ref="H114:I114"/>
    <mergeCell ref="S26:V26"/>
    <mergeCell ref="A35:A37"/>
    <mergeCell ref="M106:M110"/>
    <mergeCell ref="H191:I191"/>
    <mergeCell ref="L15:M15"/>
    <mergeCell ref="A82:D82"/>
    <mergeCell ref="A2:AD2"/>
    <mergeCell ref="Y132:Z132"/>
    <mergeCell ref="V86:AB86"/>
    <mergeCell ref="AA132:AB132"/>
    <mergeCell ref="A46:H46"/>
    <mergeCell ref="U74:W77"/>
    <mergeCell ref="A9:K10"/>
    <mergeCell ref="S27:V27"/>
    <mergeCell ref="A50:K50"/>
    <mergeCell ref="S118:S119"/>
    <mergeCell ref="U118:U119"/>
    <mergeCell ref="J184:J188"/>
    <mergeCell ref="L171:M171"/>
    <mergeCell ref="A86:K86"/>
    <mergeCell ref="B184:B188"/>
    <mergeCell ref="L65:L66"/>
    <mergeCell ref="Y165:Z166"/>
    <mergeCell ref="AA165:AB166"/>
    <mergeCell ref="A175:K175"/>
    <mergeCell ref="AB17:AC17"/>
    <mergeCell ref="B36:C36"/>
    <mergeCell ref="S52:U52"/>
    <mergeCell ref="E28:E32"/>
    <mergeCell ref="M121:N121"/>
    <mergeCell ref="G28:G32"/>
    <mergeCell ref="A160:D160"/>
    <mergeCell ref="I28:I32"/>
    <mergeCell ref="AB113:AD115"/>
    <mergeCell ref="AC128:AD128"/>
    <mergeCell ref="R118:R119"/>
    <mergeCell ref="T118:T119"/>
    <mergeCell ref="AA13:AB13"/>
    <mergeCell ref="AC13:AD13"/>
    <mergeCell ref="L53:M53"/>
    <mergeCell ref="K4:L4"/>
    <mergeCell ref="Y89:Z89"/>
    <mergeCell ref="N53:O53"/>
    <mergeCell ref="A6:H6"/>
    <mergeCell ref="O106:R106"/>
    <mergeCell ref="L130:M130"/>
    <mergeCell ref="V47:AB47"/>
    <mergeCell ref="S128:U128"/>
    <mergeCell ref="N130:O130"/>
    <mergeCell ref="AA15:AB15"/>
    <mergeCell ref="AC15:AD15"/>
    <mergeCell ref="H26:K26"/>
    <mergeCell ref="I84:O84"/>
    <mergeCell ref="O105:R105"/>
    <mergeCell ref="A99:K99"/>
    <mergeCell ref="L132:M132"/>
    <mergeCell ref="E106:E110"/>
    <mergeCell ref="V53:X53"/>
    <mergeCell ref="V165:X166"/>
    <mergeCell ref="G106:G110"/>
    <mergeCell ref="D106:D110"/>
    <mergeCell ref="J191:K191"/>
    <mergeCell ref="F153:G153"/>
    <mergeCell ref="B191:C191"/>
    <mergeCell ref="A101:K101"/>
    <mergeCell ref="A81:X81"/>
    <mergeCell ref="AD95:AD96"/>
    <mergeCell ref="S50:U50"/>
    <mergeCell ref="P54:R54"/>
    <mergeCell ref="B113:G113"/>
    <mergeCell ref="G145:G149"/>
    <mergeCell ref="H35:M35"/>
    <mergeCell ref="I145:I149"/>
    <mergeCell ref="R56:S56"/>
    <mergeCell ref="T56:U56"/>
    <mergeCell ref="AA26:AD26"/>
    <mergeCell ref="V134:W134"/>
    <mergeCell ref="X134:Y134"/>
    <mergeCell ref="A125:K125"/>
    <mergeCell ref="L173:M173"/>
    <mergeCell ref="AD17:AD18"/>
    <mergeCell ref="A182:A183"/>
    <mergeCell ref="B26:C26"/>
    <mergeCell ref="O183:R183"/>
    <mergeCell ref="W146:Z149"/>
    <mergeCell ref="I67:I71"/>
    <mergeCell ref="AA84:AD84"/>
    <mergeCell ref="K67:K71"/>
    <mergeCell ref="R152:T155"/>
    <mergeCell ref="M44:N44"/>
    <mergeCell ref="N51:O51"/>
    <mergeCell ref="A123:H123"/>
    <mergeCell ref="U113:W116"/>
    <mergeCell ref="P195:P196"/>
    <mergeCell ref="O107:R110"/>
    <mergeCell ref="W28:Z28"/>
    <mergeCell ref="AC92:AD92"/>
    <mergeCell ref="Q79:Q80"/>
    <mergeCell ref="S53:U53"/>
    <mergeCell ref="V54:X54"/>
    <mergeCell ref="AA144:AD144"/>
    <mergeCell ref="M65:M66"/>
    <mergeCell ref="P171:R171"/>
    <mergeCell ref="H36:I36"/>
    <mergeCell ref="J36:K36"/>
    <mergeCell ref="L92:M92"/>
    <mergeCell ref="N92:O92"/>
    <mergeCell ref="V157:V158"/>
    <mergeCell ref="R173:S173"/>
    <mergeCell ref="P157:P158"/>
    <mergeCell ref="AA54:AB54"/>
    <mergeCell ref="E4:H4"/>
    <mergeCell ref="Y90:Z90"/>
    <mergeCell ref="W183:Z183"/>
    <mergeCell ref="AC54:AD54"/>
    <mergeCell ref="W104:Z104"/>
    <mergeCell ref="V130:X130"/>
    <mergeCell ref="P102:Q102"/>
    <mergeCell ref="L167:M167"/>
    <mergeCell ref="A8:K8"/>
    <mergeCell ref="O184:R184"/>
    <mergeCell ref="O185:R188"/>
    <mergeCell ref="A100:K100"/>
    <mergeCell ref="A171:K171"/>
    <mergeCell ref="A74:A76"/>
    <mergeCell ref="W106:Z106"/>
    <mergeCell ref="P79:P80"/>
    <mergeCell ref="T95:U95"/>
    <mergeCell ref="L169:M169"/>
    <mergeCell ref="V95:W95"/>
    <mergeCell ref="R79:R80"/>
    <mergeCell ref="M143:M144"/>
    <mergeCell ref="W105:Z105"/>
    <mergeCell ref="Y131:Z131"/>
    <mergeCell ref="G184:G188"/>
    <mergeCell ref="AA131:AB131"/>
    <mergeCell ref="C67:C71"/>
    <mergeCell ref="AB190:AD192"/>
    <mergeCell ref="A168:K168"/>
    <mergeCell ref="L125:M127"/>
    <mergeCell ref="A162:H162"/>
    <mergeCell ref="U190:W193"/>
    <mergeCell ref="N125:O127"/>
    <mergeCell ref="Z81:AA81"/>
    <mergeCell ref="A190:A192"/>
    <mergeCell ref="Y14:Z14"/>
    <mergeCell ref="S143:V143"/>
    <mergeCell ref="E121:H121"/>
    <mergeCell ref="Y11:Z11"/>
    <mergeCell ref="A152:A154"/>
    <mergeCell ref="L89:M89"/>
    <mergeCell ref="T173:U173"/>
    <mergeCell ref="H145:H149"/>
    <mergeCell ref="V173:W173"/>
    <mergeCell ref="O28:R28"/>
    <mergeCell ref="N17:O17"/>
    <mergeCell ref="U82:Y83"/>
    <mergeCell ref="P17:Q17"/>
    <mergeCell ref="L153:M153"/>
    <mergeCell ref="A21:K21"/>
    <mergeCell ref="U123:Z123"/>
    <mergeCell ref="V87:X88"/>
    <mergeCell ref="S67:V67"/>
    <mergeCell ref="A23:K23"/>
    <mergeCell ref="AC129:AD129"/>
    <mergeCell ref="P129:R129"/>
    <mergeCell ref="V91:X91"/>
    <mergeCell ref="O65:R65"/>
    <mergeCell ref="S47:U49"/>
    <mergeCell ref="K160:L160"/>
    <mergeCell ref="B67:B71"/>
    <mergeCell ref="O44:R44"/>
    <mergeCell ref="I184:I188"/>
    <mergeCell ref="AB74:AD76"/>
    <mergeCell ref="P131:R131"/>
    <mergeCell ref="A52:K52"/>
    <mergeCell ref="R113:T116"/>
    <mergeCell ref="O195:O196"/>
    <mergeCell ref="Z82:AB83"/>
    <mergeCell ref="S86:U88"/>
    <mergeCell ref="Q195:Q196"/>
    <mergeCell ref="Y91:Z91"/>
    <mergeCell ref="AA46:AD46"/>
    <mergeCell ref="AA91:AB91"/>
    <mergeCell ref="L95:M95"/>
    <mergeCell ref="N95:O95"/>
    <mergeCell ref="L131:M131"/>
    <mergeCell ref="AB173:AC173"/>
    <mergeCell ref="V167:X167"/>
    <mergeCell ref="Y93:Z93"/>
    <mergeCell ref="AA93:AB93"/>
    <mergeCell ref="V11:X11"/>
    <mergeCell ref="AA170:AB170"/>
    <mergeCell ref="V169:X169"/>
    <mergeCell ref="J145:J149"/>
    <mergeCell ref="AA184:AD184"/>
    <mergeCell ref="P13:R13"/>
    <mergeCell ref="A42:AD42"/>
    <mergeCell ref="Z56:AA56"/>
    <mergeCell ref="AB56:AC56"/>
    <mergeCell ref="P15:R15"/>
    <mergeCell ref="O79:O80"/>
    <mergeCell ref="S168:U168"/>
    <mergeCell ref="S51:U51"/>
    <mergeCell ref="S182:V182"/>
    <mergeCell ref="A47:K47"/>
    <mergeCell ref="M160:N160"/>
    <mergeCell ref="S167:U167"/>
    <mergeCell ref="L106:L110"/>
    <mergeCell ref="Y12:Z12"/>
    <mergeCell ref="I4:J4"/>
    <mergeCell ref="L90:M90"/>
    <mergeCell ref="AA12:AB12"/>
    <mergeCell ref="B190:G190"/>
    <mergeCell ref="N90:O90"/>
    <mergeCell ref="O35:Q38"/>
    <mergeCell ref="B114:C114"/>
    <mergeCell ref="S169:U169"/>
    <mergeCell ref="L164:M166"/>
    <mergeCell ref="AA143:AD143"/>
    <mergeCell ref="W107:Z110"/>
    <mergeCell ref="AC52:AD52"/>
    <mergeCell ref="AA14:AB14"/>
    <mergeCell ref="AA48:AB49"/>
    <mergeCell ref="A58:K58"/>
    <mergeCell ref="AC4:AD5"/>
    <mergeCell ref="V93:X93"/>
    <mergeCell ref="L91:M91"/>
    <mergeCell ref="V17:W17"/>
    <mergeCell ref="I123:O123"/>
    <mergeCell ref="N91:O91"/>
    <mergeCell ref="O144:R144"/>
    <mergeCell ref="X113:AA115"/>
    <mergeCell ref="A60:K60"/>
    <mergeCell ref="AC170:AD170"/>
    <mergeCell ref="D36:E36"/>
    <mergeCell ref="V132:X132"/>
    <mergeCell ref="V126:X127"/>
    <mergeCell ref="AA67:AD67"/>
    <mergeCell ref="V164:AB164"/>
    <mergeCell ref="M82:N82"/>
    <mergeCell ref="S89:U89"/>
    <mergeCell ref="B74:G74"/>
    <mergeCell ref="O40:O41"/>
    <mergeCell ref="P47:R49"/>
    <mergeCell ref="N167:O167"/>
    <mergeCell ref="W185:Z188"/>
    <mergeCell ref="Q40:Q41"/>
    <mergeCell ref="S40:S41"/>
    <mergeCell ref="A67:A71"/>
    <mergeCell ref="I121:J121"/>
    <mergeCell ref="AA27:AD27"/>
    <mergeCell ref="AB95:AC95"/>
    <mergeCell ref="W65:Z65"/>
    <mergeCell ref="X190:AA192"/>
    <mergeCell ref="H67:H71"/>
    <mergeCell ref="AC50:AD50"/>
    <mergeCell ref="V12:X12"/>
    <mergeCell ref="AD56:AD57"/>
    <mergeCell ref="A143:A144"/>
    <mergeCell ref="D114:E114"/>
    <mergeCell ref="O26:R26"/>
    <mergeCell ref="I44:J44"/>
    <mergeCell ref="A53:K53"/>
    <mergeCell ref="AA123:AD123"/>
    <mergeCell ref="V14:X14"/>
    <mergeCell ref="N15:O15"/>
    <mergeCell ref="U157:U158"/>
    <mergeCell ref="W157:W158"/>
    <mergeCell ref="A19:K19"/>
    <mergeCell ref="V13:X13"/>
    <mergeCell ref="H152:M152"/>
    <mergeCell ref="S11:U11"/>
    <mergeCell ref="B152:G152"/>
    <mergeCell ref="O27:R27"/>
    <mergeCell ref="P170:R170"/>
    <mergeCell ref="W79:W80"/>
    <mergeCell ref="X17:Y17"/>
    <mergeCell ref="Y54:Z54"/>
    <mergeCell ref="S183:V183"/>
    <mergeCell ref="A65:A66"/>
    <mergeCell ref="AC53:AD53"/>
    <mergeCell ref="L93:M93"/>
    <mergeCell ref="N93:O93"/>
    <mergeCell ref="Y51:Z51"/>
    <mergeCell ref="A28:A32"/>
    <mergeCell ref="A137:K137"/>
    <mergeCell ref="C28:C32"/>
    <mergeCell ref="N170:O170"/>
    <mergeCell ref="Y128:Z128"/>
    <mergeCell ref="D75:E75"/>
    <mergeCell ref="L8:M10"/>
    <mergeCell ref="J67:J71"/>
    <mergeCell ref="F75:G75"/>
    <mergeCell ref="L67:L71"/>
    <mergeCell ref="O145:R145"/>
    <mergeCell ref="AA171:AB171"/>
    <mergeCell ref="A139:K139"/>
    <mergeCell ref="AC171:AD171"/>
    <mergeCell ref="C184:C188"/>
    <mergeCell ref="P118:P119"/>
    <mergeCell ref="P92:R92"/>
    <mergeCell ref="W195:W196"/>
    <mergeCell ref="A13:K13"/>
    <mergeCell ref="AA6:AD6"/>
    <mergeCell ref="S90:U90"/>
    <mergeCell ref="U6:Z6"/>
    <mergeCell ref="A140:K140"/>
    <mergeCell ref="AA162:AD162"/>
    <mergeCell ref="S164:U166"/>
    <mergeCell ref="H182:K182"/>
    <mergeCell ref="J153:K153"/>
    <mergeCell ref="B153:C153"/>
    <mergeCell ref="D153:E153"/>
    <mergeCell ref="L86:M88"/>
    <mergeCell ref="R190:T193"/>
    <mergeCell ref="A92:K92"/>
    <mergeCell ref="N86:O88"/>
    <mergeCell ref="N54:O54"/>
    <mergeCell ref="H104:K104"/>
    <mergeCell ref="V15:X15"/>
    <mergeCell ref="P40:P41"/>
    <mergeCell ref="R40:R41"/>
    <mergeCell ref="P8:R10"/>
    <mergeCell ref="V51:X51"/>
    <mergeCell ref="N56:O56"/>
    <mergeCell ref="AC130:AD130"/>
    <mergeCell ref="P56:Q56"/>
    <mergeCell ref="O66:R66"/>
    <mergeCell ref="V128:X128"/>
    <mergeCell ref="A165:K166"/>
    <mergeCell ref="V48:X49"/>
    <mergeCell ref="L104:L105"/>
    <mergeCell ref="AA168:AB168"/>
    <mergeCell ref="AC168:AD168"/>
    <mergeCell ref="A89:K89"/>
    <mergeCell ref="S146:V149"/>
    <mergeCell ref="H106:H110"/>
    <mergeCell ref="O160:R160"/>
    <mergeCell ref="B106:B110"/>
    <mergeCell ref="A104:A105"/>
    <mergeCell ref="L114:M114"/>
    <mergeCell ref="Y87:Z88"/>
    <mergeCell ref="AA128:AB128"/>
    <mergeCell ref="N132:O132"/>
    <mergeCell ref="O113:Q116"/>
    <mergeCell ref="L168:M168"/>
    <mergeCell ref="R74:T77"/>
    <mergeCell ref="B143:C143"/>
    <mergeCell ref="S28:V28"/>
    <mergeCell ref="W144:Z144"/>
    <mergeCell ref="AA129:AB129"/>
    <mergeCell ref="L11:M11"/>
    <mergeCell ref="AB35:AD37"/>
    <mergeCell ref="N173:O173"/>
    <mergeCell ref="P173:Q173"/>
    <mergeCell ref="X74:AA76"/>
    <mergeCell ref="AA183:AD183"/>
    <mergeCell ref="W145:Z145"/>
    <mergeCell ref="A4:D4"/>
    <mergeCell ref="AA52:AB52"/>
    <mergeCell ref="AA145:AD145"/>
    <mergeCell ref="B28:B32"/>
    <mergeCell ref="S104:V104"/>
    <mergeCell ref="D28:D32"/>
    <mergeCell ref="S185:V188"/>
    <mergeCell ref="S106:V106"/>
    <mergeCell ref="AC91:AD91"/>
    <mergeCell ref="O118:O119"/>
    <mergeCell ref="P95:Q95"/>
    <mergeCell ref="P168:R168"/>
    <mergeCell ref="Q118:Q119"/>
    <mergeCell ref="S105:V105"/>
    <mergeCell ref="N8:O10"/>
    <mergeCell ref="V90:X90"/>
    <mergeCell ref="L51:M51"/>
    <mergeCell ref="Q157:Q158"/>
    <mergeCell ref="E44:H44"/>
    <mergeCell ref="A173:K174"/>
    <mergeCell ref="L128:M128"/>
    <mergeCell ref="N128:O128"/>
    <mergeCell ref="AB152:AD154"/>
    <mergeCell ref="AC167:AD167"/>
    <mergeCell ref="V129:X129"/>
    <mergeCell ref="A97:K97"/>
    <mergeCell ref="P50:R50"/>
    <mergeCell ref="O143:R143"/>
    <mergeCell ref="AA169:AB169"/>
    <mergeCell ref="T157:T158"/>
    <mergeCell ref="AC169:AD169"/>
    <mergeCell ref="B145:B149"/>
    <mergeCell ref="V131:X131"/>
    <mergeCell ref="D145:D149"/>
    <mergeCell ref="W68:Z71"/>
    <mergeCell ref="P52:R52"/>
    <mergeCell ref="L17:M17"/>
    <mergeCell ref="N11:O11"/>
    <mergeCell ref="M28:M32"/>
    <mergeCell ref="Y15:Z15"/>
    <mergeCell ref="O67:R67"/>
    <mergeCell ref="L75:M75"/>
    <mergeCell ref="V125:AB125"/>
    <mergeCell ref="P91:R91"/>
    <mergeCell ref="AC131:AD131"/>
    <mergeCell ref="D67:D71"/>
    <mergeCell ref="F67:F71"/>
    <mergeCell ref="A3:X3"/>
    <mergeCell ref="A120:X120"/>
    <mergeCell ref="A106:A110"/>
    <mergeCell ref="L12:M12"/>
    <mergeCell ref="O121:R121"/>
    <mergeCell ref="K184:K188"/>
    <mergeCell ref="C106:C110"/>
    <mergeCell ref="N12:O12"/>
    <mergeCell ref="M184:M188"/>
    <mergeCell ref="A54:K54"/>
    <mergeCell ref="AC125:AD127"/>
    <mergeCell ref="E184:E188"/>
    <mergeCell ref="U4:Y5"/>
    <mergeCell ref="AC89:AD89"/>
    <mergeCell ref="I6:O6"/>
    <mergeCell ref="L14:M14"/>
    <mergeCell ref="S157:S158"/>
    <mergeCell ref="N14:O14"/>
    <mergeCell ref="A159:X159"/>
    <mergeCell ref="AA53:AB53"/>
    <mergeCell ref="C145:C149"/>
    <mergeCell ref="R95:S95"/>
    <mergeCell ref="V50:X50"/>
    <mergeCell ref="S54:U54"/>
    <mergeCell ref="B182:C182"/>
    <mergeCell ref="P167:R167"/>
    <mergeCell ref="W26:Z26"/>
    <mergeCell ref="AC90:AD90"/>
    <mergeCell ref="P134:Q134"/>
    <mergeCell ref="R134:S134"/>
    <mergeCell ref="J28:J32"/>
    <mergeCell ref="L28:L32"/>
    <mergeCell ref="Y9:Z10"/>
    <mergeCell ref="P169:R169"/>
    <mergeCell ref="AA9:AB10"/>
    <mergeCell ref="A22:K22"/>
    <mergeCell ref="AA50:AB50"/>
    <mergeCell ref="F145:F149"/>
    <mergeCell ref="B104:C104"/>
    <mergeCell ref="W184:Z184"/>
    <mergeCell ref="H113:M113"/>
    <mergeCell ref="S130:U130"/>
    <mergeCell ref="V56:W56"/>
    <mergeCell ref="X56:Y56"/>
    <mergeCell ref="A167:K167"/>
    <mergeCell ref="AA66:AD66"/>
    <mergeCell ref="H65:K65"/>
    <mergeCell ref="N129:O129"/>
    <mergeCell ref="S132:U132"/>
    <mergeCell ref="P63:Q63"/>
    <mergeCell ref="U121:Y122"/>
    <mergeCell ref="N50:O50"/>
    <mergeCell ref="A11:K11"/>
    <mergeCell ref="Z120:AA120"/>
    <mergeCell ref="O82:R82"/>
    <mergeCell ref="O68:R71"/>
    <mergeCell ref="A98:K98"/>
    <mergeCell ref="AC44:AD45"/>
    <mergeCell ref="A169:K169"/>
    <mergeCell ref="V170:X170"/>
    <mergeCell ref="I160:J160"/>
    <mergeCell ref="O182:R182"/>
    <mergeCell ref="N131:O131"/>
    <mergeCell ref="AC12:AD12"/>
    <mergeCell ref="A134:K135"/>
    <mergeCell ref="J106:J110"/>
    <mergeCell ref="O152:Q155"/>
    <mergeCell ref="D26:G26"/>
    <mergeCell ref="U35:W38"/>
    <mergeCell ref="AC86:AD88"/>
    <mergeCell ref="A26:A27"/>
    <mergeCell ref="AC14:AD14"/>
    <mergeCell ref="E145:E149"/>
    <mergeCell ref="W143:Z143"/>
    <mergeCell ref="S107:V110"/>
    <mergeCell ref="P53:R53"/>
    <mergeCell ref="A177:K177"/>
    <mergeCell ref="A164:K164"/>
    <mergeCell ref="L145:L149"/>
    <mergeCell ref="Y48:Z49"/>
    <mergeCell ref="A179:K179"/>
    <mergeCell ref="V9:X10"/>
    <mergeCell ref="H143:K143"/>
    <mergeCell ref="B35:G35"/>
    <mergeCell ref="P132:R132"/>
    <mergeCell ref="Y170:Z170"/>
    <mergeCell ref="N13:O13"/>
    <mergeCell ref="S29:V32"/>
    <mergeCell ref="I82:J82"/>
    <mergeCell ref="J114:K114"/>
    <mergeCell ref="A91:K91"/>
    <mergeCell ref="K82:L82"/>
    <mergeCell ref="S125:U127"/>
    <mergeCell ref="V52:X52"/>
    <mergeCell ref="U46:Z46"/>
    <mergeCell ref="AC121:AD122"/>
    <mergeCell ref="L191:M191"/>
    <mergeCell ref="AC164:AD166"/>
    <mergeCell ref="R35:T38"/>
    <mergeCell ref="AC132:AD132"/>
    <mergeCell ref="A93:K93"/>
    <mergeCell ref="Z4:AB5"/>
    <mergeCell ref="W27:Z27"/>
    <mergeCell ref="X95:Y95"/>
    <mergeCell ref="S65:V65"/>
    <mergeCell ref="V79:V80"/>
    <mergeCell ref="Z95:AA95"/>
    <mergeCell ref="D184:D188"/>
    <mergeCell ref="W118:W119"/>
    <mergeCell ref="F184:F188"/>
    <mergeCell ref="A126:K127"/>
    <mergeCell ref="P86:R88"/>
    <mergeCell ref="Z159:AA159"/>
    <mergeCell ref="Y92:Z92"/>
    <mergeCell ref="F36:G36"/>
    <mergeCell ref="K28:K32"/>
    <mergeCell ref="E160:H160"/>
    <mergeCell ref="A12:K12"/>
    <mergeCell ref="Y168:Z168"/>
    <mergeCell ref="S79:S80"/>
    <mergeCell ref="V118:V119"/>
    <mergeCell ref="R17:S17"/>
    <mergeCell ref="W182:Z182"/>
    <mergeCell ref="A14:K14"/>
    <mergeCell ref="AA89:AB89"/>
    <mergeCell ref="T17:U17"/>
    <mergeCell ref="Y13:Z13"/>
    <mergeCell ref="A48:K49"/>
    <mergeCell ref="AA182:AD182"/>
    <mergeCell ref="S12:U12"/>
    <mergeCell ref="M26:M27"/>
    <mergeCell ref="Z121:AB122"/>
    <mergeCell ref="L184:L188"/>
    <mergeCell ref="P164:R166"/>
    <mergeCell ref="AA51:AB51"/>
    <mergeCell ref="AC51:AD51"/>
    <mergeCell ref="AC160:AD161"/>
    <mergeCell ref="A170:K170"/>
    <mergeCell ref="AA65:AD65"/>
    <mergeCell ref="W29:Z32"/>
    <mergeCell ref="U152:W155"/>
    <mergeCell ref="AD173:AD174"/>
    <mergeCell ref="L170:M170"/>
    <mergeCell ref="I106:I110"/>
    <mergeCell ref="B75:C75"/>
    <mergeCell ref="K106:K110"/>
    <mergeCell ref="D191:E191"/>
    <mergeCell ref="P11:R11"/>
    <mergeCell ref="A130:K130"/>
    <mergeCell ref="Y171:Z171"/>
    <mergeCell ref="F191:G191"/>
    <mergeCell ref="A184:A188"/>
    <mergeCell ref="X35:AA37"/>
    <mergeCell ref="A138:K138"/>
    <mergeCell ref="K145:K149"/>
    <mergeCell ref="A132:K132"/>
    <mergeCell ref="M145:M149"/>
    <mergeCell ref="A17:K18"/>
    <mergeCell ref="L47:M49"/>
    <mergeCell ref="N47:O49"/>
    <mergeCell ref="D182:G182"/>
    <mergeCell ref="Z134:AA134"/>
    <mergeCell ref="AB134:AC134"/>
    <mergeCell ref="AC8:AD10"/>
    <mergeCell ref="P125:R127"/>
    <mergeCell ref="S129:U129"/>
    <mergeCell ref="H153:I153"/>
    <mergeCell ref="M67:M71"/>
    <mergeCell ref="E67:E71"/>
    <mergeCell ref="A43:X43"/>
    <mergeCell ref="P89:R89"/>
    <mergeCell ref="L54:M54"/>
    <mergeCell ref="D104:G104"/>
    <mergeCell ref="P51:R51"/>
    <mergeCell ref="B65:C65"/>
    <mergeCell ref="R195:R196"/>
    <mergeCell ref="T195:T196"/>
    <mergeCell ref="S66:V66"/>
    <mergeCell ref="L56:M56"/>
    <mergeCell ref="V195:V196"/>
    <mergeCell ref="U79:U80"/>
    <mergeCell ref="P128:R128"/>
    <mergeCell ref="W66:Z66"/>
    <mergeCell ref="A20:K20"/>
    <mergeCell ref="I162:O162"/>
    <mergeCell ref="V171:X171"/>
    <mergeCell ref="L36:M36"/>
    <mergeCell ref="M4:N4"/>
    <mergeCell ref="A87:K88"/>
  </mergeCells>
  <printOptions horizontalCentered="1"/>
  <pageMargins left="0.25" right="0.25" top="0.25" bottom="0.25" header="0.25" footer="0.25"/>
  <pageSetup orientation="landscape" paperSize="9" scale="61"/>
  <rowBreaks count="4" manualBreakCount="4">
    <brk id="41" min="0" max="29" man="1"/>
    <brk id="80" min="0" max="29" man="1"/>
    <brk id="119" min="0" max="29" man="1"/>
    <brk id="158" min="0" max="29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8000"/>
    <outlinePr summaryBelow="1" summaryRight="1"/>
    <pageSetUpPr/>
  </sheetPr>
  <dimension ref="A2:AD198"/>
  <sheetViews>
    <sheetView tabSelected="1" topLeftCell="D187" zoomScaleNormal="100" zoomScaleSheetLayoutView="85" workbookViewId="0">
      <selection activeCell="Y198" sqref="Y198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8.88671875" customWidth="1" min="13" max="13"/>
    <col width="7.33203125" customWidth="1" min="14" max="14"/>
    <col width="6.33203125" customWidth="1" min="15" max="15"/>
    <col width="5.33203125" customWidth="1" min="16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35" t="inlineStr">
        <is>
          <t>KARACHI COMPLIED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8" t="n"/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145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26" t="n">
        <v>79</v>
      </c>
      <c r="M11" s="45" t="n"/>
      <c r="N11" s="26" t="n">
        <v>20</v>
      </c>
      <c r="O11" s="45" t="n"/>
      <c r="P11" s="26" t="n">
        <v>0</v>
      </c>
      <c r="Q11" s="33" t="n"/>
      <c r="R11" s="45" t="n"/>
      <c r="S11" s="67" t="n">
        <v>99</v>
      </c>
      <c r="T11" s="33" t="n"/>
      <c r="U11" s="45" t="n"/>
      <c r="V11" s="26" t="n">
        <v>0</v>
      </c>
      <c r="W11" s="33" t="n"/>
      <c r="X11" s="45" t="n"/>
      <c r="Y11" s="26" t="n">
        <v>3</v>
      </c>
      <c r="Z11" s="45" t="n"/>
      <c r="AA11" s="26" t="n">
        <v>5</v>
      </c>
      <c r="AB11" s="45" t="n"/>
      <c r="AC11" s="67" t="n">
        <v>107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26" t="n">
        <v>133</v>
      </c>
      <c r="M12" s="45" t="n"/>
      <c r="N12" s="26" t="n">
        <v>17</v>
      </c>
      <c r="O12" s="45" t="n"/>
      <c r="P12" s="26" t="n">
        <v>0</v>
      </c>
      <c r="Q12" s="33" t="n"/>
      <c r="R12" s="45" t="n"/>
      <c r="S12" s="67" t="n">
        <v>150</v>
      </c>
      <c r="T12" s="33" t="n"/>
      <c r="U12" s="45" t="n"/>
      <c r="V12" s="26" t="n">
        <v>0</v>
      </c>
      <c r="W12" s="33" t="n"/>
      <c r="X12" s="45" t="n"/>
      <c r="Y12" s="26" t="n">
        <v>3</v>
      </c>
      <c r="Z12" s="45" t="n"/>
      <c r="AA12" s="26" t="n">
        <v>2</v>
      </c>
      <c r="AB12" s="45" t="n"/>
      <c r="AC12" s="67" t="n">
        <v>155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26" t="n">
        <v>1</v>
      </c>
      <c r="M13" s="45" t="n"/>
      <c r="N13" s="26" t="n">
        <v>0</v>
      </c>
      <c r="O13" s="45" t="n"/>
      <c r="P13" s="26" t="n">
        <v>0</v>
      </c>
      <c r="Q13" s="33" t="n"/>
      <c r="R13" s="45" t="n"/>
      <c r="S13" s="67" t="n">
        <v>1</v>
      </c>
      <c r="T13" s="33" t="n"/>
      <c r="U13" s="45" t="n"/>
      <c r="V13" s="26" t="n">
        <v>0</v>
      </c>
      <c r="W13" s="33" t="n"/>
      <c r="X13" s="45" t="n"/>
      <c r="Y13" s="26" t="n">
        <v>0</v>
      </c>
      <c r="Z13" s="45" t="n"/>
      <c r="AA13" s="26" t="n">
        <v>1</v>
      </c>
      <c r="AB13" s="45" t="n"/>
      <c r="AC13" s="67" t="n">
        <v>2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26" t="n">
        <v>70</v>
      </c>
      <c r="M14" s="45" t="n"/>
      <c r="N14" s="26" t="n">
        <v>7</v>
      </c>
      <c r="O14" s="45" t="n"/>
      <c r="P14" s="26" t="n">
        <v>0</v>
      </c>
      <c r="Q14" s="33" t="n"/>
      <c r="R14" s="45" t="n"/>
      <c r="S14" s="67" t="n">
        <v>77</v>
      </c>
      <c r="T14" s="33" t="n"/>
      <c r="U14" s="45" t="n"/>
      <c r="V14" s="26" t="n">
        <v>0</v>
      </c>
      <c r="W14" s="33" t="n"/>
      <c r="X14" s="45" t="n"/>
      <c r="Y14" s="26" t="n">
        <v>1</v>
      </c>
      <c r="Z14" s="45" t="n"/>
      <c r="AA14" s="26" t="n">
        <v>4</v>
      </c>
      <c r="AB14" s="45" t="n"/>
      <c r="AC14" s="67" t="n">
        <v>82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67" t="n">
        <v>283</v>
      </c>
      <c r="M15" s="45" t="n"/>
      <c r="N15" s="67" t="n">
        <v>44</v>
      </c>
      <c r="O15" s="45" t="n"/>
      <c r="P15" s="67" t="n">
        <v>0</v>
      </c>
      <c r="Q15" s="33" t="n"/>
      <c r="R15" s="45" t="n"/>
      <c r="S15" s="67" t="n">
        <v>327</v>
      </c>
      <c r="T15" s="33" t="n"/>
      <c r="U15" s="45" t="n"/>
      <c r="V15" s="67" t="n">
        <v>0</v>
      </c>
      <c r="W15" s="33" t="n"/>
      <c r="X15" s="45" t="n"/>
      <c r="Y15" s="67" t="n">
        <v>7</v>
      </c>
      <c r="Z15" s="45" t="n"/>
      <c r="AA15" s="67" t="n">
        <v>12</v>
      </c>
      <c r="AB15" s="45" t="n"/>
      <c r="AC15" s="67" t="n">
        <v>346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26" t="n">
        <v>0</v>
      </c>
      <c r="M19" s="26" t="n">
        <v>0</v>
      </c>
      <c r="N19" s="26" t="n">
        <v>0</v>
      </c>
      <c r="O19" s="26" t="n">
        <v>5</v>
      </c>
      <c r="P19" s="26" t="n">
        <v>9</v>
      </c>
      <c r="Q19" s="26" t="n">
        <v>26</v>
      </c>
      <c r="R19" s="26" t="n">
        <v>9</v>
      </c>
      <c r="S19" s="26" t="n">
        <v>11</v>
      </c>
      <c r="T19" s="26" t="n">
        <v>7</v>
      </c>
      <c r="U19" s="26" t="n">
        <v>6</v>
      </c>
      <c r="V19" s="26" t="n">
        <v>4</v>
      </c>
      <c r="W19" s="26" t="n">
        <v>7</v>
      </c>
      <c r="X19" s="26" t="n">
        <v>4</v>
      </c>
      <c r="Y19" s="26" t="n">
        <v>4</v>
      </c>
      <c r="Z19" s="26" t="n">
        <v>5</v>
      </c>
      <c r="AA19" s="26" t="n">
        <v>2</v>
      </c>
      <c r="AB19" s="67" t="n">
        <v>38</v>
      </c>
      <c r="AC19" s="67" t="n">
        <v>61</v>
      </c>
      <c r="AD19" s="67" t="n">
        <v>99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26" t="n">
        <v>1</v>
      </c>
      <c r="M20" s="26" t="n">
        <v>1</v>
      </c>
      <c r="N20" s="26" t="n">
        <v>4</v>
      </c>
      <c r="O20" s="26" t="n">
        <v>14</v>
      </c>
      <c r="P20" s="26" t="n">
        <v>17</v>
      </c>
      <c r="Q20" s="26" t="n">
        <v>17</v>
      </c>
      <c r="R20" s="26" t="n">
        <v>11</v>
      </c>
      <c r="S20" s="26" t="n">
        <v>13</v>
      </c>
      <c r="T20" s="26" t="n">
        <v>11</v>
      </c>
      <c r="U20" s="26" t="n">
        <v>8</v>
      </c>
      <c r="V20" s="26" t="n">
        <v>14</v>
      </c>
      <c r="W20" s="26" t="n">
        <v>6</v>
      </c>
      <c r="X20" s="26" t="n">
        <v>12</v>
      </c>
      <c r="Y20" s="26" t="n">
        <v>5</v>
      </c>
      <c r="Z20" s="26" t="n">
        <v>14</v>
      </c>
      <c r="AA20" s="26" t="n">
        <v>2</v>
      </c>
      <c r="AB20" s="67" t="n">
        <v>84</v>
      </c>
      <c r="AC20" s="67" t="n">
        <v>66</v>
      </c>
      <c r="AD20" s="67" t="n">
        <v>150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1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67" t="n">
        <v>1</v>
      </c>
      <c r="AC21" s="67" t="n">
        <v>0</v>
      </c>
      <c r="AD21" s="67" t="n">
        <v>1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26" t="n">
        <v>0</v>
      </c>
      <c r="M22" s="26" t="n">
        <v>1</v>
      </c>
      <c r="N22" s="26" t="n">
        <v>2</v>
      </c>
      <c r="O22" s="26" t="n">
        <v>7</v>
      </c>
      <c r="P22" s="26" t="n">
        <v>10</v>
      </c>
      <c r="Q22" s="26" t="n">
        <v>13</v>
      </c>
      <c r="R22" s="26" t="n">
        <v>7</v>
      </c>
      <c r="S22" s="26" t="n">
        <v>6</v>
      </c>
      <c r="T22" s="26" t="n">
        <v>2</v>
      </c>
      <c r="U22" s="26" t="n">
        <v>13</v>
      </c>
      <c r="V22" s="26" t="n">
        <v>3</v>
      </c>
      <c r="W22" s="26" t="n">
        <v>2</v>
      </c>
      <c r="X22" s="26" t="n">
        <v>3</v>
      </c>
      <c r="Y22" s="26" t="n">
        <v>2</v>
      </c>
      <c r="Z22" s="26" t="n">
        <v>4</v>
      </c>
      <c r="AA22" s="26" t="n">
        <v>2</v>
      </c>
      <c r="AB22" s="67" t="n">
        <v>31</v>
      </c>
      <c r="AC22" s="67" t="n">
        <v>46</v>
      </c>
      <c r="AD22" s="67" t="n">
        <v>77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67" t="n">
        <v>1</v>
      </c>
      <c r="M23" s="67" t="n">
        <v>2</v>
      </c>
      <c r="N23" s="67" t="n">
        <v>6</v>
      </c>
      <c r="O23" s="67" t="n">
        <v>26</v>
      </c>
      <c r="P23" s="67" t="n">
        <v>36</v>
      </c>
      <c r="Q23" s="67" t="n">
        <v>56</v>
      </c>
      <c r="R23" s="67" t="n">
        <v>28</v>
      </c>
      <c r="S23" s="67" t="n">
        <v>30</v>
      </c>
      <c r="T23" s="67" t="n">
        <v>20</v>
      </c>
      <c r="U23" s="67" t="n">
        <v>27</v>
      </c>
      <c r="V23" s="67" t="n">
        <v>21</v>
      </c>
      <c r="W23" s="67" t="n">
        <v>15</v>
      </c>
      <c r="X23" s="67" t="n">
        <v>19</v>
      </c>
      <c r="Y23" s="67" t="n">
        <v>11</v>
      </c>
      <c r="Z23" s="67" t="n">
        <v>23</v>
      </c>
      <c r="AA23" s="67" t="n">
        <v>6</v>
      </c>
      <c r="AB23" s="67" t="n">
        <v>154</v>
      </c>
      <c r="AC23" s="67" t="n">
        <v>173</v>
      </c>
      <c r="AD23" s="67" t="n">
        <v>327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143" t="n">
        <v>190</v>
      </c>
      <c r="P27" s="33" t="n"/>
      <c r="Q27" s="33" t="n"/>
      <c r="R27" s="33" t="n"/>
      <c r="S27" s="143" t="n">
        <v>0</v>
      </c>
      <c r="T27" s="33" t="n"/>
      <c r="U27" s="33" t="n"/>
      <c r="V27" s="33" t="n"/>
      <c r="W27" s="143" t="n">
        <v>0</v>
      </c>
      <c r="X27" s="33" t="n"/>
      <c r="Y27" s="33" t="n"/>
      <c r="Z27" s="33" t="n"/>
      <c r="AA27" s="143" t="n">
        <v>0</v>
      </c>
      <c r="AB27" s="33" t="n"/>
      <c r="AC27" s="33" t="n"/>
      <c r="AD27" s="33" t="n"/>
    </row>
    <row r="28" ht="38.25" customHeight="1">
      <c r="A28" s="154" t="n">
        <v>5585</v>
      </c>
      <c r="B28" s="154" t="n">
        <v>672</v>
      </c>
      <c r="C28" s="154" t="n">
        <v>8</v>
      </c>
      <c r="D28" s="154" t="n">
        <v>138</v>
      </c>
      <c r="E28" s="154" t="n">
        <v>97</v>
      </c>
      <c r="F28" s="154" t="n">
        <v>342</v>
      </c>
      <c r="G28" s="165" t="n">
        <v>577</v>
      </c>
      <c r="H28" s="154" t="n">
        <v>6</v>
      </c>
      <c r="I28" s="154" t="n">
        <v>6</v>
      </c>
      <c r="J28" s="154" t="n">
        <v>79</v>
      </c>
      <c r="K28" s="165" t="n">
        <v>91</v>
      </c>
      <c r="L28" s="154" t="n">
        <v>88</v>
      </c>
      <c r="M28" s="154" t="n">
        <v>156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54" t="n">
        <v>0</v>
      </c>
      <c r="P29" s="178" t="n"/>
      <c r="Q29" s="178" t="n"/>
      <c r="R29" s="179" t="n"/>
      <c r="S29" s="154" t="n">
        <v>0</v>
      </c>
      <c r="T29" s="178" t="n"/>
      <c r="U29" s="178" t="n"/>
      <c r="V29" s="179" t="n"/>
      <c r="W29" s="154" t="n"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26" t="n">
        <v>0</v>
      </c>
      <c r="AC30" s="26" t="n">
        <v>0</v>
      </c>
      <c r="AD30" s="26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26" t="n">
        <v>0</v>
      </c>
      <c r="AC31" s="26" t="n">
        <v>0</v>
      </c>
      <c r="AD31" s="26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26" t="n">
        <v>0</v>
      </c>
      <c r="AC32" s="26" t="n">
        <v>0</v>
      </c>
      <c r="AD32" s="26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26" t="n">
        <v>71</v>
      </c>
      <c r="C38" s="26" t="n">
        <v>0</v>
      </c>
      <c r="D38" s="26" t="n">
        <v>9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26" t="n">
        <v>20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26" t="n">
        <v>26</v>
      </c>
      <c r="Z39" s="26" t="n">
        <v>17</v>
      </c>
      <c r="AA39" s="26" t="n">
        <v>0</v>
      </c>
      <c r="AB39" s="26" t="n">
        <v>0</v>
      </c>
      <c r="AC39" s="26" t="n">
        <v>0</v>
      </c>
      <c r="AD39" s="26" t="n">
        <v>0</v>
      </c>
    </row>
    <row r="40" ht="24.9" customHeight="1">
      <c r="A40" s="165" t="inlineStr">
        <is>
          <t>Previously treated</t>
        </is>
      </c>
      <c r="B40" s="26" t="n">
        <v>2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51" t="n"/>
      <c r="O40" s="26" t="n">
        <v>49</v>
      </c>
      <c r="P40" s="26" t="n">
        <v>98</v>
      </c>
      <c r="Q40" s="26" t="n">
        <v>353</v>
      </c>
      <c r="R40" s="26" t="n">
        <v>38</v>
      </c>
      <c r="S40" s="26" t="n">
        <v>81</v>
      </c>
      <c r="T40" s="26" t="n">
        <v>247</v>
      </c>
      <c r="U40" s="26" t="n">
        <v>0</v>
      </c>
      <c r="V40" s="26" t="n">
        <v>1</v>
      </c>
      <c r="W40" s="26" t="n">
        <v>3</v>
      </c>
      <c r="X40" s="17" t="inlineStr">
        <is>
          <t>3HR</t>
        </is>
      </c>
      <c r="Y40" s="26" t="n">
        <v>0</v>
      </c>
      <c r="Z40" s="26" t="n">
        <v>2</v>
      </c>
      <c r="AA40" s="26" t="n">
        <v>10</v>
      </c>
      <c r="AB40" s="26" t="n">
        <v>0</v>
      </c>
      <c r="AC40" s="26" t="n">
        <v>0</v>
      </c>
      <c r="AD40" s="26" t="n">
        <v>0</v>
      </c>
    </row>
    <row r="41" ht="24.9" customHeight="1">
      <c r="A41" s="67" t="inlineStr">
        <is>
          <t>Total</t>
        </is>
      </c>
      <c r="B41" s="67" t="n">
        <v>93</v>
      </c>
      <c r="C41" s="67" t="n">
        <v>0</v>
      </c>
      <c r="D41" s="67" t="n">
        <v>9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26" t="n">
        <v>0</v>
      </c>
      <c r="Z41" s="26" t="n">
        <v>39</v>
      </c>
      <c r="AA41" s="26" t="n">
        <v>113</v>
      </c>
      <c r="AB41" s="26" t="n">
        <v>0</v>
      </c>
      <c r="AC41" s="26" t="n">
        <v>0</v>
      </c>
      <c r="AD41" s="26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35" t="inlineStr">
        <is>
          <t>KARACHI COMPLIED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8" t="n">
        <v>0</v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145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26" t="n">
        <v>129</v>
      </c>
      <c r="M51" s="45" t="n"/>
      <c r="N51" s="26" t="n">
        <v>26</v>
      </c>
      <c r="O51" s="45" t="n"/>
      <c r="P51" s="26" t="n">
        <v>1</v>
      </c>
      <c r="Q51" s="33" t="n"/>
      <c r="R51" s="45" t="n"/>
      <c r="S51" s="67" t="n">
        <v>156</v>
      </c>
      <c r="T51" s="33" t="n"/>
      <c r="U51" s="45" t="n"/>
      <c r="V51" s="26" t="n">
        <v>2</v>
      </c>
      <c r="W51" s="33" t="n"/>
      <c r="X51" s="45" t="n"/>
      <c r="Y51" s="26" t="n">
        <v>3</v>
      </c>
      <c r="Z51" s="45" t="n"/>
      <c r="AA51" s="26" t="n">
        <v>2</v>
      </c>
      <c r="AB51" s="45" t="n"/>
      <c r="AC51" s="67" t="n">
        <v>163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26" t="n">
        <v>168</v>
      </c>
      <c r="M52" s="45" t="n"/>
      <c r="N52" s="26" t="n">
        <v>28</v>
      </c>
      <c r="O52" s="45" t="n"/>
      <c r="P52" s="26" t="n">
        <v>0</v>
      </c>
      <c r="Q52" s="33" t="n"/>
      <c r="R52" s="45" t="n"/>
      <c r="S52" s="67" t="n">
        <v>196</v>
      </c>
      <c r="T52" s="33" t="n"/>
      <c r="U52" s="45" t="n"/>
      <c r="V52" s="26" t="n">
        <v>1</v>
      </c>
      <c r="W52" s="33" t="n"/>
      <c r="X52" s="45" t="n"/>
      <c r="Y52" s="26" t="n">
        <v>5</v>
      </c>
      <c r="Z52" s="45" t="n"/>
      <c r="AA52" s="26" t="n">
        <v>5</v>
      </c>
      <c r="AB52" s="45" t="n"/>
      <c r="AC52" s="67" t="n">
        <v>207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26" t="n">
        <v>1</v>
      </c>
      <c r="M53" s="45" t="n"/>
      <c r="N53" s="26" t="n">
        <v>0</v>
      </c>
      <c r="O53" s="45" t="n"/>
      <c r="P53" s="26" t="n">
        <v>0</v>
      </c>
      <c r="Q53" s="33" t="n"/>
      <c r="R53" s="45" t="n"/>
      <c r="S53" s="67" t="n">
        <v>1</v>
      </c>
      <c r="T53" s="33" t="n"/>
      <c r="U53" s="45" t="n"/>
      <c r="V53" s="26" t="n">
        <v>0</v>
      </c>
      <c r="W53" s="33" t="n"/>
      <c r="X53" s="45" t="n"/>
      <c r="Y53" s="26" t="n">
        <v>0</v>
      </c>
      <c r="Z53" s="45" t="n"/>
      <c r="AA53" s="26" t="n">
        <v>2</v>
      </c>
      <c r="AB53" s="45" t="n"/>
      <c r="AC53" s="67" t="n">
        <v>3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26" t="n">
        <v>71</v>
      </c>
      <c r="M54" s="45" t="n"/>
      <c r="N54" s="26" t="n">
        <v>5</v>
      </c>
      <c r="O54" s="45" t="n"/>
      <c r="P54" s="26" t="n">
        <v>0</v>
      </c>
      <c r="Q54" s="33" t="n"/>
      <c r="R54" s="45" t="n"/>
      <c r="S54" s="67" t="n">
        <v>76</v>
      </c>
      <c r="T54" s="33" t="n"/>
      <c r="U54" s="45" t="n"/>
      <c r="V54" s="26" t="n">
        <v>0</v>
      </c>
      <c r="W54" s="33" t="n"/>
      <c r="X54" s="45" t="n"/>
      <c r="Y54" s="26" t="n">
        <v>0</v>
      </c>
      <c r="Z54" s="45" t="n"/>
      <c r="AA54" s="26" t="n">
        <v>3</v>
      </c>
      <c r="AB54" s="45" t="n"/>
      <c r="AC54" s="67" t="n">
        <v>79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67" t="n">
        <v>369</v>
      </c>
      <c r="M55" s="45" t="n"/>
      <c r="N55" s="67" t="n">
        <v>59</v>
      </c>
      <c r="O55" s="45" t="n"/>
      <c r="P55" s="67" t="n">
        <v>1</v>
      </c>
      <c r="Q55" s="33" t="n"/>
      <c r="R55" s="45" t="n"/>
      <c r="S55" s="67" t="n">
        <v>429</v>
      </c>
      <c r="T55" s="33" t="n"/>
      <c r="U55" s="45" t="n"/>
      <c r="V55" s="67" t="n">
        <v>3</v>
      </c>
      <c r="W55" s="33" t="n"/>
      <c r="X55" s="45" t="n"/>
      <c r="Y55" s="67" t="n">
        <v>8</v>
      </c>
      <c r="Z55" s="45" t="n"/>
      <c r="AA55" s="67" t="n">
        <v>12</v>
      </c>
      <c r="AB55" s="45" t="n"/>
      <c r="AC55" s="67" t="n">
        <v>452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26" t="n">
        <v>0</v>
      </c>
      <c r="M59" s="26" t="n">
        <v>0</v>
      </c>
      <c r="N59" s="26" t="n">
        <v>1</v>
      </c>
      <c r="O59" s="26" t="n">
        <v>9</v>
      </c>
      <c r="P59" s="26" t="n">
        <v>15</v>
      </c>
      <c r="Q59" s="26" t="n">
        <v>33</v>
      </c>
      <c r="R59" s="26" t="n">
        <v>7</v>
      </c>
      <c r="S59" s="26" t="n">
        <v>11</v>
      </c>
      <c r="T59" s="26" t="n">
        <v>14</v>
      </c>
      <c r="U59" s="26" t="n">
        <v>10</v>
      </c>
      <c r="V59" s="26" t="n">
        <v>10</v>
      </c>
      <c r="W59" s="26" t="n">
        <v>13</v>
      </c>
      <c r="X59" s="26" t="n">
        <v>10</v>
      </c>
      <c r="Y59" s="26" t="n">
        <v>8</v>
      </c>
      <c r="Z59" s="26" t="n">
        <v>13</v>
      </c>
      <c r="AA59" s="26" t="n">
        <v>2</v>
      </c>
      <c r="AB59" s="67" t="n">
        <v>70</v>
      </c>
      <c r="AC59" s="67" t="n">
        <v>86</v>
      </c>
      <c r="AD59" s="67" t="n">
        <v>156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26" t="n">
        <v>0</v>
      </c>
      <c r="M60" s="26" t="n">
        <v>1</v>
      </c>
      <c r="N60" s="26" t="n">
        <v>6</v>
      </c>
      <c r="O60" s="26" t="n">
        <v>10</v>
      </c>
      <c r="P60" s="26" t="n">
        <v>23</v>
      </c>
      <c r="Q60" s="26" t="n">
        <v>24</v>
      </c>
      <c r="R60" s="26" t="n">
        <v>14</v>
      </c>
      <c r="S60" s="26" t="n">
        <v>16</v>
      </c>
      <c r="T60" s="26" t="n">
        <v>18</v>
      </c>
      <c r="U60" s="26" t="n">
        <v>16</v>
      </c>
      <c r="V60" s="26" t="n">
        <v>17</v>
      </c>
      <c r="W60" s="26" t="n">
        <v>11</v>
      </c>
      <c r="X60" s="26" t="n">
        <v>13</v>
      </c>
      <c r="Y60" s="26" t="n">
        <v>6</v>
      </c>
      <c r="Z60" s="26" t="n">
        <v>15</v>
      </c>
      <c r="AA60" s="26" t="n">
        <v>6</v>
      </c>
      <c r="AB60" s="67" t="n">
        <v>106</v>
      </c>
      <c r="AC60" s="67" t="n">
        <v>90</v>
      </c>
      <c r="AD60" s="67" t="n">
        <v>196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26" t="n">
        <v>0</v>
      </c>
      <c r="M61" s="26" t="n">
        <v>0</v>
      </c>
      <c r="N61" s="26" t="n">
        <v>1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67" t="n">
        <v>1</v>
      </c>
      <c r="AC61" s="67" t="n">
        <v>0</v>
      </c>
      <c r="AD61" s="67" t="n">
        <v>1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26" t="n">
        <v>0</v>
      </c>
      <c r="M62" s="26" t="n">
        <v>0</v>
      </c>
      <c r="N62" s="26" t="n">
        <v>4</v>
      </c>
      <c r="O62" s="26" t="n">
        <v>4</v>
      </c>
      <c r="P62" s="26" t="n">
        <v>8</v>
      </c>
      <c r="Q62" s="26" t="n">
        <v>19</v>
      </c>
      <c r="R62" s="26" t="n">
        <v>4</v>
      </c>
      <c r="S62" s="26" t="n">
        <v>10</v>
      </c>
      <c r="T62" s="26" t="n">
        <v>2</v>
      </c>
      <c r="U62" s="26" t="n">
        <v>6</v>
      </c>
      <c r="V62" s="26" t="n">
        <v>3</v>
      </c>
      <c r="W62" s="26" t="n">
        <v>7</v>
      </c>
      <c r="X62" s="26" t="n">
        <v>4</v>
      </c>
      <c r="Y62" s="26" t="n">
        <v>2</v>
      </c>
      <c r="Z62" s="26" t="n">
        <v>3</v>
      </c>
      <c r="AA62" s="26" t="n">
        <v>0</v>
      </c>
      <c r="AB62" s="67" t="n">
        <v>28</v>
      </c>
      <c r="AC62" s="67" t="n">
        <v>48</v>
      </c>
      <c r="AD62" s="67" t="n">
        <v>76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67" t="n">
        <v>0</v>
      </c>
      <c r="M63" s="67" t="n">
        <v>1</v>
      </c>
      <c r="N63" s="67" t="n">
        <v>12</v>
      </c>
      <c r="O63" s="67" t="n">
        <v>23</v>
      </c>
      <c r="P63" s="67" t="n">
        <v>46</v>
      </c>
      <c r="Q63" s="67" t="n">
        <v>76</v>
      </c>
      <c r="R63" s="67" t="n">
        <v>25</v>
      </c>
      <c r="S63" s="67" t="n">
        <v>37</v>
      </c>
      <c r="T63" s="67" t="n">
        <v>34</v>
      </c>
      <c r="U63" s="67" t="n">
        <v>32</v>
      </c>
      <c r="V63" s="67" t="n">
        <v>30</v>
      </c>
      <c r="W63" s="67" t="n">
        <v>31</v>
      </c>
      <c r="X63" s="67" t="n">
        <v>27</v>
      </c>
      <c r="Y63" s="67" t="n">
        <v>16</v>
      </c>
      <c r="Z63" s="67" t="n">
        <v>31</v>
      </c>
      <c r="AA63" s="67" t="n">
        <v>8</v>
      </c>
      <c r="AB63" s="67" t="n">
        <v>205</v>
      </c>
      <c r="AC63" s="67" t="n">
        <v>224</v>
      </c>
      <c r="AD63" s="67" t="n">
        <v>429</v>
      </c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143" t="n">
        <v>240</v>
      </c>
      <c r="P67" s="33" t="n"/>
      <c r="Q67" s="33" t="n"/>
      <c r="R67" s="33" t="n"/>
      <c r="S67" s="143" t="n">
        <v>0</v>
      </c>
      <c r="T67" s="33" t="n"/>
      <c r="U67" s="33" t="n"/>
      <c r="V67" s="33" t="n"/>
      <c r="W67" s="143" t="n">
        <v>0</v>
      </c>
      <c r="X67" s="33" t="n"/>
      <c r="Y67" s="33" t="n"/>
      <c r="Z67" s="33" t="n"/>
      <c r="AA67" s="143" t="n">
        <v>0</v>
      </c>
      <c r="AB67" s="33" t="n"/>
      <c r="AC67" s="33" t="n"/>
      <c r="AD67" s="33" t="n"/>
    </row>
    <row r="68" ht="38.25" customHeight="1">
      <c r="A68" s="192" t="n">
        <v>5523</v>
      </c>
      <c r="B68" s="192" t="n">
        <v>852</v>
      </c>
      <c r="C68" s="192" t="n">
        <v>30</v>
      </c>
      <c r="D68" s="192" t="n">
        <v>194</v>
      </c>
      <c r="E68" s="192" t="n">
        <v>194</v>
      </c>
      <c r="F68" s="192" t="n">
        <v>306</v>
      </c>
      <c r="G68" s="193" t="n">
        <v>694</v>
      </c>
      <c r="H68" s="192" t="n">
        <v>14</v>
      </c>
      <c r="I68" s="192" t="n">
        <v>31</v>
      </c>
      <c r="J68" s="192" t="n">
        <v>105</v>
      </c>
      <c r="K68" s="193" t="n">
        <v>150</v>
      </c>
      <c r="L68" s="192" t="n">
        <v>134</v>
      </c>
      <c r="M68" s="192" t="n">
        <v>176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54" t="n">
        <v>0</v>
      </c>
      <c r="P69" s="178" t="n"/>
      <c r="Q69" s="178" t="n"/>
      <c r="R69" s="179" t="n"/>
      <c r="S69" s="154" t="n">
        <v>0</v>
      </c>
      <c r="T69" s="178" t="n"/>
      <c r="U69" s="178" t="n"/>
      <c r="V69" s="179" t="n"/>
      <c r="W69" s="154" t="n">
        <v>0</v>
      </c>
      <c r="X69" s="178" t="n"/>
      <c r="Y69" s="178" t="n"/>
      <c r="Z69" s="179" t="n"/>
      <c r="AA69" s="8" t="n"/>
      <c r="AB69" s="8" t="inlineStr">
        <is>
          <t>0-4</t>
        </is>
      </c>
      <c r="AC69" s="9" t="inlineStr">
        <is>
          <t>5-14</t>
        </is>
      </c>
      <c r="AD69" s="40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26" t="n">
        <v>0</v>
      </c>
      <c r="AC70" s="26" t="n">
        <v>0</v>
      </c>
      <c r="AD70" s="26" t="n"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26" t="n">
        <v>0</v>
      </c>
      <c r="AC71" s="26" t="n">
        <v>0</v>
      </c>
      <c r="AD71" s="26" t="n"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26" t="n">
        <v>0</v>
      </c>
      <c r="AC72" s="26" t="n">
        <v>0</v>
      </c>
      <c r="AD72" s="26" t="n"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26" t="n">
        <v>122</v>
      </c>
      <c r="C78" s="26" t="n">
        <v>1</v>
      </c>
      <c r="D78" s="26" t="n">
        <v>18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26" t="n">
        <v>26</v>
      </c>
      <c r="C79" s="26" t="n">
        <v>0</v>
      </c>
      <c r="D79" s="26" t="n">
        <v>3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26" t="n">
        <v>8</v>
      </c>
      <c r="Z79" s="26" t="n">
        <v>9</v>
      </c>
      <c r="AA79" s="26" t="n">
        <v>0</v>
      </c>
      <c r="AB79" s="26" t="n">
        <v>0</v>
      </c>
      <c r="AC79" s="26" t="n">
        <v>0</v>
      </c>
      <c r="AD79" s="26" t="n">
        <v>0</v>
      </c>
    </row>
    <row r="80" ht="24.9" customHeight="1">
      <c r="A80" s="165" t="inlineStr">
        <is>
          <t>Previously treated</t>
        </is>
      </c>
      <c r="B80" s="26" t="n">
        <v>8</v>
      </c>
      <c r="C80" s="2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51" t="n"/>
      <c r="O80" s="26" t="n">
        <v>90</v>
      </c>
      <c r="P80" s="26" t="n">
        <v>254</v>
      </c>
      <c r="Q80" s="26" t="n">
        <v>786</v>
      </c>
      <c r="R80" s="26" t="n">
        <v>54</v>
      </c>
      <c r="S80" s="26" t="n">
        <v>158</v>
      </c>
      <c r="T80" s="26" t="n">
        <v>419</v>
      </c>
      <c r="U80" s="26" t="n">
        <v>0</v>
      </c>
      <c r="V80" s="26" t="n">
        <v>1</v>
      </c>
      <c r="W80" s="26" t="n">
        <v>13</v>
      </c>
      <c r="X80" s="17" t="inlineStr">
        <is>
          <t>3HR</t>
        </is>
      </c>
      <c r="Y80" s="26" t="n">
        <v>0</v>
      </c>
      <c r="Z80" s="26" t="n">
        <v>0</v>
      </c>
      <c r="AA80" s="26" t="n">
        <v>0</v>
      </c>
      <c r="AB80" s="26" t="n">
        <v>0</v>
      </c>
      <c r="AC80" s="26" t="n">
        <v>0</v>
      </c>
      <c r="AD80" s="26" t="n">
        <v>0</v>
      </c>
    </row>
    <row r="81" ht="24.9" customHeight="1">
      <c r="A81" s="67" t="inlineStr">
        <is>
          <t>Total</t>
        </is>
      </c>
      <c r="B81" s="67" t="n">
        <v>156</v>
      </c>
      <c r="C81" s="67" t="n">
        <v>1</v>
      </c>
      <c r="D81" s="67" t="n">
        <v>21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26" t="n">
        <v>0</v>
      </c>
      <c r="Z81" s="26" t="n">
        <v>36</v>
      </c>
      <c r="AA81" s="26" t="n">
        <v>152</v>
      </c>
      <c r="AB81" s="26" t="n">
        <v>0</v>
      </c>
      <c r="AC81" s="26" t="n">
        <v>0</v>
      </c>
      <c r="AD81" s="26" t="n"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 s="135" t="inlineStr">
        <is>
          <t>KARACHI COMPLIED</t>
        </is>
      </c>
      <c r="I83" s="136" t="inlineStr">
        <is>
          <t xml:space="preserve">District : </t>
        </is>
      </c>
      <c r="K83" s="137" t="n">
        <v>0</v>
      </c>
      <c r="M83" s="136" t="inlineStr">
        <is>
          <t>Central :</t>
        </is>
      </c>
      <c r="O83" s="138" t="n">
        <v>0</v>
      </c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145" t="inlineStr">
        <is>
          <t>of Year 2026</t>
        </is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26" t="n">
        <v>0</v>
      </c>
      <c r="M90" s="45" t="n"/>
      <c r="N90" s="26" t="n">
        <v>0</v>
      </c>
      <c r="O90" s="45" t="n"/>
      <c r="P90" s="26" t="n">
        <v>0</v>
      </c>
      <c r="Q90" s="33" t="n"/>
      <c r="R90" s="45" t="n"/>
      <c r="S90" s="67" t="n">
        <v>0</v>
      </c>
      <c r="T90" s="33" t="n"/>
      <c r="U90" s="45" t="n"/>
      <c r="V90" s="26" t="n">
        <v>0</v>
      </c>
      <c r="W90" s="33" t="n"/>
      <c r="X90" s="45" t="n"/>
      <c r="Y90" s="26" t="n">
        <v>0</v>
      </c>
      <c r="Z90" s="45" t="n"/>
      <c r="AA90" s="26" t="n">
        <v>0</v>
      </c>
      <c r="AB90" s="45" t="n"/>
      <c r="AC90" s="67" t="n"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26" t="n">
        <v>0</v>
      </c>
      <c r="M91" s="45" t="n"/>
      <c r="N91" s="26" t="n">
        <v>0</v>
      </c>
      <c r="O91" s="45" t="n"/>
      <c r="P91" s="26" t="n">
        <v>0</v>
      </c>
      <c r="Q91" s="33" t="n"/>
      <c r="R91" s="45" t="n"/>
      <c r="S91" s="67" t="n">
        <v>0</v>
      </c>
      <c r="T91" s="33" t="n"/>
      <c r="U91" s="45" t="n"/>
      <c r="V91" s="26" t="n">
        <v>0</v>
      </c>
      <c r="W91" s="33" t="n"/>
      <c r="X91" s="45" t="n"/>
      <c r="Y91" s="26" t="n">
        <v>0</v>
      </c>
      <c r="Z91" s="45" t="n"/>
      <c r="AA91" s="26" t="n">
        <v>0</v>
      </c>
      <c r="AB91" s="45" t="n"/>
      <c r="AC91" s="67" t="n"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26" t="n">
        <v>0</v>
      </c>
      <c r="M92" s="45" t="n"/>
      <c r="N92" s="26" t="n">
        <v>0</v>
      </c>
      <c r="O92" s="45" t="n"/>
      <c r="P92" s="26" t="n">
        <v>0</v>
      </c>
      <c r="Q92" s="33" t="n"/>
      <c r="R92" s="45" t="n"/>
      <c r="S92" s="67" t="n">
        <v>0</v>
      </c>
      <c r="T92" s="33" t="n"/>
      <c r="U92" s="45" t="n"/>
      <c r="V92" s="26" t="n">
        <v>0</v>
      </c>
      <c r="W92" s="33" t="n"/>
      <c r="X92" s="45" t="n"/>
      <c r="Y92" s="26" t="n">
        <v>0</v>
      </c>
      <c r="Z92" s="45" t="n"/>
      <c r="AA92" s="26" t="n">
        <v>0</v>
      </c>
      <c r="AB92" s="45" t="n"/>
      <c r="AC92" s="67" t="n"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26" t="n">
        <v>0</v>
      </c>
      <c r="M93" s="45" t="n"/>
      <c r="N93" s="26" t="n">
        <v>0</v>
      </c>
      <c r="O93" s="45" t="n"/>
      <c r="P93" s="26" t="n">
        <v>0</v>
      </c>
      <c r="Q93" s="33" t="n"/>
      <c r="R93" s="45" t="n"/>
      <c r="S93" s="67" t="n">
        <v>0</v>
      </c>
      <c r="T93" s="33" t="n"/>
      <c r="U93" s="45" t="n"/>
      <c r="V93" s="26" t="n">
        <v>0</v>
      </c>
      <c r="W93" s="33" t="n"/>
      <c r="X93" s="45" t="n"/>
      <c r="Y93" s="26" t="n">
        <v>0</v>
      </c>
      <c r="Z93" s="45" t="n"/>
      <c r="AA93" s="26" t="n">
        <v>0</v>
      </c>
      <c r="AB93" s="45" t="n"/>
      <c r="AC93" s="67" t="n"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67" t="n">
        <v>0</v>
      </c>
      <c r="M94" s="45" t="n"/>
      <c r="N94" s="67" t="n">
        <v>0</v>
      </c>
      <c r="O94" s="45" t="n"/>
      <c r="P94" s="67" t="n">
        <v>0</v>
      </c>
      <c r="Q94" s="33" t="n"/>
      <c r="R94" s="45" t="n"/>
      <c r="S94" s="67" t="n">
        <v>0</v>
      </c>
      <c r="T94" s="33" t="n"/>
      <c r="U94" s="45" t="n"/>
      <c r="V94" s="67" t="n">
        <v>0</v>
      </c>
      <c r="W94" s="33" t="n"/>
      <c r="X94" s="45" t="n"/>
      <c r="Y94" s="67" t="n">
        <v>0</v>
      </c>
      <c r="Z94" s="45" t="n"/>
      <c r="AA94" s="67" t="n">
        <v>0</v>
      </c>
      <c r="AB94" s="45" t="n"/>
      <c r="AC94" s="67" t="n"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  <c r="V98" s="26" t="n">
        <v>0</v>
      </c>
      <c r="W98" s="26" t="n">
        <v>0</v>
      </c>
      <c r="X98" s="26" t="n">
        <v>0</v>
      </c>
      <c r="Y98" s="26" t="n">
        <v>0</v>
      </c>
      <c r="Z98" s="26" t="n">
        <v>0</v>
      </c>
      <c r="AA98" s="26" t="n">
        <v>0</v>
      </c>
      <c r="AB98" s="67" t="n">
        <v>0</v>
      </c>
      <c r="AC98" s="67" t="n">
        <v>0</v>
      </c>
      <c r="AD98" s="67" t="n"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26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  <c r="V99" s="26" t="n">
        <v>0</v>
      </c>
      <c r="W99" s="26" t="n">
        <v>0</v>
      </c>
      <c r="X99" s="26" t="n">
        <v>0</v>
      </c>
      <c r="Y99" s="26" t="n">
        <v>0</v>
      </c>
      <c r="Z99" s="26" t="n">
        <v>0</v>
      </c>
      <c r="AA99" s="26" t="n">
        <v>0</v>
      </c>
      <c r="AB99" s="67" t="n">
        <v>0</v>
      </c>
      <c r="AC99" s="67" t="n">
        <v>0</v>
      </c>
      <c r="AD99" s="67" t="n"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  <c r="V100" s="26" t="n">
        <v>0</v>
      </c>
      <c r="W100" s="26" t="n">
        <v>0</v>
      </c>
      <c r="X100" s="26" t="n">
        <v>0</v>
      </c>
      <c r="Y100" s="26" t="n">
        <v>0</v>
      </c>
      <c r="Z100" s="26" t="n">
        <v>0</v>
      </c>
      <c r="AA100" s="26" t="n">
        <v>0</v>
      </c>
      <c r="AB100" s="67" t="n">
        <v>0</v>
      </c>
      <c r="AC100" s="67" t="n">
        <v>0</v>
      </c>
      <c r="AD100" s="67" t="n"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26" t="n">
        <v>0</v>
      </c>
      <c r="M101" s="26" t="n">
        <v>0</v>
      </c>
      <c r="N101" s="26" t="n">
        <v>0</v>
      </c>
      <c r="O101" s="26" t="n">
        <v>0</v>
      </c>
      <c r="P101" s="26" t="n">
        <v>0</v>
      </c>
      <c r="Q101" s="26" t="n">
        <v>0</v>
      </c>
      <c r="R101" s="26" t="n">
        <v>0</v>
      </c>
      <c r="S101" s="26" t="n">
        <v>0</v>
      </c>
      <c r="T101" s="26" t="n">
        <v>0</v>
      </c>
      <c r="U101" s="26" t="n">
        <v>0</v>
      </c>
      <c r="V101" s="26" t="n">
        <v>0</v>
      </c>
      <c r="W101" s="26" t="n">
        <v>0</v>
      </c>
      <c r="X101" s="26" t="n">
        <v>0</v>
      </c>
      <c r="Y101" s="26" t="n">
        <v>0</v>
      </c>
      <c r="Z101" s="26" t="n">
        <v>0</v>
      </c>
      <c r="AA101" s="26" t="n">
        <v>0</v>
      </c>
      <c r="AB101" s="67" t="n">
        <v>0</v>
      </c>
      <c r="AC101" s="67" t="n">
        <v>0</v>
      </c>
      <c r="AD101" s="67" t="n"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67" t="n">
        <v>0</v>
      </c>
      <c r="M102" s="67" t="n">
        <v>0</v>
      </c>
      <c r="N102" s="67" t="n">
        <v>0</v>
      </c>
      <c r="O102" s="67" t="n">
        <v>0</v>
      </c>
      <c r="P102" s="67" t="n">
        <v>0</v>
      </c>
      <c r="Q102" s="67" t="n">
        <v>0</v>
      </c>
      <c r="R102" s="67" t="n">
        <v>0</v>
      </c>
      <c r="S102" s="67" t="n">
        <v>0</v>
      </c>
      <c r="T102" s="67" t="n">
        <v>0</v>
      </c>
      <c r="U102" s="67" t="n">
        <v>0</v>
      </c>
      <c r="V102" s="67" t="n">
        <v>0</v>
      </c>
      <c r="W102" s="67" t="n">
        <v>0</v>
      </c>
      <c r="X102" s="67" t="n">
        <v>0</v>
      </c>
      <c r="Y102" s="67" t="n">
        <v>0</v>
      </c>
      <c r="Z102" s="67" t="n">
        <v>0</v>
      </c>
      <c r="AA102" s="67" t="n">
        <v>0</v>
      </c>
      <c r="AB102" s="67" t="n">
        <v>0</v>
      </c>
      <c r="AC102" s="67" t="n">
        <v>0</v>
      </c>
      <c r="AD102" s="67" t="n"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143" t="n">
        <v>0</v>
      </c>
      <c r="P106" s="33" t="n"/>
      <c r="Q106" s="33" t="n"/>
      <c r="R106" s="33" t="n"/>
      <c r="S106" s="143" t="n">
        <v>0</v>
      </c>
      <c r="T106" s="33" t="n"/>
      <c r="U106" s="33" t="n"/>
      <c r="V106" s="33" t="n"/>
      <c r="W106" s="143" t="n">
        <v>0</v>
      </c>
      <c r="X106" s="33" t="n"/>
      <c r="Y106" s="33" t="n"/>
      <c r="Z106" s="33" t="n"/>
      <c r="AA106" s="143" t="n">
        <v>0</v>
      </c>
      <c r="AB106" s="33" t="n"/>
      <c r="AC106" s="33" t="n"/>
      <c r="AD106" s="33" t="n"/>
    </row>
    <row r="107" ht="38.25" customHeight="1">
      <c r="A107" s="154" t="n">
        <v>0</v>
      </c>
      <c r="B107" s="154" t="n">
        <v>0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65" t="n">
        <v>0</v>
      </c>
      <c r="H107" s="154" t="n">
        <v>0</v>
      </c>
      <c r="I107" s="154" t="n">
        <v>0</v>
      </c>
      <c r="J107" s="154" t="n">
        <v>0</v>
      </c>
      <c r="K107" s="165" t="n">
        <v>0</v>
      </c>
      <c r="L107" s="154" t="n">
        <v>0</v>
      </c>
      <c r="M107" s="154" t="n"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54" t="n">
        <v>0</v>
      </c>
      <c r="P108" s="178" t="n"/>
      <c r="Q108" s="178" t="n"/>
      <c r="R108" s="179" t="n"/>
      <c r="S108" s="154" t="n">
        <v>0</v>
      </c>
      <c r="T108" s="178" t="n"/>
      <c r="U108" s="178" t="n"/>
      <c r="V108" s="179" t="n"/>
      <c r="W108" s="154" t="n">
        <v>0</v>
      </c>
      <c r="X108" s="178" t="n"/>
      <c r="Y108" s="178" t="n"/>
      <c r="Z108" s="179" t="n"/>
      <c r="AA108" s="8" t="n"/>
      <c r="AB108" s="8" t="inlineStr">
        <is>
          <t>0-4</t>
        </is>
      </c>
      <c r="AC108" s="9" t="inlineStr">
        <is>
          <t>5-14</t>
        </is>
      </c>
      <c r="AD108" s="40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26" t="n">
        <v>0</v>
      </c>
      <c r="AC109" s="26" t="n">
        <v>0</v>
      </c>
      <c r="AD109" s="26" t="n"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26" t="n">
        <v>0</v>
      </c>
      <c r="AC110" s="26" t="n">
        <v>0</v>
      </c>
      <c r="AD110" s="26" t="n"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26" t="n">
        <v>0</v>
      </c>
      <c r="AC111" s="26" t="n">
        <v>0</v>
      </c>
      <c r="AD111" s="26" t="n"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26" t="n">
        <v>0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0</v>
      </c>
      <c r="L117" s="26" t="n">
        <v>0</v>
      </c>
      <c r="M117" s="26" t="n"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26" t="n">
        <v>0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0</v>
      </c>
      <c r="L118" s="26" t="n">
        <v>0</v>
      </c>
      <c r="M118" s="26" t="n"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26" t="n">
        <v>0</v>
      </c>
      <c r="Z118" s="26" t="n">
        <v>0</v>
      </c>
      <c r="AA118" s="26" t="n">
        <v>0</v>
      </c>
      <c r="AB118" s="26" t="n">
        <v>0</v>
      </c>
      <c r="AC118" s="26" t="n">
        <v>0</v>
      </c>
      <c r="AD118" s="26" t="n">
        <v>0</v>
      </c>
    </row>
    <row r="119" ht="24.9" customHeight="1">
      <c r="A119" s="165" t="inlineStr">
        <is>
          <t>Previously treated</t>
        </is>
      </c>
      <c r="B119" s="26" t="n">
        <v>0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0</v>
      </c>
      <c r="L119" s="26" t="n">
        <v>0</v>
      </c>
      <c r="M119" s="26" t="n">
        <v>0</v>
      </c>
      <c r="N119" s="51" t="n"/>
      <c r="O119" s="26" t="n">
        <v>0</v>
      </c>
      <c r="P119" s="26" t="n">
        <v>0</v>
      </c>
      <c r="Q119" s="26" t="n">
        <v>0</v>
      </c>
      <c r="R119" s="26" t="n">
        <v>0</v>
      </c>
      <c r="S119" s="26" t="n">
        <v>0</v>
      </c>
      <c r="T119" s="26" t="n">
        <v>0</v>
      </c>
      <c r="U119" s="26" t="n">
        <v>0</v>
      </c>
      <c r="V119" s="26" t="n">
        <v>0</v>
      </c>
      <c r="W119" s="26" t="n">
        <v>0</v>
      </c>
      <c r="X119" s="17" t="inlineStr">
        <is>
          <t>3HR</t>
        </is>
      </c>
      <c r="Y119" s="26" t="n">
        <v>0</v>
      </c>
      <c r="Z119" s="26" t="n">
        <v>0</v>
      </c>
      <c r="AA119" s="26" t="n">
        <v>0</v>
      </c>
      <c r="AB119" s="26" t="n">
        <v>0</v>
      </c>
      <c r="AC119" s="26" t="n">
        <v>0</v>
      </c>
      <c r="AD119" s="26" t="n">
        <v>0</v>
      </c>
    </row>
    <row r="120" ht="24.9" customHeight="1">
      <c r="A120" s="67" t="inlineStr">
        <is>
          <t>Total</t>
        </is>
      </c>
      <c r="B120" s="67" t="n">
        <v>0</v>
      </c>
      <c r="C120" s="67" t="n">
        <v>0</v>
      </c>
      <c r="D120" s="67" t="n">
        <v>0</v>
      </c>
      <c r="E120" s="67" t="n">
        <v>0</v>
      </c>
      <c r="F120" s="67" t="n">
        <v>0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</v>
      </c>
      <c r="M120" s="67" t="n"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26" t="n">
        <v>0</v>
      </c>
      <c r="Z120" s="26" t="n">
        <v>0</v>
      </c>
      <c r="AA120" s="26" t="n">
        <v>0</v>
      </c>
      <c r="AB120" s="26" t="n">
        <v>0</v>
      </c>
      <c r="AC120" s="26" t="n">
        <v>0</v>
      </c>
      <c r="AD120" s="26" t="n"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 s="135" t="inlineStr">
        <is>
          <t>KARACHI COMPLIED</t>
        </is>
      </c>
      <c r="I122" s="136" t="inlineStr">
        <is>
          <t xml:space="preserve">District : </t>
        </is>
      </c>
      <c r="K122" s="137" t="n">
        <v>0</v>
      </c>
      <c r="M122" s="136" t="inlineStr">
        <is>
          <t>Central :</t>
        </is>
      </c>
      <c r="O122" s="138" t="n">
        <v>0</v>
      </c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145" t="inlineStr">
        <is>
          <t>of Year 2026</t>
        </is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26" t="n">
        <v>0</v>
      </c>
      <c r="M129" s="45" t="n"/>
      <c r="N129" s="26" t="n">
        <v>0</v>
      </c>
      <c r="O129" s="45" t="n"/>
      <c r="P129" s="26" t="n">
        <v>0</v>
      </c>
      <c r="Q129" s="33" t="n"/>
      <c r="R129" s="45" t="n"/>
      <c r="S129" s="67" t="n">
        <v>0</v>
      </c>
      <c r="T129" s="33" t="n"/>
      <c r="U129" s="45" t="n"/>
      <c r="V129" s="26" t="n">
        <v>0</v>
      </c>
      <c r="W129" s="33" t="n"/>
      <c r="X129" s="45" t="n"/>
      <c r="Y129" s="26" t="n">
        <v>0</v>
      </c>
      <c r="Z129" s="45" t="n"/>
      <c r="AA129" s="26" t="n">
        <v>0</v>
      </c>
      <c r="AB129" s="45" t="n"/>
      <c r="AC129" s="67" t="n"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26" t="n">
        <v>0</v>
      </c>
      <c r="M130" s="45" t="n"/>
      <c r="N130" s="26" t="n">
        <v>0</v>
      </c>
      <c r="O130" s="45" t="n"/>
      <c r="P130" s="26" t="n">
        <v>0</v>
      </c>
      <c r="Q130" s="33" t="n"/>
      <c r="R130" s="45" t="n"/>
      <c r="S130" s="67" t="n">
        <v>0</v>
      </c>
      <c r="T130" s="33" t="n"/>
      <c r="U130" s="45" t="n"/>
      <c r="V130" s="26" t="n">
        <v>0</v>
      </c>
      <c r="W130" s="33" t="n"/>
      <c r="X130" s="45" t="n"/>
      <c r="Y130" s="26" t="n">
        <v>0</v>
      </c>
      <c r="Z130" s="45" t="n"/>
      <c r="AA130" s="26" t="n">
        <v>0</v>
      </c>
      <c r="AB130" s="45" t="n"/>
      <c r="AC130" s="67" t="n"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26" t="n">
        <v>0</v>
      </c>
      <c r="M131" s="45" t="n"/>
      <c r="N131" s="26" t="n">
        <v>0</v>
      </c>
      <c r="O131" s="45" t="n"/>
      <c r="P131" s="26" t="n">
        <v>0</v>
      </c>
      <c r="Q131" s="33" t="n"/>
      <c r="R131" s="45" t="n"/>
      <c r="S131" s="67" t="n">
        <v>0</v>
      </c>
      <c r="T131" s="33" t="n"/>
      <c r="U131" s="45" t="n"/>
      <c r="V131" s="26" t="n">
        <v>0</v>
      </c>
      <c r="W131" s="33" t="n"/>
      <c r="X131" s="45" t="n"/>
      <c r="Y131" s="26" t="n">
        <v>0</v>
      </c>
      <c r="Z131" s="45" t="n"/>
      <c r="AA131" s="26" t="n">
        <v>0</v>
      </c>
      <c r="AB131" s="45" t="n"/>
      <c r="AC131" s="67" t="n"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26" t="n">
        <v>0</v>
      </c>
      <c r="M132" s="45" t="n"/>
      <c r="N132" s="26" t="n">
        <v>0</v>
      </c>
      <c r="O132" s="45" t="n"/>
      <c r="P132" s="26" t="n">
        <v>0</v>
      </c>
      <c r="Q132" s="33" t="n"/>
      <c r="R132" s="45" t="n"/>
      <c r="S132" s="67" t="n">
        <v>0</v>
      </c>
      <c r="T132" s="33" t="n"/>
      <c r="U132" s="45" t="n"/>
      <c r="V132" s="26" t="n">
        <v>0</v>
      </c>
      <c r="W132" s="33" t="n"/>
      <c r="X132" s="45" t="n"/>
      <c r="Y132" s="26" t="n">
        <v>0</v>
      </c>
      <c r="Z132" s="45" t="n"/>
      <c r="AA132" s="26" t="n">
        <v>0</v>
      </c>
      <c r="AB132" s="45" t="n"/>
      <c r="AC132" s="67" t="n"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67" t="n">
        <v>0</v>
      </c>
      <c r="M133" s="45" t="n"/>
      <c r="N133" s="67" t="n">
        <v>0</v>
      </c>
      <c r="O133" s="45" t="n"/>
      <c r="P133" s="67" t="n">
        <v>0</v>
      </c>
      <c r="Q133" s="33" t="n"/>
      <c r="R133" s="45" t="n"/>
      <c r="S133" s="67" t="n">
        <v>0</v>
      </c>
      <c r="T133" s="33" t="n"/>
      <c r="U133" s="45" t="n"/>
      <c r="V133" s="67" t="n">
        <v>0</v>
      </c>
      <c r="W133" s="33" t="n"/>
      <c r="X133" s="45" t="n"/>
      <c r="Y133" s="67" t="n">
        <v>0</v>
      </c>
      <c r="Z133" s="45" t="n"/>
      <c r="AA133" s="67" t="n">
        <v>0</v>
      </c>
      <c r="AB133" s="45" t="n"/>
      <c r="AC133" s="67" t="n"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26" t="n">
        <v>0</v>
      </c>
      <c r="M137" s="26" t="n">
        <v>0</v>
      </c>
      <c r="N137" s="26" t="n">
        <v>0</v>
      </c>
      <c r="O137" s="26" t="n">
        <v>0</v>
      </c>
      <c r="P137" s="26" t="n">
        <v>0</v>
      </c>
      <c r="Q137" s="26" t="n">
        <v>0</v>
      </c>
      <c r="R137" s="26" t="n">
        <v>0</v>
      </c>
      <c r="S137" s="26" t="n">
        <v>0</v>
      </c>
      <c r="T137" s="26" t="n">
        <v>0</v>
      </c>
      <c r="U137" s="26" t="n">
        <v>0</v>
      </c>
      <c r="V137" s="26" t="n">
        <v>0</v>
      </c>
      <c r="W137" s="26" t="n">
        <v>0</v>
      </c>
      <c r="X137" s="26" t="n">
        <v>0</v>
      </c>
      <c r="Y137" s="26" t="n">
        <v>0</v>
      </c>
      <c r="Z137" s="26" t="n">
        <v>0</v>
      </c>
      <c r="AA137" s="26" t="n">
        <v>0</v>
      </c>
      <c r="AB137" s="67" t="n">
        <v>0</v>
      </c>
      <c r="AC137" s="67" t="n">
        <v>0</v>
      </c>
      <c r="AD137" s="67" t="n"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26" t="n">
        <v>0</v>
      </c>
      <c r="M138" s="26" t="n">
        <v>0</v>
      </c>
      <c r="N138" s="26" t="n">
        <v>0</v>
      </c>
      <c r="O138" s="26" t="n">
        <v>0</v>
      </c>
      <c r="P138" s="26" t="n">
        <v>0</v>
      </c>
      <c r="Q138" s="26" t="n">
        <v>0</v>
      </c>
      <c r="R138" s="26" t="n">
        <v>0</v>
      </c>
      <c r="S138" s="26" t="n">
        <v>0</v>
      </c>
      <c r="T138" s="26" t="n">
        <v>0</v>
      </c>
      <c r="U138" s="26" t="n">
        <v>0</v>
      </c>
      <c r="V138" s="26" t="n">
        <v>0</v>
      </c>
      <c r="W138" s="26" t="n">
        <v>0</v>
      </c>
      <c r="X138" s="26" t="n">
        <v>0</v>
      </c>
      <c r="Y138" s="26" t="n">
        <v>0</v>
      </c>
      <c r="Z138" s="26" t="n">
        <v>0</v>
      </c>
      <c r="AA138" s="26" t="n">
        <v>0</v>
      </c>
      <c r="AB138" s="67" t="n">
        <v>0</v>
      </c>
      <c r="AC138" s="67" t="n">
        <v>0</v>
      </c>
      <c r="AD138" s="67" t="n"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26" t="n">
        <v>0</v>
      </c>
      <c r="M139" s="26" t="n">
        <v>0</v>
      </c>
      <c r="N139" s="26" t="n">
        <v>0</v>
      </c>
      <c r="O139" s="26" t="n">
        <v>0</v>
      </c>
      <c r="P139" s="26" t="n">
        <v>0</v>
      </c>
      <c r="Q139" s="26" t="n">
        <v>0</v>
      </c>
      <c r="R139" s="26" t="n">
        <v>0</v>
      </c>
      <c r="S139" s="26" t="n">
        <v>0</v>
      </c>
      <c r="T139" s="26" t="n">
        <v>0</v>
      </c>
      <c r="U139" s="26" t="n">
        <v>0</v>
      </c>
      <c r="V139" s="26" t="n">
        <v>0</v>
      </c>
      <c r="W139" s="26" t="n">
        <v>0</v>
      </c>
      <c r="X139" s="26" t="n">
        <v>0</v>
      </c>
      <c r="Y139" s="26" t="n">
        <v>0</v>
      </c>
      <c r="Z139" s="26" t="n">
        <v>0</v>
      </c>
      <c r="AA139" s="26" t="n">
        <v>0</v>
      </c>
      <c r="AB139" s="67" t="n">
        <v>0</v>
      </c>
      <c r="AC139" s="67" t="n">
        <v>0</v>
      </c>
      <c r="AD139" s="67" t="n"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26" t="n">
        <v>0</v>
      </c>
      <c r="M140" s="26" t="n">
        <v>0</v>
      </c>
      <c r="N140" s="26" t="n">
        <v>0</v>
      </c>
      <c r="O140" s="26" t="n">
        <v>0</v>
      </c>
      <c r="P140" s="26" t="n">
        <v>0</v>
      </c>
      <c r="Q140" s="26" t="n">
        <v>0</v>
      </c>
      <c r="R140" s="26" t="n">
        <v>0</v>
      </c>
      <c r="S140" s="26" t="n">
        <v>0</v>
      </c>
      <c r="T140" s="26" t="n">
        <v>0</v>
      </c>
      <c r="U140" s="26" t="n">
        <v>0</v>
      </c>
      <c r="V140" s="26" t="n">
        <v>0</v>
      </c>
      <c r="W140" s="26" t="n">
        <v>0</v>
      </c>
      <c r="X140" s="26" t="n">
        <v>0</v>
      </c>
      <c r="Y140" s="26" t="n">
        <v>0</v>
      </c>
      <c r="Z140" s="26" t="n">
        <v>0</v>
      </c>
      <c r="AA140" s="26" t="n">
        <v>0</v>
      </c>
      <c r="AB140" s="67" t="n">
        <v>0</v>
      </c>
      <c r="AC140" s="67" t="n">
        <v>0</v>
      </c>
      <c r="AD140" s="67" t="n"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0</v>
      </c>
      <c r="Q141" s="67" t="n">
        <v>0</v>
      </c>
      <c r="R141" s="67" t="n">
        <v>0</v>
      </c>
      <c r="S141" s="67" t="n">
        <v>0</v>
      </c>
      <c r="T141" s="67" t="n">
        <v>0</v>
      </c>
      <c r="U141" s="67" t="n">
        <v>0</v>
      </c>
      <c r="V141" s="67" t="n">
        <v>0</v>
      </c>
      <c r="W141" s="67" t="n">
        <v>0</v>
      </c>
      <c r="X141" s="67" t="n">
        <v>0</v>
      </c>
      <c r="Y141" s="67" t="n">
        <v>0</v>
      </c>
      <c r="Z141" s="67" t="n">
        <v>0</v>
      </c>
      <c r="AA141" s="67" t="n">
        <v>0</v>
      </c>
      <c r="AB141" s="67" t="n">
        <v>0</v>
      </c>
      <c r="AC141" s="67" t="n">
        <v>0</v>
      </c>
      <c r="AD141" s="67" t="n"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143" t="n">
        <v>0</v>
      </c>
      <c r="P145" s="33" t="n"/>
      <c r="Q145" s="33" t="n"/>
      <c r="R145" s="33" t="n"/>
      <c r="S145" s="143" t="n">
        <v>0</v>
      </c>
      <c r="T145" s="33" t="n"/>
      <c r="U145" s="33" t="n"/>
      <c r="V145" s="33" t="n"/>
      <c r="W145" s="143" t="n">
        <v>0</v>
      </c>
      <c r="X145" s="33" t="n"/>
      <c r="Y145" s="33" t="n"/>
      <c r="Z145" s="33" t="n"/>
      <c r="AA145" s="143" t="n">
        <v>0</v>
      </c>
      <c r="AB145" s="33" t="n"/>
      <c r="AC145" s="33" t="n"/>
      <c r="AD145" s="33" t="n"/>
    </row>
    <row r="146" ht="38.25" customHeight="1">
      <c r="A146" s="154" t="n">
        <v>0</v>
      </c>
      <c r="B146" s="154" t="n">
        <v>0</v>
      </c>
      <c r="C146" s="154" t="n">
        <v>0</v>
      </c>
      <c r="D146" s="154" t="n">
        <v>0</v>
      </c>
      <c r="E146" s="154" t="n">
        <v>0</v>
      </c>
      <c r="F146" s="154" t="n">
        <v>0</v>
      </c>
      <c r="G146" s="165" t="n">
        <v>0</v>
      </c>
      <c r="H146" s="154" t="n">
        <v>0</v>
      </c>
      <c r="I146" s="154" t="n">
        <v>0</v>
      </c>
      <c r="J146" s="154" t="n">
        <v>0</v>
      </c>
      <c r="K146" s="165" t="n">
        <v>0</v>
      </c>
      <c r="L146" s="154" t="n">
        <v>0</v>
      </c>
      <c r="M146" s="154" t="n"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54" t="n">
        <v>0</v>
      </c>
      <c r="P147" s="178" t="n"/>
      <c r="Q147" s="178" t="n"/>
      <c r="R147" s="179" t="n"/>
      <c r="S147" s="154" t="n">
        <v>0</v>
      </c>
      <c r="T147" s="178" t="n"/>
      <c r="U147" s="178" t="n"/>
      <c r="V147" s="179" t="n"/>
      <c r="W147" s="154" t="n">
        <v>0</v>
      </c>
      <c r="X147" s="178" t="n"/>
      <c r="Y147" s="178" t="n"/>
      <c r="Z147" s="179" t="n"/>
      <c r="AA147" s="8" t="n"/>
      <c r="AB147" s="8" t="inlineStr">
        <is>
          <t>0-4</t>
        </is>
      </c>
      <c r="AC147" s="9" t="inlineStr">
        <is>
          <t>5-14</t>
        </is>
      </c>
      <c r="AD147" s="40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26" t="n">
        <v>0</v>
      </c>
      <c r="AC148" s="26" t="n">
        <v>0</v>
      </c>
      <c r="AD148" s="26" t="n"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26" t="n">
        <v>0</v>
      </c>
      <c r="AC149" s="26" t="n">
        <v>0</v>
      </c>
      <c r="AD149" s="26" t="n"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26" t="n">
        <v>0</v>
      </c>
      <c r="AC150" s="26" t="n">
        <v>0</v>
      </c>
      <c r="AD150" s="26" t="n"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3.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26" t="n">
        <v>0</v>
      </c>
      <c r="C156" s="2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0</v>
      </c>
      <c r="J156" s="26" t="n">
        <v>0</v>
      </c>
      <c r="K156" s="26" t="n">
        <v>0</v>
      </c>
      <c r="L156" s="26" t="n">
        <v>0</v>
      </c>
      <c r="M156" s="26" t="n"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26" t="n">
        <v>0</v>
      </c>
      <c r="C157" s="2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0</v>
      </c>
      <c r="J157" s="26" t="n">
        <v>0</v>
      </c>
      <c r="K157" s="26" t="n">
        <v>0</v>
      </c>
      <c r="L157" s="26" t="n">
        <v>0</v>
      </c>
      <c r="M157" s="26" t="n"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26" t="n">
        <v>0</v>
      </c>
      <c r="Z157" s="26" t="n">
        <v>0</v>
      </c>
      <c r="AA157" s="26" t="n">
        <v>0</v>
      </c>
      <c r="AB157" s="26" t="n">
        <v>0</v>
      </c>
      <c r="AC157" s="26" t="n">
        <v>0</v>
      </c>
      <c r="AD157" s="26" t="n">
        <v>0</v>
      </c>
    </row>
    <row r="158" ht="24.9" customHeight="1">
      <c r="A158" s="165" t="inlineStr">
        <is>
          <t>Previously treated</t>
        </is>
      </c>
      <c r="B158" s="26" t="n">
        <v>0</v>
      </c>
      <c r="C158" s="26" t="n">
        <v>0</v>
      </c>
      <c r="D158" s="26" t="n">
        <v>0</v>
      </c>
      <c r="E158" s="26" t="n">
        <v>0</v>
      </c>
      <c r="F158" s="26" t="n">
        <v>0</v>
      </c>
      <c r="G158" s="26" t="n">
        <v>0</v>
      </c>
      <c r="H158" s="26" t="n">
        <v>0</v>
      </c>
      <c r="I158" s="26" t="n">
        <v>0</v>
      </c>
      <c r="J158" s="26" t="n">
        <v>0</v>
      </c>
      <c r="K158" s="26" t="n">
        <v>0</v>
      </c>
      <c r="L158" s="26" t="n">
        <v>0</v>
      </c>
      <c r="M158" s="26" t="n">
        <v>0</v>
      </c>
      <c r="N158" s="51" t="n"/>
      <c r="O158" s="26" t="n">
        <v>0</v>
      </c>
      <c r="P158" s="26" t="n">
        <v>0</v>
      </c>
      <c r="Q158" s="26" t="n">
        <v>0</v>
      </c>
      <c r="R158" s="26" t="n">
        <v>0</v>
      </c>
      <c r="S158" s="26" t="n">
        <v>0</v>
      </c>
      <c r="T158" s="26" t="n">
        <v>0</v>
      </c>
      <c r="U158" s="26" t="n">
        <v>0</v>
      </c>
      <c r="V158" s="26" t="n">
        <v>0</v>
      </c>
      <c r="W158" s="26" t="n">
        <v>0</v>
      </c>
      <c r="X158" s="17" t="inlineStr">
        <is>
          <t>3HR</t>
        </is>
      </c>
      <c r="Y158" s="26" t="n">
        <v>0</v>
      </c>
      <c r="Z158" s="26" t="n">
        <v>0</v>
      </c>
      <c r="AA158" s="26" t="n">
        <v>0</v>
      </c>
      <c r="AB158" s="26" t="n">
        <v>0</v>
      </c>
      <c r="AC158" s="26" t="n">
        <v>0</v>
      </c>
      <c r="AD158" s="26" t="n">
        <v>0</v>
      </c>
    </row>
    <row r="159" ht="24.9" customHeight="1">
      <c r="A159" s="67" t="inlineStr">
        <is>
          <t>Total</t>
        </is>
      </c>
      <c r="B159" s="67" t="n">
        <v>0</v>
      </c>
      <c r="C159" s="67" t="n">
        <v>0</v>
      </c>
      <c r="D159" s="67" t="n">
        <v>0</v>
      </c>
      <c r="E159" s="67" t="n">
        <v>0</v>
      </c>
      <c r="F159" s="67" t="n">
        <v>0</v>
      </c>
      <c r="G159" s="67" t="n">
        <v>0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0</v>
      </c>
      <c r="M159" s="67" t="n"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26" t="n">
        <v>0</v>
      </c>
      <c r="Z159" s="26" t="n">
        <v>0</v>
      </c>
      <c r="AA159" s="26" t="n">
        <v>0</v>
      </c>
      <c r="AB159" s="26" t="n">
        <v>0</v>
      </c>
      <c r="AC159" s="26" t="n">
        <v>0</v>
      </c>
      <c r="AD159" s="26" t="n"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35" t="inlineStr">
        <is>
          <t>KARACHI COMPLIED</t>
        </is>
      </c>
      <c r="I161" s="136" t="inlineStr">
        <is>
          <t xml:space="preserve">District : </t>
        </is>
      </c>
      <c r="K161" s="137" t="n">
        <v>0</v>
      </c>
      <c r="M161" s="136" t="inlineStr">
        <is>
          <t>Central :</t>
        </is>
      </c>
      <c r="O161" s="138" t="n">
        <v>0</v>
      </c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 t="inlineStr">
        <is>
          <t>of Year 2026</t>
        </is>
      </c>
    </row>
    <row r="162" ht="15" customHeight="1"/>
    <row r="163" ht="15.6" customHeight="1">
      <c r="A163" s="99" t="inlineStr">
        <is>
          <t>Name of TB Coodinator/Facility incharge  :</t>
        </is>
      </c>
      <c r="I163" s="100" t="inlineStr">
        <is>
          <t>___________________________________________________</t>
        </is>
      </c>
      <c r="P163" s="21" t="n"/>
      <c r="Q163" s="21" t="n"/>
      <c r="U163" s="101" t="inlineStr">
        <is>
          <t>Date of completion of this form :</t>
        </is>
      </c>
      <c r="AA163" s="102" t="inlineStr">
        <is>
          <t>_______________________</t>
        </is>
      </c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" customHeight="1">
      <c r="A165" s="177" t="inlineStr">
        <is>
          <t xml:space="preserve">Block 1: </t>
        </is>
      </c>
      <c r="B165" s="178" t="n"/>
      <c r="C165" s="178" t="n"/>
      <c r="D165" s="178" t="n"/>
      <c r="E165" s="178" t="n"/>
      <c r="F165" s="178" t="n"/>
      <c r="G165" s="178" t="n"/>
      <c r="H165" s="178" t="n"/>
      <c r="I165" s="178" t="n"/>
      <c r="J165" s="178" t="n"/>
      <c r="K165" s="179" t="n"/>
      <c r="L165" s="67" t="inlineStr">
        <is>
          <t>New (N)</t>
        </is>
      </c>
      <c r="M165" s="179" t="n"/>
      <c r="N165" s="67" t="inlineStr">
        <is>
          <t>Relapse ®</t>
        </is>
      </c>
      <c r="O165" s="179" t="n"/>
      <c r="P165" s="165" t="inlineStr">
        <is>
          <t>Previous Treatment History Unknown
(UK)</t>
        </is>
      </c>
      <c r="Q165" s="178" t="n"/>
      <c r="R165" s="179" t="n"/>
      <c r="S165" s="165" t="inlineStr">
        <is>
          <t>New episode
(N+R+UK)</t>
        </is>
      </c>
      <c r="T165" s="178" t="n"/>
      <c r="U165" s="179" t="n"/>
      <c r="V165" s="67" t="inlineStr">
        <is>
          <t>Re - registered Cases ( Excluding Recurrent cases)</t>
        </is>
      </c>
      <c r="W165" s="33" t="n"/>
      <c r="X165" s="33" t="n"/>
      <c r="Y165" s="33" t="n"/>
      <c r="Z165" s="33" t="n"/>
      <c r="AA165" s="33" t="n"/>
      <c r="AB165" s="45" t="n"/>
      <c r="AC165" s="67" t="inlineStr">
        <is>
          <t>Total</t>
        </is>
      </c>
      <c r="AD165" s="179" t="n"/>
    </row>
    <row r="166" ht="23.25" customHeight="1">
      <c r="A166" s="180" t="inlineStr">
        <is>
          <t>All TB Cases Registered</t>
        </is>
      </c>
      <c r="K166" s="181" t="n"/>
      <c r="L166" s="182" t="n"/>
      <c r="M166" s="181" t="n"/>
      <c r="N166" s="182" t="n"/>
      <c r="O166" s="181" t="n"/>
      <c r="P166" s="182" t="n"/>
      <c r="R166" s="181" t="n"/>
      <c r="S166" s="182" t="n"/>
      <c r="U166" s="181" t="n"/>
      <c r="V166" s="165" t="inlineStr">
        <is>
          <t>Treatment after failure</t>
        </is>
      </c>
      <c r="W166" s="178" t="n"/>
      <c r="X166" s="179" t="n"/>
      <c r="Y166" s="165" t="inlineStr">
        <is>
          <t>Treatment after lost to follow-up</t>
        </is>
      </c>
      <c r="Z166" s="179" t="n"/>
      <c r="AA166" s="165" t="inlineStr">
        <is>
          <t>Other</t>
        </is>
      </c>
      <c r="AB166" s="179" t="n"/>
      <c r="AC166" s="182" t="n"/>
      <c r="AD166" s="181" t="n"/>
    </row>
    <row r="167">
      <c r="A167" s="183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184" t="n"/>
      <c r="L167" s="183" t="n"/>
      <c r="M167" s="184" t="n"/>
      <c r="N167" s="183" t="n"/>
      <c r="O167" s="184" t="n"/>
      <c r="P167" s="183" t="n"/>
      <c r="Q167" s="22" t="n"/>
      <c r="R167" s="184" t="n"/>
      <c r="S167" s="183" t="n"/>
      <c r="T167" s="22" t="n"/>
      <c r="U167" s="184" t="n"/>
      <c r="V167" s="183" t="n"/>
      <c r="W167" s="22" t="n"/>
      <c r="X167" s="184" t="n"/>
      <c r="Y167" s="183" t="n"/>
      <c r="Z167" s="184" t="n"/>
      <c r="AA167" s="183" t="n"/>
      <c r="AB167" s="184" t="n"/>
      <c r="AC167" s="183" t="n"/>
      <c r="AD167" s="184" t="n"/>
    </row>
    <row r="168" ht="24.9" customHeight="1">
      <c r="A168" s="185" t="inlineStr">
        <is>
          <t>Pulmonary, Bacteriologically Confermid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4" t="n">
        <v>208</v>
      </c>
      <c r="M168" s="45" t="n"/>
      <c r="N168" s="4" t="n">
        <v>46</v>
      </c>
      <c r="O168" s="45" t="n"/>
      <c r="P168" s="194" t="n">
        <v>1</v>
      </c>
      <c r="Q168" s="33" t="n"/>
      <c r="R168" s="45" t="n"/>
      <c r="S168" s="4" t="n">
        <v>255</v>
      </c>
      <c r="T168" s="33" t="n"/>
      <c r="U168" s="45" t="n"/>
      <c r="V168" s="194" t="n">
        <v>2</v>
      </c>
      <c r="W168" s="33" t="n"/>
      <c r="X168" s="45" t="n"/>
      <c r="Y168" s="4" t="n">
        <v>6</v>
      </c>
      <c r="Z168" s="45" t="n"/>
      <c r="AA168" s="4" t="n">
        <v>7</v>
      </c>
      <c r="AB168" s="45" t="n"/>
      <c r="AC168" s="4" t="n">
        <v>270</v>
      </c>
      <c r="AD168" s="45" t="n"/>
    </row>
    <row r="169" ht="24.9" customHeight="1">
      <c r="A169" s="185" t="inlineStr">
        <is>
          <t>Pulmonary , Clinically Diagnosed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4" t="n">
        <v>301</v>
      </c>
      <c r="M169" s="45" t="n"/>
      <c r="N169" s="4" t="n">
        <v>45</v>
      </c>
      <c r="O169" s="45" t="n"/>
      <c r="P169" s="194" t="n">
        <v>0</v>
      </c>
      <c r="Q169" s="33" t="n"/>
      <c r="R169" s="45" t="n"/>
      <c r="S169" s="4" t="n">
        <v>346</v>
      </c>
      <c r="T169" s="33" t="n"/>
      <c r="U169" s="45" t="n"/>
      <c r="V169" s="194" t="n">
        <v>1</v>
      </c>
      <c r="W169" s="33" t="n"/>
      <c r="X169" s="45" t="n"/>
      <c r="Y169" s="4" t="n">
        <v>8</v>
      </c>
      <c r="Z169" s="45" t="n"/>
      <c r="AA169" s="4" t="n">
        <v>7</v>
      </c>
      <c r="AB169" s="45" t="n"/>
      <c r="AC169" s="4" t="n">
        <v>362</v>
      </c>
      <c r="AD169" s="45" t="n"/>
    </row>
    <row r="170" ht="24.9" customHeight="1">
      <c r="A170" s="185" t="inlineStr">
        <is>
          <t>Extra Pulmonary, Bacteriologically Confermid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4" t="n">
        <v>2</v>
      </c>
      <c r="M170" s="45" t="n"/>
      <c r="N170" s="4" t="n">
        <v>0</v>
      </c>
      <c r="O170" s="45" t="n"/>
      <c r="P170" s="194" t="n">
        <v>0</v>
      </c>
      <c r="Q170" s="33" t="n"/>
      <c r="R170" s="45" t="n"/>
      <c r="S170" s="4" t="n">
        <v>2</v>
      </c>
      <c r="T170" s="33" t="n"/>
      <c r="U170" s="45" t="n"/>
      <c r="V170" s="194" t="n">
        <v>0</v>
      </c>
      <c r="W170" s="33" t="n"/>
      <c r="X170" s="45" t="n"/>
      <c r="Y170" s="4" t="n">
        <v>0</v>
      </c>
      <c r="Z170" s="45" t="n"/>
      <c r="AA170" s="4" t="n">
        <v>3</v>
      </c>
      <c r="AB170" s="45" t="n"/>
      <c r="AC170" s="4" t="n">
        <v>5</v>
      </c>
      <c r="AD170" s="45" t="n"/>
    </row>
    <row r="171" ht="24.9" customHeight="1">
      <c r="A171" s="185" t="inlineStr">
        <is>
          <t>Extra Pulmonary , Clinically Diagnosed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4" t="n">
        <v>141</v>
      </c>
      <c r="M171" s="45" t="n"/>
      <c r="N171" s="4" t="n">
        <v>12</v>
      </c>
      <c r="O171" s="45" t="n"/>
      <c r="P171" s="194" t="n">
        <v>0</v>
      </c>
      <c r="Q171" s="33" t="n"/>
      <c r="R171" s="45" t="n"/>
      <c r="S171" s="4" t="n">
        <v>153</v>
      </c>
      <c r="T171" s="33" t="n"/>
      <c r="U171" s="45" t="n"/>
      <c r="V171" s="194" t="n">
        <v>0</v>
      </c>
      <c r="W171" s="33" t="n"/>
      <c r="X171" s="45" t="n"/>
      <c r="Y171" s="4" t="n">
        <v>1</v>
      </c>
      <c r="Z171" s="45" t="n"/>
      <c r="AA171" s="4" t="n">
        <v>7</v>
      </c>
      <c r="AB171" s="45" t="n"/>
      <c r="AC171" s="4" t="n">
        <v>161</v>
      </c>
      <c r="AD171" s="45" t="n"/>
    </row>
    <row r="172" ht="24.9" customHeight="1">
      <c r="A172" s="185" t="inlineStr">
        <is>
          <t>Total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45" t="n"/>
      <c r="L172" s="4" t="n">
        <v>652</v>
      </c>
      <c r="M172" s="45" t="n"/>
      <c r="N172" s="4" t="n">
        <v>103</v>
      </c>
      <c r="O172" s="45" t="n"/>
      <c r="P172" s="4" t="n">
        <v>1</v>
      </c>
      <c r="Q172" s="33" t="n"/>
      <c r="R172" s="45" t="n"/>
      <c r="S172" s="4" t="n">
        <v>756</v>
      </c>
      <c r="T172" s="33" t="n"/>
      <c r="U172" s="45" t="n"/>
      <c r="V172" s="4" t="n">
        <v>3</v>
      </c>
      <c r="W172" s="33" t="n"/>
      <c r="X172" s="45" t="n"/>
      <c r="Y172" s="4" t="n">
        <v>15</v>
      </c>
      <c r="Z172" s="45" t="n"/>
      <c r="AA172" s="4" t="n">
        <v>24</v>
      </c>
      <c r="AB172" s="45" t="n"/>
      <c r="AC172" s="4" t="n">
        <v>798</v>
      </c>
      <c r="AD172" s="45" t="n"/>
    </row>
    <row r="173" ht="15.6" customHeight="1">
      <c r="A173" s="23" t="inlineStr">
        <is>
          <t>Block 2: All New, Relapse and previous treatment history unknown Cases registered during the period by Age Group and Gender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5" t="n"/>
    </row>
    <row r="174" ht="21.75" customHeight="1">
      <c r="A174" s="186" t="n"/>
      <c r="B174" s="178" t="n"/>
      <c r="C174" s="178" t="n"/>
      <c r="D174" s="178" t="n"/>
      <c r="E174" s="178" t="n"/>
      <c r="F174" s="178" t="n"/>
      <c r="G174" s="178" t="n"/>
      <c r="H174" s="178" t="n"/>
      <c r="I174" s="178" t="n"/>
      <c r="J174" s="178" t="n"/>
      <c r="K174" s="179" t="n"/>
      <c r="L174" s="67" t="inlineStr">
        <is>
          <t>0-4</t>
        </is>
      </c>
      <c r="M174" s="45" t="n"/>
      <c r="N174" s="187" t="inlineStr">
        <is>
          <t>5-14</t>
        </is>
      </c>
      <c r="O174" s="45" t="n"/>
      <c r="P174" s="188" t="inlineStr">
        <is>
          <t>15-24</t>
        </is>
      </c>
      <c r="Q174" s="45" t="n"/>
      <c r="R174" s="188" t="inlineStr">
        <is>
          <t>25-34</t>
        </is>
      </c>
      <c r="S174" s="45" t="n"/>
      <c r="T174" s="188" t="inlineStr">
        <is>
          <t>35-44</t>
        </is>
      </c>
      <c r="U174" s="45" t="n"/>
      <c r="V174" s="188" t="inlineStr">
        <is>
          <t>45-54</t>
        </is>
      </c>
      <c r="W174" s="45" t="n"/>
      <c r="X174" s="188" t="inlineStr">
        <is>
          <t>55-64</t>
        </is>
      </c>
      <c r="Y174" s="45" t="n"/>
      <c r="Z174" s="188" t="inlineStr">
        <is>
          <t>65 &amp; Above</t>
        </is>
      </c>
      <c r="AA174" s="45" t="n"/>
      <c r="AB174" s="188" t="inlineStr">
        <is>
          <t>Total</t>
        </is>
      </c>
      <c r="AC174" s="45" t="n"/>
      <c r="AD174" s="189" t="inlineStr">
        <is>
          <t>Grand
Total</t>
        </is>
      </c>
    </row>
    <row r="175">
      <c r="A175" s="183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184" t="n"/>
      <c r="L175" s="67" t="inlineStr">
        <is>
          <t>M</t>
        </is>
      </c>
      <c r="M175" s="67" t="inlineStr">
        <is>
          <t>F</t>
        </is>
      </c>
      <c r="N175" s="67" t="inlineStr">
        <is>
          <t>M</t>
        </is>
      </c>
      <c r="O175" s="67" t="inlineStr">
        <is>
          <t>F</t>
        </is>
      </c>
      <c r="P175" s="67" t="inlineStr">
        <is>
          <t>M</t>
        </is>
      </c>
      <c r="Q175" s="67" t="inlineStr">
        <is>
          <t>F</t>
        </is>
      </c>
      <c r="R175" s="67" t="inlineStr">
        <is>
          <t>M</t>
        </is>
      </c>
      <c r="S175" s="67" t="inlineStr">
        <is>
          <t>F</t>
        </is>
      </c>
      <c r="T175" s="67" t="inlineStr">
        <is>
          <t>M</t>
        </is>
      </c>
      <c r="U175" s="67" t="inlineStr">
        <is>
          <t>F</t>
        </is>
      </c>
      <c r="V175" s="67" t="inlineStr">
        <is>
          <t>M</t>
        </is>
      </c>
      <c r="W175" s="67" t="inlineStr">
        <is>
          <t>F</t>
        </is>
      </c>
      <c r="X175" s="67" t="inlineStr">
        <is>
          <t>M</t>
        </is>
      </c>
      <c r="Y175" s="67" t="inlineStr">
        <is>
          <t>F</t>
        </is>
      </c>
      <c r="Z175" s="67" t="inlineStr">
        <is>
          <t>M</t>
        </is>
      </c>
      <c r="AA175" s="67" t="inlineStr">
        <is>
          <t>F</t>
        </is>
      </c>
      <c r="AB175" s="67" t="inlineStr">
        <is>
          <t>M</t>
        </is>
      </c>
      <c r="AC175" s="67" t="inlineStr">
        <is>
          <t>F</t>
        </is>
      </c>
      <c r="AD175" s="190" t="n"/>
    </row>
    <row r="176" ht="18" customHeight="1">
      <c r="A176" s="185" t="inlineStr">
        <is>
          <t>Pulmonary, Bacteriologically Confermid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4" t="n">
        <v>0</v>
      </c>
      <c r="M176" s="4" t="n">
        <v>0</v>
      </c>
      <c r="N176" s="4" t="n">
        <v>1</v>
      </c>
      <c r="O176" s="4" t="n">
        <v>14</v>
      </c>
      <c r="P176" s="4" t="n">
        <v>24</v>
      </c>
      <c r="Q176" s="4" t="n">
        <v>59</v>
      </c>
      <c r="R176" s="4" t="n">
        <v>16</v>
      </c>
      <c r="S176" s="4" t="n">
        <v>22</v>
      </c>
      <c r="T176" s="4" t="n">
        <v>21</v>
      </c>
      <c r="U176" s="4" t="n">
        <v>16</v>
      </c>
      <c r="V176" s="4" t="n">
        <v>14</v>
      </c>
      <c r="W176" s="4" t="n">
        <v>20</v>
      </c>
      <c r="X176" s="4" t="n">
        <v>14</v>
      </c>
      <c r="Y176" s="4" t="n">
        <v>12</v>
      </c>
      <c r="Z176" s="4" t="n">
        <v>18</v>
      </c>
      <c r="AA176" s="4" t="n">
        <v>4</v>
      </c>
      <c r="AB176" s="4" t="n">
        <v>108</v>
      </c>
      <c r="AC176" s="4" t="n">
        <v>147</v>
      </c>
      <c r="AD176" s="4" t="n">
        <v>255</v>
      </c>
    </row>
    <row r="177" ht="18" customHeight="1">
      <c r="A177" s="185" t="inlineStr">
        <is>
          <t>Pulmonary , Clinically Diagnosed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4" t="n">
        <v>1</v>
      </c>
      <c r="M177" s="4" t="n">
        <v>2</v>
      </c>
      <c r="N177" s="4" t="n">
        <v>10</v>
      </c>
      <c r="O177" s="4" t="n">
        <v>24</v>
      </c>
      <c r="P177" s="4" t="n">
        <v>40</v>
      </c>
      <c r="Q177" s="4" t="n">
        <v>41</v>
      </c>
      <c r="R177" s="4" t="n">
        <v>25</v>
      </c>
      <c r="S177" s="4" t="n">
        <v>29</v>
      </c>
      <c r="T177" s="4" t="n">
        <v>29</v>
      </c>
      <c r="U177" s="4" t="n">
        <v>24</v>
      </c>
      <c r="V177" s="4" t="n">
        <v>31</v>
      </c>
      <c r="W177" s="4" t="n">
        <v>17</v>
      </c>
      <c r="X177" s="4" t="n">
        <v>25</v>
      </c>
      <c r="Y177" s="4" t="n">
        <v>11</v>
      </c>
      <c r="Z177" s="4" t="n">
        <v>29</v>
      </c>
      <c r="AA177" s="4" t="n">
        <v>8</v>
      </c>
      <c r="AB177" s="4" t="n">
        <v>190</v>
      </c>
      <c r="AC177" s="4" t="n">
        <v>156</v>
      </c>
      <c r="AD177" s="4" t="n">
        <v>346</v>
      </c>
    </row>
    <row r="178" ht="18" customHeight="1">
      <c r="A178" s="185" t="inlineStr">
        <is>
          <t>Extra Pulmonary, Bacteriologically Confermid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2</v>
      </c>
      <c r="AC178" s="4" t="n">
        <v>0</v>
      </c>
      <c r="AD178" s="4" t="n">
        <v>2</v>
      </c>
    </row>
    <row r="179" ht="18" customHeight="1">
      <c r="A179" s="185" t="inlineStr">
        <is>
          <t>Extra Pulmonary , Clinically Diagnosed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4" t="n">
        <v>0</v>
      </c>
      <c r="M179" s="4" t="n">
        <v>1</v>
      </c>
      <c r="N179" s="4" t="n">
        <v>6</v>
      </c>
      <c r="O179" s="4" t="n">
        <v>11</v>
      </c>
      <c r="P179" s="4" t="n">
        <v>18</v>
      </c>
      <c r="Q179" s="4" t="n">
        <v>32</v>
      </c>
      <c r="R179" s="4" t="n">
        <v>11</v>
      </c>
      <c r="S179" s="4" t="n">
        <v>16</v>
      </c>
      <c r="T179" s="4" t="n">
        <v>4</v>
      </c>
      <c r="U179" s="4" t="n">
        <v>19</v>
      </c>
      <c r="V179" s="4" t="n">
        <v>6</v>
      </c>
      <c r="W179" s="4" t="n">
        <v>9</v>
      </c>
      <c r="X179" s="4" t="n">
        <v>7</v>
      </c>
      <c r="Y179" s="4" t="n">
        <v>4</v>
      </c>
      <c r="Z179" s="4" t="n">
        <v>7</v>
      </c>
      <c r="AA179" s="4" t="n">
        <v>2</v>
      </c>
      <c r="AB179" s="4" t="n">
        <v>59</v>
      </c>
      <c r="AC179" s="4" t="n">
        <v>94</v>
      </c>
      <c r="AD179" s="4" t="n">
        <v>153</v>
      </c>
    </row>
    <row r="180" ht="18" customHeight="1">
      <c r="A180" s="67" t="inlineStr">
        <is>
          <t>Total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45" t="n"/>
      <c r="L180" s="4" t="n">
        <v>1</v>
      </c>
      <c r="M180" s="4" t="n">
        <v>3</v>
      </c>
      <c r="N180" s="4" t="n">
        <v>18</v>
      </c>
      <c r="O180" s="4" t="n">
        <v>49</v>
      </c>
      <c r="P180" s="4" t="n">
        <v>82</v>
      </c>
      <c r="Q180" s="4" t="n">
        <v>132</v>
      </c>
      <c r="R180" s="4" t="n">
        <v>53</v>
      </c>
      <c r="S180" s="4" t="n">
        <v>67</v>
      </c>
      <c r="T180" s="4" t="n">
        <v>54</v>
      </c>
      <c r="U180" s="4" t="n">
        <v>59</v>
      </c>
      <c r="V180" s="4" t="n">
        <v>51</v>
      </c>
      <c r="W180" s="4" t="n">
        <v>46</v>
      </c>
      <c r="X180" s="4" t="n">
        <v>46</v>
      </c>
      <c r="Y180" s="4" t="n">
        <v>27</v>
      </c>
      <c r="Z180" s="4" t="n">
        <v>54</v>
      </c>
      <c r="AA180" s="4" t="n">
        <v>14</v>
      </c>
      <c r="AB180" s="4" t="n">
        <v>359</v>
      </c>
      <c r="AC180" s="4" t="n">
        <v>397</v>
      </c>
      <c r="AD180" s="4" t="n">
        <v>756</v>
      </c>
    </row>
    <row r="181" ht="6.75" customHeight="1">
      <c r="A181" s="27" t="n"/>
      <c r="B181" s="28" t="n"/>
      <c r="C181" s="28" t="n"/>
      <c r="D181" s="28" t="n"/>
      <c r="E181" s="28" t="n"/>
      <c r="F181" s="29" t="n"/>
      <c r="G181" s="29" t="n"/>
      <c r="H181" s="30" t="n"/>
      <c r="I181" s="30" t="n"/>
      <c r="J181" s="30" t="n"/>
      <c r="K181" s="30" t="n"/>
      <c r="L181" s="30" t="n"/>
      <c r="M181" s="30" t="n"/>
      <c r="N181" s="31" t="n"/>
      <c r="O181" s="30" t="n"/>
      <c r="P181" s="87" t="n"/>
      <c r="Q181" s="45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3" t="n"/>
    </row>
    <row r="182" ht="18" customHeight="1">
      <c r="A182" s="34" t="inlineStr">
        <is>
          <t>Block 3: Presumptive TB Cases Identified Laboratory Diagnosis and use of WRD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6" t="n"/>
      <c r="N182" s="37" t="n"/>
      <c r="O182" s="34" t="inlineStr">
        <is>
          <t>Block 4 :  TB HIV  Activities</t>
        </is>
      </c>
      <c r="P182" s="35" t="n"/>
      <c r="Q182" s="35" t="n"/>
      <c r="R182" s="35" t="n"/>
      <c r="S182" s="35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25" t="n"/>
    </row>
    <row r="183" ht="45" customHeight="1">
      <c r="A183" s="6" t="inlineStr">
        <is>
          <t>Total
New OPD in Quarter</t>
        </is>
      </c>
      <c r="B183" s="88" t="inlineStr">
        <is>
          <t>No. of presumptive TB cases identified</t>
        </is>
      </c>
      <c r="C183" s="179" t="n"/>
      <c r="D183" s="6" t="inlineStr">
        <is>
          <t>No. of Presumptive TB
Patients tested 
Using</t>
        </is>
      </c>
      <c r="E183" s="33" t="n"/>
      <c r="F183" s="33" t="n"/>
      <c r="G183" s="45" t="n"/>
      <c r="H183" s="6" t="inlineStr">
        <is>
          <t>Among Presumptive 
TB cases tested  number reported B+</t>
        </is>
      </c>
      <c r="I183" s="33" t="n"/>
      <c r="J183" s="33" t="n"/>
      <c r="K183" s="45" t="n"/>
      <c r="L183" s="6" t="inlineStr">
        <is>
          <t>Among all
registered
number of
B+ TB
Cases</t>
        </is>
      </c>
      <c r="M183" s="6" t="inlineStr">
        <is>
          <t>Amoung All
(N+R+UK)
number tested
by Gene Xpert</t>
        </is>
      </c>
      <c r="N183" s="5" t="n"/>
      <c r="O183" s="165" t="inlineStr">
        <is>
          <t>No. of TB patients
tested for HIV</t>
        </is>
      </c>
      <c r="P183" s="33" t="n"/>
      <c r="Q183" s="33" t="n"/>
      <c r="R183" s="45" t="n"/>
      <c r="S183" s="165" t="inlineStr">
        <is>
          <t>HIV Reactive</t>
        </is>
      </c>
      <c r="T183" s="33" t="n"/>
      <c r="U183" s="33" t="n"/>
      <c r="V183" s="45" t="n"/>
      <c r="W183" s="165" t="inlineStr">
        <is>
          <t>TB Patients confirmed
positive for HIV</t>
        </is>
      </c>
      <c r="X183" s="33" t="n"/>
      <c r="Y183" s="33" t="n"/>
      <c r="Z183" s="45" t="n"/>
      <c r="AA183" s="165" t="inlineStr">
        <is>
          <t>HIV positive TB Patients put on ART</t>
        </is>
      </c>
      <c r="AB183" s="33" t="n"/>
      <c r="AC183" s="33" t="n"/>
      <c r="AD183" s="45" t="n"/>
    </row>
    <row r="184" ht="48" customHeight="1">
      <c r="A184" s="190" t="n"/>
      <c r="B184" s="6" t="inlineStr">
        <is>
          <t>Total</t>
        </is>
      </c>
      <c r="C184" s="88" t="inlineStr">
        <is>
          <t>Through
Community
Referrals (LHWs)</t>
        </is>
      </c>
      <c r="D184" s="88" t="inlineStr">
        <is>
          <t>AFB</t>
        </is>
      </c>
      <c r="E184" s="88" t="inlineStr">
        <is>
          <t>Xp &amp;
AFB</t>
        </is>
      </c>
      <c r="F184" s="88" t="inlineStr">
        <is>
          <t>XP</t>
        </is>
      </c>
      <c r="G184" s="7" t="inlineStr">
        <is>
          <t>G.Tot</t>
        </is>
      </c>
      <c r="H184" s="7" t="inlineStr">
        <is>
          <t>AFB</t>
        </is>
      </c>
      <c r="I184" s="88" t="inlineStr">
        <is>
          <t>AFB +
Xpert</t>
        </is>
      </c>
      <c r="J184" s="7" t="inlineStr">
        <is>
          <t>Xpert</t>
        </is>
      </c>
      <c r="K184" s="7" t="inlineStr">
        <is>
          <t>G.Tot</t>
        </is>
      </c>
      <c r="L184" s="190" t="n"/>
      <c r="M184" s="190" t="n"/>
      <c r="N184" s="5" t="n"/>
      <c r="O184" s="93" t="n">
        <v>430</v>
      </c>
      <c r="P184" s="33" t="n"/>
      <c r="Q184" s="33" t="n"/>
      <c r="R184" s="33" t="n"/>
      <c r="S184" s="93" t="n">
        <v>0</v>
      </c>
      <c r="T184" s="33" t="n"/>
      <c r="U184" s="33" t="n"/>
      <c r="V184" s="33" t="n"/>
      <c r="W184" s="93" t="n">
        <v>0</v>
      </c>
      <c r="X184" s="33" t="n"/>
      <c r="Y184" s="33" t="n"/>
      <c r="Z184" s="33" t="n"/>
      <c r="AA184" s="93" t="n">
        <v>0</v>
      </c>
      <c r="AB184" s="33" t="n"/>
      <c r="AC184" s="33" t="n"/>
      <c r="AD184" s="33" t="n"/>
    </row>
    <row r="185" ht="38.25" customHeight="1">
      <c r="A185" s="193" t="n">
        <v>11108</v>
      </c>
      <c r="B185" s="193" t="n">
        <v>1524</v>
      </c>
      <c r="C185" s="193" t="n">
        <v>38</v>
      </c>
      <c r="D185" s="193" t="n">
        <v>332</v>
      </c>
      <c r="E185" s="193" t="n">
        <v>291</v>
      </c>
      <c r="F185" s="193" t="n">
        <v>648</v>
      </c>
      <c r="G185" s="193" t="n">
        <v>1271</v>
      </c>
      <c r="H185" s="193" t="n">
        <v>20</v>
      </c>
      <c r="I185" s="193" t="n">
        <v>37</v>
      </c>
      <c r="J185" s="193" t="n">
        <v>184</v>
      </c>
      <c r="K185" s="193" t="n">
        <v>241</v>
      </c>
      <c r="L185" s="193" t="n">
        <v>222</v>
      </c>
      <c r="M185" s="193" t="n">
        <v>332</v>
      </c>
      <c r="N185" s="5" t="n"/>
      <c r="O185" s="165" t="inlineStr">
        <is>
          <t xml:space="preserve">HIV patient tested for TB </t>
        </is>
      </c>
      <c r="P185" s="33" t="n"/>
      <c r="Q185" s="33" t="n"/>
      <c r="R185" s="45" t="n"/>
      <c r="S185" s="165" t="inlineStr">
        <is>
          <t>HIV patients 
diagnosed  for TB</t>
        </is>
      </c>
      <c r="T185" s="33" t="n"/>
      <c r="U185" s="33" t="n"/>
      <c r="V185" s="45" t="n"/>
      <c r="W185" s="165" t="inlineStr">
        <is>
          <t>TB HIV patients put on
 TB Tx</t>
        </is>
      </c>
      <c r="X185" s="33" t="n"/>
      <c r="Y185" s="33" t="n"/>
      <c r="Z185" s="45" t="n"/>
      <c r="AA185" s="165" t="inlineStr">
        <is>
          <t>HIV positive TB negative
patients on TPT</t>
        </is>
      </c>
      <c r="AB185" s="33" t="n"/>
      <c r="AC185" s="33" t="n"/>
      <c r="AD185" s="45" t="n"/>
    </row>
    <row r="186" ht="19.5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65" t="n">
        <v>0</v>
      </c>
      <c r="P186" s="178" t="n"/>
      <c r="Q186" s="178" t="n"/>
      <c r="R186" s="179" t="n"/>
      <c r="S186" s="165" t="n">
        <v>0</v>
      </c>
      <c r="T186" s="178" t="n"/>
      <c r="U186" s="178" t="n"/>
      <c r="V186" s="179" t="n"/>
      <c r="W186" s="165" t="n">
        <v>0</v>
      </c>
      <c r="X186" s="178" t="n"/>
      <c r="Y186" s="178" t="n"/>
      <c r="Z186" s="179" t="n"/>
      <c r="AA186" s="8" t="n"/>
      <c r="AB186" s="8" t="inlineStr">
        <is>
          <t>0-4</t>
        </is>
      </c>
      <c r="AC186" s="9" t="inlineStr">
        <is>
          <t>5-14</t>
        </is>
      </c>
      <c r="AD186" s="40" t="inlineStr">
        <is>
          <t>15 +</t>
        </is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6H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1" t="n"/>
      <c r="B188" s="191" t="n"/>
      <c r="C188" s="191" t="n"/>
      <c r="D188" s="191" t="n"/>
      <c r="E188" s="191" t="n"/>
      <c r="F188" s="191" t="n"/>
      <c r="G188" s="191" t="n"/>
      <c r="H188" s="191" t="n"/>
      <c r="I188" s="191" t="n"/>
      <c r="J188" s="191" t="n"/>
      <c r="K188" s="191" t="n"/>
      <c r="L188" s="191" t="n"/>
      <c r="M188" s="191" t="n"/>
      <c r="N188" s="39" t="n"/>
      <c r="O188" s="182" t="n"/>
      <c r="R188" s="181" t="n"/>
      <c r="S188" s="182" t="n"/>
      <c r="V188" s="181" t="n"/>
      <c r="W188" s="182" t="n"/>
      <c r="Z188" s="181" t="n"/>
      <c r="AA188" s="10" t="inlineStr">
        <is>
          <t>3HR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190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39" t="n"/>
      <c r="O189" s="183" t="n"/>
      <c r="P189" s="22" t="n"/>
      <c r="Q189" s="22" t="n"/>
      <c r="R189" s="184" t="n"/>
      <c r="S189" s="183" t="n"/>
      <c r="T189" s="22" t="n"/>
      <c r="U189" s="22" t="n"/>
      <c r="V189" s="184" t="n"/>
      <c r="W189" s="183" t="n"/>
      <c r="X189" s="22" t="n"/>
      <c r="Y189" s="22" t="n"/>
      <c r="Z189" s="184" t="n"/>
      <c r="AA189" s="10" t="inlineStr">
        <is>
          <t>3 HP</t>
        </is>
      </c>
      <c r="AB189" s="67" t="n">
        <v>0</v>
      </c>
      <c r="AC189" s="67" t="n">
        <v>0</v>
      </c>
      <c r="AD189" s="67" t="n">
        <v>0</v>
      </c>
    </row>
    <row r="190" ht="8.25" customHeight="1">
      <c r="A190" s="11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4" t="n"/>
      <c r="O190" s="43" t="n"/>
      <c r="P190" s="43" t="n"/>
      <c r="Q190" s="43" t="n"/>
      <c r="R190" s="43" t="n"/>
      <c r="S190" s="43" t="n"/>
      <c r="T190" s="43" t="n"/>
      <c r="U190" s="43" t="n"/>
      <c r="V190" s="12" t="n"/>
      <c r="W190" s="12" t="n"/>
      <c r="X190" s="12" t="n"/>
      <c r="Y190" s="12" t="n"/>
      <c r="Z190" s="12" t="n"/>
      <c r="AA190" s="12" t="n"/>
      <c r="AB190" s="43" t="n"/>
      <c r="AC190" s="43" t="n"/>
      <c r="AD190" s="45" t="n"/>
    </row>
    <row r="191" ht="18" customHeight="1">
      <c r="A191" s="34" t="inlineStr">
        <is>
          <t>Block 5 :  Bacteriologically Confermid TB Cases with DST Result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6" t="n"/>
      <c r="N191" s="46" t="n"/>
      <c r="O191" s="34" t="inlineStr">
        <is>
          <t>Block 6 :  Contact Tracing HH *</t>
        </is>
      </c>
      <c r="P191" s="36" t="n"/>
      <c r="Q191" s="35" t="n"/>
      <c r="R191" s="4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8" t="n"/>
      <c r="AC191" s="38" t="n"/>
      <c r="AD191" s="48" t="n"/>
    </row>
    <row r="192" ht="18" customHeight="1">
      <c r="A192" s="80" t="inlineStr">
        <is>
          <t>Sensitive =S
Resistance = R</t>
        </is>
      </c>
      <c r="B192" s="81" t="inlineStr">
        <is>
          <t>PTB</t>
        </is>
      </c>
      <c r="C192" s="33" t="n"/>
      <c r="D192" s="33" t="n"/>
      <c r="E192" s="33" t="n"/>
      <c r="F192" s="33" t="n"/>
      <c r="G192" s="45" t="n"/>
      <c r="H192" s="81" t="inlineStr">
        <is>
          <t>EPTB</t>
        </is>
      </c>
      <c r="I192" s="33" t="n"/>
      <c r="J192" s="33" t="n"/>
      <c r="K192" s="33" t="n"/>
      <c r="L192" s="33" t="n"/>
      <c r="M192" s="45" t="n"/>
      <c r="N192" s="49" t="n"/>
      <c r="O192" s="6" t="inlineStr">
        <is>
          <t>Total No. of HH
of B+ PTB</t>
        </is>
      </c>
      <c r="P192" s="178" t="n"/>
      <c r="Q192" s="179" t="n"/>
      <c r="R192" s="6" t="inlineStr">
        <is>
          <t>No. of HH contacts of
B+ PTB Cases
Screened</t>
        </is>
      </c>
      <c r="S192" s="178" t="n"/>
      <c r="T192" s="179" t="n"/>
      <c r="U192" s="6" t="inlineStr">
        <is>
          <t>No. of TB 
Cases diagnosed Amoung HH
contact
screened</t>
        </is>
      </c>
      <c r="V192" s="178" t="n"/>
      <c r="W192" s="179" t="n"/>
      <c r="X192" s="6" t="inlineStr">
        <is>
          <t>No. of HH Contacts 
Initiated on TPT</t>
        </is>
      </c>
      <c r="Y192" s="178" t="n"/>
      <c r="Z192" s="178" t="n"/>
      <c r="AA192" s="179" t="n"/>
      <c r="AB192" s="6" t="inlineStr">
        <is>
          <t>HIV negative 
Immuno - compromised on 
TPT</t>
        </is>
      </c>
      <c r="AC192" s="178" t="n"/>
      <c r="AD192" s="179" t="n"/>
    </row>
    <row r="193" ht="20.25" customHeight="1">
      <c r="A193" s="191" t="n"/>
      <c r="B193" s="67" t="inlineStr">
        <is>
          <t>Rifampicin</t>
        </is>
      </c>
      <c r="C193" s="45" t="n"/>
      <c r="D193" s="67" t="inlineStr">
        <is>
          <t>Isoniazid</t>
        </is>
      </c>
      <c r="E193" s="45" t="n"/>
      <c r="F193" s="67" t="inlineStr">
        <is>
          <t>Fluoroquninolone</t>
        </is>
      </c>
      <c r="G193" s="45" t="n"/>
      <c r="H193" s="67" t="inlineStr">
        <is>
          <t>Rifampicin</t>
        </is>
      </c>
      <c r="I193" s="45" t="n"/>
      <c r="J193" s="67" t="inlineStr">
        <is>
          <t>Isoniazid</t>
        </is>
      </c>
      <c r="K193" s="45" t="n"/>
      <c r="L193" s="67" t="inlineStr">
        <is>
          <t>Fluoroquninolone</t>
        </is>
      </c>
      <c r="M193" s="45" t="n"/>
      <c r="N193" s="50" t="n"/>
      <c r="O193" s="182" t="n"/>
      <c r="Q193" s="181" t="n"/>
      <c r="R193" s="182" t="n"/>
      <c r="T193" s="181" t="n"/>
      <c r="U193" s="182" t="n"/>
      <c r="W193" s="181" t="n"/>
      <c r="X193" s="182" t="n"/>
      <c r="AA193" s="181" t="n"/>
      <c r="AB193" s="182" t="n"/>
      <c r="AD193" s="181" t="n"/>
    </row>
    <row r="194" ht="16.5" customHeight="1">
      <c r="A194" s="190" t="n"/>
      <c r="B194" s="67" t="inlineStr">
        <is>
          <t>S</t>
        </is>
      </c>
      <c r="C194" s="67" t="inlineStr">
        <is>
          <t>R</t>
        </is>
      </c>
      <c r="D194" s="67" t="inlineStr">
        <is>
          <t>S</t>
        </is>
      </c>
      <c r="E194" s="67" t="inlineStr">
        <is>
          <t>R</t>
        </is>
      </c>
      <c r="F194" s="67" t="inlineStr">
        <is>
          <t>S</t>
        </is>
      </c>
      <c r="G194" s="67" t="inlineStr">
        <is>
          <t>R</t>
        </is>
      </c>
      <c r="H194" s="67" t="inlineStr">
        <is>
          <t>S</t>
        </is>
      </c>
      <c r="I194" s="67" t="inlineStr">
        <is>
          <t>R</t>
        </is>
      </c>
      <c r="J194" s="67" t="inlineStr">
        <is>
          <t>S</t>
        </is>
      </c>
      <c r="K194" s="67" t="inlineStr">
        <is>
          <t>R</t>
        </is>
      </c>
      <c r="L194" s="67" t="inlineStr">
        <is>
          <t>S</t>
        </is>
      </c>
      <c r="M194" s="67" t="inlineStr">
        <is>
          <t>R</t>
        </is>
      </c>
      <c r="N194" s="51" t="n"/>
      <c r="O194" s="182" t="n"/>
      <c r="Q194" s="181" t="n"/>
      <c r="R194" s="182" t="n"/>
      <c r="T194" s="181" t="n"/>
      <c r="U194" s="182" t="n"/>
      <c r="W194" s="181" t="n"/>
      <c r="X194" s="183" t="n"/>
      <c r="Y194" s="22" t="n"/>
      <c r="Z194" s="22" t="n"/>
      <c r="AA194" s="184" t="n"/>
      <c r="AB194" s="183" t="n"/>
      <c r="AC194" s="22" t="n"/>
      <c r="AD194" s="184" t="n"/>
    </row>
    <row r="195" ht="24.9" customHeight="1">
      <c r="A195" s="67" t="inlineStr">
        <is>
          <t>New + UK</t>
        </is>
      </c>
      <c r="B195" s="67" t="n">
        <v>193</v>
      </c>
      <c r="C195" s="67" t="n">
        <v>1</v>
      </c>
      <c r="D195" s="67" t="n">
        <v>27</v>
      </c>
      <c r="E195" s="67" t="n">
        <v>0</v>
      </c>
      <c r="F195" s="67" t="n">
        <v>0</v>
      </c>
      <c r="G195" s="67" t="n">
        <v>0</v>
      </c>
      <c r="H195" s="67" t="n">
        <v>0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183" t="n"/>
      <c r="P195" s="22" t="n"/>
      <c r="Q195" s="184" t="n"/>
      <c r="R195" s="183" t="n"/>
      <c r="S195" s="22" t="n"/>
      <c r="T195" s="184" t="n"/>
      <c r="U195" s="183" t="n"/>
      <c r="V195" s="22" t="n"/>
      <c r="W195" s="184" t="n"/>
      <c r="X195" s="17" t="n"/>
      <c r="Y195" s="13" t="inlineStr">
        <is>
          <t>0-4</t>
        </is>
      </c>
      <c r="Z195" s="15" t="inlineStr">
        <is>
          <t>5-14</t>
        </is>
      </c>
      <c r="AA195" s="16" t="inlineStr">
        <is>
          <t>15+</t>
        </is>
      </c>
      <c r="AB195" s="13" t="inlineStr">
        <is>
          <t>0-4</t>
        </is>
      </c>
      <c r="AC195" s="15" t="inlineStr">
        <is>
          <t>5-14</t>
        </is>
      </c>
      <c r="AD195" s="16" t="inlineStr">
        <is>
          <t>15+</t>
        </is>
      </c>
    </row>
    <row r="196" ht="24.9" customHeight="1">
      <c r="A196" s="67" t="inlineStr">
        <is>
          <t>Relapse</t>
        </is>
      </c>
      <c r="B196" s="67" t="n">
        <v>46</v>
      </c>
      <c r="C196" s="67" t="n">
        <v>0</v>
      </c>
      <c r="D196" s="67" t="n">
        <v>3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7" t="inlineStr">
        <is>
          <t>0-4</t>
        </is>
      </c>
      <c r="P196" s="52" t="inlineStr">
        <is>
          <t>5-14</t>
        </is>
      </c>
      <c r="Q196" s="14" t="inlineStr">
        <is>
          <t>15 +</t>
        </is>
      </c>
      <c r="R196" s="13" t="inlineStr">
        <is>
          <t>0-4</t>
        </is>
      </c>
      <c r="S196" s="14" t="inlineStr">
        <is>
          <t>5-14</t>
        </is>
      </c>
      <c r="T196" s="14" t="inlineStr">
        <is>
          <t>15 +</t>
        </is>
      </c>
      <c r="U196" s="13" t="inlineStr">
        <is>
          <t>0-4</t>
        </is>
      </c>
      <c r="V196" s="14" t="inlineStr">
        <is>
          <t>5-14</t>
        </is>
      </c>
      <c r="W196" s="14" t="inlineStr">
        <is>
          <t>15 +</t>
        </is>
      </c>
      <c r="X196" s="17" t="inlineStr">
        <is>
          <t>6H</t>
        </is>
      </c>
      <c r="Y196" s="67" t="n">
        <v>34</v>
      </c>
      <c r="Z196" s="67" t="n">
        <v>26</v>
      </c>
      <c r="AA196" s="67" t="n">
        <v>0</v>
      </c>
      <c r="AB196" s="67" t="n">
        <v>0</v>
      </c>
      <c r="AC196" s="67" t="n">
        <v>0</v>
      </c>
      <c r="AD196" s="67" t="n">
        <v>0</v>
      </c>
    </row>
    <row r="197" ht="24.9" customHeight="1">
      <c r="A197" s="165" t="inlineStr">
        <is>
          <t>Previously treated</t>
        </is>
      </c>
      <c r="B197" s="67" t="n">
        <v>10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51" t="n"/>
      <c r="O197" s="4" t="n">
        <v>139</v>
      </c>
      <c r="P197" s="4" t="n">
        <v>352</v>
      </c>
      <c r="Q197" s="4" t="n">
        <v>1139</v>
      </c>
      <c r="R197" s="4" t="n">
        <v>92</v>
      </c>
      <c r="S197" s="4" t="n">
        <v>239</v>
      </c>
      <c r="T197" s="4" t="n">
        <v>666</v>
      </c>
      <c r="U197" s="4" t="n">
        <v>0</v>
      </c>
      <c r="V197" s="4" t="n">
        <v>2</v>
      </c>
      <c r="W197" s="4" t="n">
        <v>16</v>
      </c>
      <c r="X197" s="17" t="inlineStr">
        <is>
          <t>3HR</t>
        </is>
      </c>
      <c r="Y197" s="67" t="n">
        <v>0</v>
      </c>
      <c r="Z197" s="67" t="n">
        <v>2</v>
      </c>
      <c r="AA197" s="67" t="n">
        <v>10</v>
      </c>
      <c r="AB197" s="67" t="n">
        <v>0</v>
      </c>
      <c r="AC197" s="67" t="n">
        <v>0</v>
      </c>
      <c r="AD197" s="67" t="n">
        <v>0</v>
      </c>
    </row>
    <row r="198" ht="24.9" customHeight="1">
      <c r="A198" s="67" t="inlineStr">
        <is>
          <t>Total</t>
        </is>
      </c>
      <c r="B198" s="67" t="n">
        <v>249</v>
      </c>
      <c r="C198" s="67" t="n">
        <v>1</v>
      </c>
      <c r="D198" s="67" t="n">
        <v>30</v>
      </c>
      <c r="E198" s="67" t="n">
        <v>0</v>
      </c>
      <c r="F198" s="67" t="n">
        <v>0</v>
      </c>
      <c r="G198" s="67" t="n">
        <v>0</v>
      </c>
      <c r="H198" s="67" t="n">
        <v>0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51" t="n"/>
      <c r="O198" s="190" t="n"/>
      <c r="P198" s="190" t="n"/>
      <c r="Q198" s="190" t="n"/>
      <c r="R198" s="190" t="n"/>
      <c r="S198" s="190" t="n"/>
      <c r="T198" s="190" t="n"/>
      <c r="U198" s="190" t="n"/>
      <c r="V198" s="190" t="n"/>
      <c r="W198" s="190" t="n"/>
      <c r="X198" s="53" t="inlineStr">
        <is>
          <t>3 HP</t>
        </is>
      </c>
      <c r="Y198" s="67" t="n">
        <v>0</v>
      </c>
      <c r="Z198" s="67" t="n">
        <v>75</v>
      </c>
      <c r="AA198" s="67" t="n">
        <v>265</v>
      </c>
      <c r="AB198" s="67" t="n">
        <v>0</v>
      </c>
      <c r="AC198" s="67" t="n">
        <v>0</v>
      </c>
      <c r="AD198" s="67" t="n">
        <v>0</v>
      </c>
    </row>
  </sheetData>
  <mergeCells count="727">
    <mergeCell ref="A176:K176"/>
    <mergeCell ref="U158:U159"/>
    <mergeCell ref="S14:U14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A44:D44"/>
    <mergeCell ref="R80:R81"/>
    <mergeCell ref="AC161:AD162"/>
    <mergeCell ref="T80:T81"/>
    <mergeCell ref="B68:B72"/>
    <mergeCell ref="S15:U15"/>
    <mergeCell ref="S144:V144"/>
    <mergeCell ref="AA106:AD106"/>
    <mergeCell ref="AD174:AD175"/>
    <mergeCell ref="V168:X168"/>
    <mergeCell ref="N169:O169"/>
    <mergeCell ref="S172:U172"/>
    <mergeCell ref="Y129:Z129"/>
    <mergeCell ref="AA105:AD105"/>
    <mergeCell ref="P12:R12"/>
    <mergeCell ref="I46:O46"/>
    <mergeCell ref="P165:R167"/>
    <mergeCell ref="R135:S135"/>
    <mergeCell ref="V8:AB8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D185:D189"/>
    <mergeCell ref="N168:O168"/>
    <mergeCell ref="S93:U93"/>
    <mergeCell ref="A82:X82"/>
    <mergeCell ref="AA11:AB11"/>
    <mergeCell ref="P24:Q24"/>
    <mergeCell ref="V94:X94"/>
    <mergeCell ref="AC11:AD11"/>
    <mergeCell ref="O114:Q117"/>
    <mergeCell ref="H154:I154"/>
    <mergeCell ref="J154:K154"/>
    <mergeCell ref="B154:C154"/>
    <mergeCell ref="S170:U170"/>
    <mergeCell ref="G146:G150"/>
    <mergeCell ref="AA92:AB92"/>
    <mergeCell ref="I146:I150"/>
    <mergeCell ref="P90:R90"/>
    <mergeCell ref="R197:R198"/>
    <mergeCell ref="L66:L67"/>
    <mergeCell ref="T197:T198"/>
    <mergeCell ref="A59:K59"/>
    <mergeCell ref="H105:K105"/>
    <mergeCell ref="A135:K136"/>
    <mergeCell ref="L57:M57"/>
    <mergeCell ref="D68:D72"/>
    <mergeCell ref="W67:Z67"/>
    <mergeCell ref="T40:T41"/>
    <mergeCell ref="A61:K61"/>
    <mergeCell ref="N171:O171"/>
    <mergeCell ref="V40:V41"/>
    <mergeCell ref="L87:M89"/>
    <mergeCell ref="A124:H124"/>
    <mergeCell ref="Z43:AA43"/>
    <mergeCell ref="Y169:Z169"/>
    <mergeCell ref="O69:R72"/>
    <mergeCell ref="A114:A116"/>
    <mergeCell ref="F107:F111"/>
    <mergeCell ref="A90:K90"/>
    <mergeCell ref="A160:X160"/>
    <mergeCell ref="H107:H111"/>
    <mergeCell ref="O161:R161"/>
    <mergeCell ref="N52:O52"/>
    <mergeCell ref="Z3:AA3"/>
    <mergeCell ref="U44:Y45"/>
    <mergeCell ref="U85:Z85"/>
    <mergeCell ref="S197:S198"/>
    <mergeCell ref="A129:K129"/>
    <mergeCell ref="V49:X50"/>
    <mergeCell ref="M66:M67"/>
    <mergeCell ref="V87:AB87"/>
    <mergeCell ref="U197:U198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AC172:AD172"/>
    <mergeCell ref="F185:F189"/>
    <mergeCell ref="B144:C144"/>
    <mergeCell ref="T57:U57"/>
    <mergeCell ref="Y53:Z53"/>
    <mergeCell ref="Y130:Z130"/>
    <mergeCell ref="O186:R189"/>
    <mergeCell ref="AA130:AB130"/>
    <mergeCell ref="Y55:Z55"/>
    <mergeCell ref="O153:Q156"/>
    <mergeCell ref="F28:F32"/>
    <mergeCell ref="H28:H32"/>
    <mergeCell ref="N96:O96"/>
    <mergeCell ref="U161:Y162"/>
    <mergeCell ref="P96:Q96"/>
    <mergeCell ref="X75:AA77"/>
    <mergeCell ref="H75:M75"/>
    <mergeCell ref="S184:V184"/>
    <mergeCell ref="S171:U171"/>
    <mergeCell ref="K44:L44"/>
    <mergeCell ref="V126:AB126"/>
    <mergeCell ref="M183:M184"/>
    <mergeCell ref="S92:U92"/>
    <mergeCell ref="R153:T156"/>
    <mergeCell ref="AC126:AD128"/>
    <mergeCell ref="AA28:AD28"/>
    <mergeCell ref="L26:L27"/>
    <mergeCell ref="C185:C189"/>
    <mergeCell ref="E185:E189"/>
    <mergeCell ref="P93:R93"/>
    <mergeCell ref="Z17:AA17"/>
    <mergeCell ref="G185:G189"/>
    <mergeCell ref="L129:M129"/>
    <mergeCell ref="S94:U94"/>
    <mergeCell ref="Z82:AA82"/>
    <mergeCell ref="AB57:AC57"/>
    <mergeCell ref="F146:F150"/>
    <mergeCell ref="Z161:AB162"/>
    <mergeCell ref="H146:H150"/>
    <mergeCell ref="L52:M52"/>
    <mergeCell ref="O4:R4"/>
    <mergeCell ref="B76:C76"/>
    <mergeCell ref="A192:A194"/>
    <mergeCell ref="W69:Z72"/>
    <mergeCell ref="U40:U41"/>
    <mergeCell ref="S8:U10"/>
    <mergeCell ref="W40:W41"/>
    <mergeCell ref="P130:R130"/>
    <mergeCell ref="Z44:AB45"/>
    <mergeCell ref="S131:U131"/>
    <mergeCell ref="Z160:AA160"/>
    <mergeCell ref="F193:G193"/>
    <mergeCell ref="O29:R32"/>
    <mergeCell ref="H193:I193"/>
    <mergeCell ref="L13:M13"/>
    <mergeCell ref="Z135:AA135"/>
    <mergeCell ref="A66:A67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172:M172"/>
    <mergeCell ref="L55:M55"/>
    <mergeCell ref="A9:K10"/>
    <mergeCell ref="S27:V27"/>
    <mergeCell ref="L171:M171"/>
    <mergeCell ref="K68:K72"/>
    <mergeCell ref="W186:Z189"/>
    <mergeCell ref="AA133:AB133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AB192:AD194"/>
    <mergeCell ref="H114:M114"/>
    <mergeCell ref="U163:Z163"/>
    <mergeCell ref="G28:G32"/>
    <mergeCell ref="I28:I32"/>
    <mergeCell ref="AA124:AD124"/>
    <mergeCell ref="M161:N161"/>
    <mergeCell ref="AC122:AD123"/>
    <mergeCell ref="A122:D122"/>
    <mergeCell ref="L183:L184"/>
    <mergeCell ref="AA13:AB13"/>
    <mergeCell ref="B115:C115"/>
    <mergeCell ref="AC13:AD13"/>
    <mergeCell ref="L53:M53"/>
    <mergeCell ref="K4:L4"/>
    <mergeCell ref="A161:D161"/>
    <mergeCell ref="N53:O53"/>
    <mergeCell ref="O185:R185"/>
    <mergeCell ref="A6:H6"/>
    <mergeCell ref="O106:R106"/>
    <mergeCell ref="L130:M130"/>
    <mergeCell ref="AA15:AB15"/>
    <mergeCell ref="N130:O130"/>
    <mergeCell ref="AC15:AD15"/>
    <mergeCell ref="H26:K26"/>
    <mergeCell ref="A172:K172"/>
    <mergeCell ref="O105:R105"/>
    <mergeCell ref="S87:U89"/>
    <mergeCell ref="A99:K99"/>
    <mergeCell ref="L132:M132"/>
    <mergeCell ref="V53:X53"/>
    <mergeCell ref="M68:M72"/>
    <mergeCell ref="O107:R107"/>
    <mergeCell ref="V48:AB48"/>
    <mergeCell ref="A101:K101"/>
    <mergeCell ref="P133:R133"/>
    <mergeCell ref="P54:R54"/>
    <mergeCell ref="I83:J83"/>
    <mergeCell ref="M107:M111"/>
    <mergeCell ref="H35:M35"/>
    <mergeCell ref="AA26:AD26"/>
    <mergeCell ref="H144:K144"/>
    <mergeCell ref="Z122:AB123"/>
    <mergeCell ref="AD17:AD18"/>
    <mergeCell ref="B26:C26"/>
    <mergeCell ref="O183:R183"/>
    <mergeCell ref="AA68:AD68"/>
    <mergeCell ref="X96:Y96"/>
    <mergeCell ref="AA166:AB167"/>
    <mergeCell ref="D115:E115"/>
    <mergeCell ref="M44:N44"/>
    <mergeCell ref="L174:M174"/>
    <mergeCell ref="N174:O174"/>
    <mergeCell ref="N51:O51"/>
    <mergeCell ref="H153:M153"/>
    <mergeCell ref="M185:M189"/>
    <mergeCell ref="W28:Z28"/>
    <mergeCell ref="AC92:AD92"/>
    <mergeCell ref="V54:X54"/>
    <mergeCell ref="S53:U53"/>
    <mergeCell ref="AA144:AD144"/>
    <mergeCell ref="P171:R171"/>
    <mergeCell ref="O68:R68"/>
    <mergeCell ref="H36:I36"/>
    <mergeCell ref="J36:K36"/>
    <mergeCell ref="S55:U55"/>
    <mergeCell ref="B192:G192"/>
    <mergeCell ref="L92:M92"/>
    <mergeCell ref="N92:O92"/>
    <mergeCell ref="T119:T120"/>
    <mergeCell ref="S158:S159"/>
    <mergeCell ref="V119:V120"/>
    <mergeCell ref="AD135:AD136"/>
    <mergeCell ref="AA54:AB54"/>
    <mergeCell ref="E4:H4"/>
    <mergeCell ref="Y90:Z90"/>
    <mergeCell ref="W183:Z183"/>
    <mergeCell ref="AC54:AD54"/>
    <mergeCell ref="A85:H85"/>
    <mergeCell ref="L94:M94"/>
    <mergeCell ref="V130:X130"/>
    <mergeCell ref="A8:K8"/>
    <mergeCell ref="O184:R184"/>
    <mergeCell ref="W185:Z185"/>
    <mergeCell ref="A100:K100"/>
    <mergeCell ref="A171:K171"/>
    <mergeCell ref="W106:Z106"/>
    <mergeCell ref="L185:L189"/>
    <mergeCell ref="A165:K165"/>
    <mergeCell ref="N133:O133"/>
    <mergeCell ref="V166:X167"/>
    <mergeCell ref="L169:M169"/>
    <mergeCell ref="W105:Z105"/>
    <mergeCell ref="A102:K102"/>
    <mergeCell ref="Y131:Z131"/>
    <mergeCell ref="AA131:AB131"/>
    <mergeCell ref="S126:U128"/>
    <mergeCell ref="N135:O135"/>
    <mergeCell ref="P64:Q64"/>
    <mergeCell ref="U122:Y123"/>
    <mergeCell ref="P135:Q135"/>
    <mergeCell ref="U192:W195"/>
    <mergeCell ref="AA163:AD163"/>
    <mergeCell ref="R57:S57"/>
    <mergeCell ref="L48:M50"/>
    <mergeCell ref="A168:K168"/>
    <mergeCell ref="X192:AA194"/>
    <mergeCell ref="A183:A184"/>
    <mergeCell ref="Y14:Z14"/>
    <mergeCell ref="Y11:Z11"/>
    <mergeCell ref="F154:G154"/>
    <mergeCell ref="O28:R28"/>
    <mergeCell ref="E146:E150"/>
    <mergeCell ref="N17:O17"/>
    <mergeCell ref="P197:P198"/>
    <mergeCell ref="P17:Q17"/>
    <mergeCell ref="A21:K21"/>
    <mergeCell ref="I163:O163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P181:Q181"/>
    <mergeCell ref="O44:R44"/>
    <mergeCell ref="J115:K115"/>
    <mergeCell ref="U124:Z124"/>
    <mergeCell ref="L115:M115"/>
    <mergeCell ref="P131:R131"/>
    <mergeCell ref="B107:B111"/>
    <mergeCell ref="A52:K52"/>
    <mergeCell ref="D107:D111"/>
    <mergeCell ref="M122:N122"/>
    <mergeCell ref="Y91:Z91"/>
    <mergeCell ref="AA46:AD46"/>
    <mergeCell ref="H66:K66"/>
    <mergeCell ref="AA91:AB91"/>
    <mergeCell ref="L131:M131"/>
    <mergeCell ref="O197:O198"/>
    <mergeCell ref="X153:AA155"/>
    <mergeCell ref="Q197:Q198"/>
    <mergeCell ref="Y93:Z93"/>
    <mergeCell ref="AA93:AB93"/>
    <mergeCell ref="W107:Z107"/>
    <mergeCell ref="V11:X11"/>
    <mergeCell ref="P158:P159"/>
    <mergeCell ref="AC87:AD89"/>
    <mergeCell ref="AA170:AB170"/>
    <mergeCell ref="V96:W96"/>
    <mergeCell ref="V169:X169"/>
    <mergeCell ref="A68:A72"/>
    <mergeCell ref="R158:R159"/>
    <mergeCell ref="AA184:AD184"/>
    <mergeCell ref="P13:R13"/>
    <mergeCell ref="Y172:Z172"/>
    <mergeCell ref="A42:AD42"/>
    <mergeCell ref="B185:B189"/>
    <mergeCell ref="O80:O81"/>
    <mergeCell ref="P15:R15"/>
    <mergeCell ref="E83:H83"/>
    <mergeCell ref="A55:K55"/>
    <mergeCell ref="S168:U168"/>
    <mergeCell ref="S51:U51"/>
    <mergeCell ref="R192:T195"/>
    <mergeCell ref="L96:M96"/>
    <mergeCell ref="Y12:Z12"/>
    <mergeCell ref="I4:J4"/>
    <mergeCell ref="L90:M90"/>
    <mergeCell ref="AA12:AB12"/>
    <mergeCell ref="A88:K89"/>
    <mergeCell ref="N90:O90"/>
    <mergeCell ref="T174:U174"/>
    <mergeCell ref="O35:Q38"/>
    <mergeCell ref="V174:W174"/>
    <mergeCell ref="S169:U169"/>
    <mergeCell ref="H76:I76"/>
    <mergeCell ref="J76:K76"/>
    <mergeCell ref="AC52:AD52"/>
    <mergeCell ref="L154:M154"/>
    <mergeCell ref="AA14:AB14"/>
    <mergeCell ref="AB153:AD155"/>
    <mergeCell ref="AC4:AD5"/>
    <mergeCell ref="A185:A189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B146:B150"/>
    <mergeCell ref="V132:X132"/>
    <mergeCell ref="D36:E36"/>
    <mergeCell ref="D146:D150"/>
    <mergeCell ref="AA67:AD67"/>
    <mergeCell ref="P172:R172"/>
    <mergeCell ref="S69:V72"/>
    <mergeCell ref="O40:O41"/>
    <mergeCell ref="Q40:Q41"/>
    <mergeCell ref="S40:S41"/>
    <mergeCell ref="AB174:AC174"/>
    <mergeCell ref="AA27:AD27"/>
    <mergeCell ref="AA172:AB172"/>
    <mergeCell ref="A107:A111"/>
    <mergeCell ref="J193:K193"/>
    <mergeCell ref="C107:C111"/>
    <mergeCell ref="V12:X12"/>
    <mergeCell ref="A49:K50"/>
    <mergeCell ref="L193:M193"/>
    <mergeCell ref="D193:E193"/>
    <mergeCell ref="A126:K126"/>
    <mergeCell ref="O26:R26"/>
    <mergeCell ref="I44:J44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P170:R170"/>
    <mergeCell ref="A48:K48"/>
    <mergeCell ref="G68:G72"/>
    <mergeCell ref="AA127:AB128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Y51:Z51"/>
    <mergeCell ref="M105:M106"/>
    <mergeCell ref="A28:A32"/>
    <mergeCell ref="A137:K137"/>
    <mergeCell ref="C28:C32"/>
    <mergeCell ref="N170:O170"/>
    <mergeCell ref="I124:O124"/>
    <mergeCell ref="AC55:AD55"/>
    <mergeCell ref="L8:M10"/>
    <mergeCell ref="O145:R145"/>
    <mergeCell ref="AA171:AB171"/>
    <mergeCell ref="A139:K139"/>
    <mergeCell ref="AC171:AD171"/>
    <mergeCell ref="V133:X133"/>
    <mergeCell ref="N172:O172"/>
    <mergeCell ref="P92:R92"/>
    <mergeCell ref="AA6:AD6"/>
    <mergeCell ref="S108:V111"/>
    <mergeCell ref="Z83:AB84"/>
    <mergeCell ref="J146:J150"/>
    <mergeCell ref="L146:L150"/>
    <mergeCell ref="S90:U90"/>
    <mergeCell ref="U6:Z6"/>
    <mergeCell ref="P94:R94"/>
    <mergeCell ref="W197:W198"/>
    <mergeCell ref="A140:K140"/>
    <mergeCell ref="A63:K63"/>
    <mergeCell ref="A146:A150"/>
    <mergeCell ref="C146:C150"/>
    <mergeCell ref="I68:I72"/>
    <mergeCell ref="A92:K92"/>
    <mergeCell ref="N54:O54"/>
    <mergeCell ref="H183:K183"/>
    <mergeCell ref="I107:I111"/>
    <mergeCell ref="K107:K111"/>
    <mergeCell ref="V15:X15"/>
    <mergeCell ref="P40:P41"/>
    <mergeCell ref="R40:R41"/>
    <mergeCell ref="P8:R10"/>
    <mergeCell ref="A94:K94"/>
    <mergeCell ref="V51:X51"/>
    <mergeCell ref="AC130:AD130"/>
    <mergeCell ref="O66:R66"/>
    <mergeCell ref="A83:D83"/>
    <mergeCell ref="A87:K87"/>
    <mergeCell ref="D144:G144"/>
    <mergeCell ref="U153:W156"/>
    <mergeCell ref="V197:V198"/>
    <mergeCell ref="A144:A145"/>
    <mergeCell ref="A133:K133"/>
    <mergeCell ref="W68:Z68"/>
    <mergeCell ref="AA168:AB168"/>
    <mergeCell ref="AC168:AD168"/>
    <mergeCell ref="P87:R89"/>
    <mergeCell ref="L144:L145"/>
    <mergeCell ref="Y166:Z167"/>
    <mergeCell ref="L76:M76"/>
    <mergeCell ref="N132:O132"/>
    <mergeCell ref="L168:M168"/>
    <mergeCell ref="U75:W78"/>
    <mergeCell ref="B153:G153"/>
    <mergeCell ref="I185:I189"/>
    <mergeCell ref="K185:K189"/>
    <mergeCell ref="S28:V28"/>
    <mergeCell ref="V80:V81"/>
    <mergeCell ref="F68:F72"/>
    <mergeCell ref="W144:Z144"/>
    <mergeCell ref="Y88:Z89"/>
    <mergeCell ref="AA129:AB129"/>
    <mergeCell ref="L11:M11"/>
    <mergeCell ref="AB35:AD37"/>
    <mergeCell ref="H192:M192"/>
    <mergeCell ref="P119:P120"/>
    <mergeCell ref="AC48:AD50"/>
    <mergeCell ref="V135:W135"/>
    <mergeCell ref="R119:R120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AA185:AD185"/>
    <mergeCell ref="O147:R150"/>
    <mergeCell ref="S106:V106"/>
    <mergeCell ref="H185:H189"/>
    <mergeCell ref="AC91:AD91"/>
    <mergeCell ref="P168:R168"/>
    <mergeCell ref="L133:M133"/>
    <mergeCell ref="S105:V105"/>
    <mergeCell ref="D154:E154"/>
    <mergeCell ref="L165:M167"/>
    <mergeCell ref="K146:K150"/>
    <mergeCell ref="M146:M150"/>
    <mergeCell ref="N8:O10"/>
    <mergeCell ref="V90:X90"/>
    <mergeCell ref="A127:K128"/>
    <mergeCell ref="L51:M51"/>
    <mergeCell ref="E44:H44"/>
    <mergeCell ref="AC94:AD94"/>
    <mergeCell ref="N57:O57"/>
    <mergeCell ref="P57:Q57"/>
    <mergeCell ref="H68:H72"/>
    <mergeCell ref="V129:X129"/>
    <mergeCell ref="A166:K167"/>
    <mergeCell ref="N87:O89"/>
    <mergeCell ref="AA55:AB55"/>
    <mergeCell ref="AA169:AB169"/>
    <mergeCell ref="O75:Q78"/>
    <mergeCell ref="AC169:AD169"/>
    <mergeCell ref="V131:X131"/>
    <mergeCell ref="J107:J111"/>
    <mergeCell ref="P52:R52"/>
    <mergeCell ref="L17:M17"/>
    <mergeCell ref="AA88:AB89"/>
    <mergeCell ref="N11:O11"/>
    <mergeCell ref="M28:M32"/>
    <mergeCell ref="Y15:Z15"/>
    <mergeCell ref="B193:C193"/>
    <mergeCell ref="A105:A106"/>
    <mergeCell ref="O67:R67"/>
    <mergeCell ref="P91:R91"/>
    <mergeCell ref="AC131:AD131"/>
    <mergeCell ref="A3:X3"/>
    <mergeCell ref="A57:K58"/>
    <mergeCell ref="L12:M12"/>
    <mergeCell ref="N12:O12"/>
    <mergeCell ref="A54:K54"/>
    <mergeCell ref="N165:O167"/>
    <mergeCell ref="U4:Y5"/>
    <mergeCell ref="I122:J122"/>
    <mergeCell ref="I6:O6"/>
    <mergeCell ref="L14:M14"/>
    <mergeCell ref="N14:O14"/>
    <mergeCell ref="J185:J189"/>
    <mergeCell ref="AA53:AB53"/>
    <mergeCell ref="S54:U54"/>
    <mergeCell ref="P103:Q103"/>
    <mergeCell ref="S186:V189"/>
    <mergeCell ref="AC90:AD90"/>
    <mergeCell ref="W26:Z26"/>
    <mergeCell ref="P55:R55"/>
    <mergeCell ref="J28:J32"/>
    <mergeCell ref="S107:V107"/>
    <mergeCell ref="L28:L32"/>
    <mergeCell ref="Y9:Z10"/>
    <mergeCell ref="O119:O120"/>
    <mergeCell ref="P169:R169"/>
    <mergeCell ref="AA9:AB10"/>
    <mergeCell ref="R96:S96"/>
    <mergeCell ref="A22:K22"/>
    <mergeCell ref="Q119:Q120"/>
    <mergeCell ref="T96:U96"/>
    <mergeCell ref="B183:C183"/>
    <mergeCell ref="AA146:AD146"/>
    <mergeCell ref="W184:Z184"/>
    <mergeCell ref="S130:U130"/>
    <mergeCell ref="A174:K175"/>
    <mergeCell ref="AA66:AD66"/>
    <mergeCell ref="N129:O129"/>
    <mergeCell ref="S132:U132"/>
    <mergeCell ref="A11:K11"/>
    <mergeCell ref="M144:M145"/>
    <mergeCell ref="B66:C66"/>
    <mergeCell ref="A98:K98"/>
    <mergeCell ref="AC44:AD45"/>
    <mergeCell ref="A169:K169"/>
    <mergeCell ref="V170:X170"/>
    <mergeCell ref="N131:O131"/>
    <mergeCell ref="X57:Y57"/>
    <mergeCell ref="AC12:AD12"/>
    <mergeCell ref="Z57:AA57"/>
    <mergeCell ref="X174:Y174"/>
    <mergeCell ref="D26:G26"/>
    <mergeCell ref="K122:L122"/>
    <mergeCell ref="Z174:AA174"/>
    <mergeCell ref="P174:Q174"/>
    <mergeCell ref="U35:W38"/>
    <mergeCell ref="R174:S174"/>
    <mergeCell ref="A96:K97"/>
    <mergeCell ref="A26:A27"/>
    <mergeCell ref="D76:E76"/>
    <mergeCell ref="L126:M128"/>
    <mergeCell ref="F76:G76"/>
    <mergeCell ref="S133:U133"/>
    <mergeCell ref="V172:X172"/>
    <mergeCell ref="AC14:AD14"/>
    <mergeCell ref="P53:R53"/>
    <mergeCell ref="A177:K177"/>
    <mergeCell ref="E122:H122"/>
    <mergeCell ref="A163:H163"/>
    <mergeCell ref="B114:G114"/>
    <mergeCell ref="A179:K179"/>
    <mergeCell ref="A153:A155"/>
    <mergeCell ref="V9:X10"/>
    <mergeCell ref="B35:G35"/>
    <mergeCell ref="Q80:Q81"/>
    <mergeCell ref="P132:R132"/>
    <mergeCell ref="Y170:Z170"/>
    <mergeCell ref="S80:S81"/>
    <mergeCell ref="A121:X121"/>
    <mergeCell ref="N13:O13"/>
    <mergeCell ref="S29:V32"/>
    <mergeCell ref="A91:K91"/>
    <mergeCell ref="V52:X52"/>
    <mergeCell ref="U46:Z46"/>
    <mergeCell ref="A180:K180"/>
    <mergeCell ref="R35:T38"/>
    <mergeCell ref="AC132:AD132"/>
    <mergeCell ref="A93:K93"/>
    <mergeCell ref="P142:Q142"/>
    <mergeCell ref="W147:Z150"/>
    <mergeCell ref="Z4:AB5"/>
    <mergeCell ref="N55:O55"/>
    <mergeCell ref="K83:L83"/>
    <mergeCell ref="W27:Z27"/>
    <mergeCell ref="M83:N83"/>
    <mergeCell ref="AB75:AD77"/>
    <mergeCell ref="U114:W117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O158:O159"/>
    <mergeCell ref="A12:K12"/>
    <mergeCell ref="Z121:AA121"/>
    <mergeCell ref="O83:R83"/>
    <mergeCell ref="I161:J161"/>
    <mergeCell ref="C68:C72"/>
    <mergeCell ref="K161:L161"/>
    <mergeCell ref="E68:E72"/>
    <mergeCell ref="Y168:Z168"/>
    <mergeCell ref="F115:G115"/>
    <mergeCell ref="L107:L111"/>
    <mergeCell ref="R17:S17"/>
    <mergeCell ref="A14:K14"/>
    <mergeCell ref="I85:O85"/>
    <mergeCell ref="T17:U17"/>
    <mergeCell ref="Y13:Z13"/>
    <mergeCell ref="E161:H161"/>
    <mergeCell ref="S185:V185"/>
    <mergeCell ref="S12:U12"/>
    <mergeCell ref="M26:M27"/>
    <mergeCell ref="S165:U167"/>
    <mergeCell ref="AA51:AB51"/>
    <mergeCell ref="AC51:AD51"/>
    <mergeCell ref="D66:G66"/>
    <mergeCell ref="A170:K170"/>
    <mergeCell ref="W29:Z32"/>
    <mergeCell ref="O192:Q195"/>
    <mergeCell ref="L170:M170"/>
    <mergeCell ref="L135:M135"/>
    <mergeCell ref="P11:R11"/>
    <mergeCell ref="Y171:Z171"/>
    <mergeCell ref="A130:K130"/>
    <mergeCell ref="X35:AA37"/>
    <mergeCell ref="W108:Z111"/>
    <mergeCell ref="O108:R111"/>
    <mergeCell ref="Y49:Z50"/>
    <mergeCell ref="A138:K138"/>
    <mergeCell ref="A132:K132"/>
    <mergeCell ref="N126:O128"/>
    <mergeCell ref="A17:K18"/>
    <mergeCell ref="P80:P81"/>
    <mergeCell ref="Z96:AA96"/>
    <mergeCell ref="V127:X128"/>
    <mergeCell ref="AC8:AD10"/>
    <mergeCell ref="AB96:AC96"/>
    <mergeCell ref="S129:U129"/>
    <mergeCell ref="V165:AB165"/>
    <mergeCell ref="N48:O50"/>
    <mergeCell ref="H115:I115"/>
    <mergeCell ref="A43:X43"/>
    <mergeCell ref="AC165:AD167"/>
    <mergeCell ref="D183:G183"/>
    <mergeCell ref="AD57:AD58"/>
    <mergeCell ref="L54:M54"/>
    <mergeCell ref="B75:G75"/>
    <mergeCell ref="E107:E111"/>
    <mergeCell ref="G107:G111"/>
    <mergeCell ref="P51:R51"/>
    <mergeCell ref="Y127:Z128"/>
    <mergeCell ref="S66:V66"/>
    <mergeCell ref="A75:A77"/>
    <mergeCell ref="AD96:AD97"/>
    <mergeCell ref="W66:Z66"/>
    <mergeCell ref="A20:K20"/>
    <mergeCell ref="R114:T117"/>
    <mergeCell ref="S68:V68"/>
    <mergeCell ref="A13:K13"/>
    <mergeCell ref="L36:M36"/>
    <mergeCell ref="M4:N4"/>
  </mergeCells>
  <printOptions horizontalCentered="1"/>
  <pageMargins left="0.25" right="0.25" top="0.25" bottom="0.25" header="0.25" footer="0.25"/>
  <pageSetup orientation="landscape" paperSize="9" scale="63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8000"/>
    <outlinePr summaryBelow="1" summaryRight="1"/>
    <pageSetUpPr/>
  </sheetPr>
  <dimension ref="A2:AD198"/>
  <sheetViews>
    <sheetView view="pageBreakPreview" topLeftCell="A165" zoomScale="85" zoomScaleNormal="100" zoomScaleSheetLayoutView="85" workbookViewId="0">
      <selection activeCell="A179" sqref="A1:XFD1048576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9.109375" customWidth="1" min="13" max="13"/>
    <col width="7.33203125" customWidth="1" min="14" max="14"/>
    <col width="6.33203125" customWidth="1" min="15" max="15"/>
    <col width="5.33203125" customWidth="1" min="16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74" t="inlineStr">
        <is>
          <t>Consolidated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8" t="inlineStr">
        <is>
          <t>SINDH</t>
        </is>
      </c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98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67" t="n">
        <v>39</v>
      </c>
      <c r="M11" s="45" t="n"/>
      <c r="N11" s="67" t="n">
        <v>9</v>
      </c>
      <c r="O11" s="45" t="n"/>
      <c r="P11" s="67" t="n">
        <v>0</v>
      </c>
      <c r="Q11" s="33" t="n"/>
      <c r="R11" s="45" t="n"/>
      <c r="S11" s="67" t="n">
        <v>48</v>
      </c>
      <c r="T11" s="33" t="n"/>
      <c r="U11" s="45" t="n"/>
      <c r="V11" s="67" t="n">
        <v>0</v>
      </c>
      <c r="W11" s="33" t="n"/>
      <c r="X11" s="45" t="n"/>
      <c r="Y11" s="67" t="n">
        <v>0</v>
      </c>
      <c r="Z11" s="45" t="n"/>
      <c r="AA11" s="67" t="n">
        <v>0</v>
      </c>
      <c r="AB11" s="45" t="n"/>
      <c r="AC11" s="67" t="n">
        <v>48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67" t="n">
        <v>3</v>
      </c>
      <c r="M12" s="45" t="n"/>
      <c r="N12" s="67" t="n">
        <v>0</v>
      </c>
      <c r="O12" s="45" t="n"/>
      <c r="P12" s="67" t="n">
        <v>0</v>
      </c>
      <c r="Q12" s="33" t="n"/>
      <c r="R12" s="45" t="n"/>
      <c r="S12" s="67" t="n">
        <v>3</v>
      </c>
      <c r="T12" s="33" t="n"/>
      <c r="U12" s="45" t="n"/>
      <c r="V12" s="67" t="n">
        <v>0</v>
      </c>
      <c r="W12" s="33" t="n"/>
      <c r="X12" s="45" t="n"/>
      <c r="Y12" s="67" t="n">
        <v>0</v>
      </c>
      <c r="Z12" s="45" t="n"/>
      <c r="AA12" s="67" t="n">
        <v>0</v>
      </c>
      <c r="AB12" s="45" t="n"/>
      <c r="AC12" s="67" t="n">
        <v>3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67" t="n">
        <v>0</v>
      </c>
      <c r="M13" s="45" t="n"/>
      <c r="N13" s="67" t="n">
        <v>0</v>
      </c>
      <c r="O13" s="45" t="n"/>
      <c r="P13" s="67" t="n">
        <v>0</v>
      </c>
      <c r="Q13" s="33" t="n"/>
      <c r="R13" s="45" t="n"/>
      <c r="S13" s="67" t="n">
        <v>0</v>
      </c>
      <c r="T13" s="33" t="n"/>
      <c r="U13" s="45" t="n"/>
      <c r="V13" s="67" t="n">
        <v>0</v>
      </c>
      <c r="W13" s="33" t="n"/>
      <c r="X13" s="45" t="n"/>
      <c r="Y13" s="67" t="n">
        <v>0</v>
      </c>
      <c r="Z13" s="45" t="n"/>
      <c r="AA13" s="67" t="n">
        <v>0</v>
      </c>
      <c r="AB13" s="45" t="n"/>
      <c r="AC13" s="67" t="n">
        <v>0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67" t="n">
        <v>8</v>
      </c>
      <c r="M14" s="45" t="n"/>
      <c r="N14" s="67" t="n">
        <v>0</v>
      </c>
      <c r="O14" s="45" t="n"/>
      <c r="P14" s="67" t="n">
        <v>0</v>
      </c>
      <c r="Q14" s="33" t="n"/>
      <c r="R14" s="45" t="n"/>
      <c r="S14" s="67" t="n">
        <v>8</v>
      </c>
      <c r="T14" s="33" t="n"/>
      <c r="U14" s="45" t="n"/>
      <c r="V14" s="67" t="n">
        <v>0</v>
      </c>
      <c r="W14" s="33" t="n"/>
      <c r="X14" s="45" t="n"/>
      <c r="Y14" s="67" t="n">
        <v>0</v>
      </c>
      <c r="Z14" s="45" t="n"/>
      <c r="AA14" s="67" t="n">
        <v>0</v>
      </c>
      <c r="AB14" s="45" t="n"/>
      <c r="AC14" s="67" t="n">
        <v>8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67" t="n">
        <v>50</v>
      </c>
      <c r="M15" s="45" t="n"/>
      <c r="N15" s="67" t="n">
        <v>9</v>
      </c>
      <c r="O15" s="45" t="n"/>
      <c r="P15" s="67" t="n">
        <v>0</v>
      </c>
      <c r="Q15" s="33" t="n"/>
      <c r="R15" s="45" t="n"/>
      <c r="S15" s="67" t="n">
        <v>59</v>
      </c>
      <c r="T15" s="33" t="n"/>
      <c r="U15" s="45" t="n"/>
      <c r="V15" s="67" t="n">
        <v>0</v>
      </c>
      <c r="W15" s="33" t="n"/>
      <c r="X15" s="45" t="n"/>
      <c r="Y15" s="67" t="n">
        <v>0</v>
      </c>
      <c r="Z15" s="45" t="n"/>
      <c r="AA15" s="67" t="n">
        <v>0</v>
      </c>
      <c r="AB15" s="45" t="n"/>
      <c r="AC15" s="67" t="n">
        <v>59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4</v>
      </c>
      <c r="Q19" s="67" t="n">
        <v>5</v>
      </c>
      <c r="R19" s="67" t="n">
        <v>7</v>
      </c>
      <c r="S19" s="67" t="n">
        <v>11</v>
      </c>
      <c r="T19" s="67" t="n">
        <v>3</v>
      </c>
      <c r="U19" s="67" t="n">
        <v>4</v>
      </c>
      <c r="V19" s="67" t="n">
        <v>8</v>
      </c>
      <c r="W19" s="67" t="n">
        <v>5</v>
      </c>
      <c r="X19" s="67" t="n">
        <v>1</v>
      </c>
      <c r="Y19" s="67" t="n">
        <v>0</v>
      </c>
      <c r="Z19" s="67" t="n">
        <v>0</v>
      </c>
      <c r="AA19" s="67" t="n">
        <v>0</v>
      </c>
      <c r="AB19" s="67" t="n">
        <v>23</v>
      </c>
      <c r="AC19" s="67" t="n">
        <v>25</v>
      </c>
      <c r="AD19" s="67" t="n">
        <v>48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1</v>
      </c>
      <c r="W20" s="67" t="n">
        <v>0</v>
      </c>
      <c r="X20" s="67" t="n">
        <v>1</v>
      </c>
      <c r="Y20" s="67" t="n">
        <v>1</v>
      </c>
      <c r="Z20" s="67" t="n">
        <v>0</v>
      </c>
      <c r="AA20" s="67" t="n">
        <v>0</v>
      </c>
      <c r="AB20" s="67" t="n">
        <v>2</v>
      </c>
      <c r="AC20" s="67" t="n">
        <v>1</v>
      </c>
      <c r="AD20" s="67" t="n">
        <v>3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7" t="n">
        <v>0</v>
      </c>
      <c r="X21" s="67" t="n">
        <v>0</v>
      </c>
      <c r="Y21" s="67" t="n">
        <v>0</v>
      </c>
      <c r="Z21" s="67" t="n">
        <v>0</v>
      </c>
      <c r="AA21" s="67" t="n">
        <v>0</v>
      </c>
      <c r="AB21" s="67" t="n">
        <v>0</v>
      </c>
      <c r="AC21" s="67" t="n">
        <v>0</v>
      </c>
      <c r="AD21" s="67" t="n">
        <v>0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1</v>
      </c>
      <c r="Q22" s="67" t="n">
        <v>0</v>
      </c>
      <c r="R22" s="67" t="n">
        <v>0</v>
      </c>
      <c r="S22" s="67" t="n">
        <v>2</v>
      </c>
      <c r="T22" s="67" t="n">
        <v>0</v>
      </c>
      <c r="U22" s="67" t="n">
        <v>1</v>
      </c>
      <c r="V22" s="67" t="n">
        <v>3</v>
      </c>
      <c r="W22" s="67" t="n">
        <v>1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4</v>
      </c>
      <c r="AC22" s="67" t="n">
        <v>4</v>
      </c>
      <c r="AD22" s="67" t="n">
        <v>8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67" t="n">
        <v>0</v>
      </c>
      <c r="M23" s="67" t="n">
        <v>0</v>
      </c>
      <c r="N23" s="67" t="n">
        <v>0</v>
      </c>
      <c r="O23" s="67" t="n">
        <v>0</v>
      </c>
      <c r="P23" s="67" t="n">
        <v>5</v>
      </c>
      <c r="Q23" s="67" t="n">
        <v>5</v>
      </c>
      <c r="R23" s="67" t="n">
        <v>7</v>
      </c>
      <c r="S23" s="67" t="n">
        <v>13</v>
      </c>
      <c r="T23" s="67" t="n">
        <v>3</v>
      </c>
      <c r="U23" s="67" t="n">
        <v>5</v>
      </c>
      <c r="V23" s="67" t="n">
        <v>12</v>
      </c>
      <c r="W23" s="67" t="n">
        <v>6</v>
      </c>
      <c r="X23" s="67" t="n">
        <v>2</v>
      </c>
      <c r="Y23" s="67" t="n">
        <v>1</v>
      </c>
      <c r="Z23" s="67" t="n">
        <v>0</v>
      </c>
      <c r="AA23" s="67" t="n">
        <v>0</v>
      </c>
      <c r="AB23" s="67" t="n">
        <v>29</v>
      </c>
      <c r="AC23" s="67" t="n">
        <v>30</v>
      </c>
      <c r="AD23" s="67" t="n">
        <v>59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93" t="n">
        <v>0</v>
      </c>
      <c r="P27" s="33" t="n"/>
      <c r="Q27" s="33" t="n"/>
      <c r="R27" s="33" t="n"/>
      <c r="S27" s="93" t="n">
        <v>0</v>
      </c>
      <c r="T27" s="33" t="n"/>
      <c r="U27" s="33" t="n"/>
      <c r="V27" s="33" t="n"/>
      <c r="W27" s="93" t="n">
        <v>0</v>
      </c>
      <c r="X27" s="33" t="n"/>
      <c r="Y27" s="33" t="n"/>
      <c r="Z27" s="33" t="n"/>
      <c r="AA27" s="93" t="n">
        <v>0</v>
      </c>
      <c r="AB27" s="33" t="n"/>
      <c r="AC27" s="33" t="n"/>
      <c r="AD27" s="33" t="n"/>
    </row>
    <row r="28" ht="38.25" customHeight="1">
      <c r="A28" s="165" t="n">
        <v>38039</v>
      </c>
      <c r="B28" s="165" t="n">
        <v>262</v>
      </c>
      <c r="C28" s="165" t="n">
        <v>0</v>
      </c>
      <c r="D28" s="165" t="n">
        <v>173</v>
      </c>
      <c r="E28" s="165" t="n">
        <v>92</v>
      </c>
      <c r="F28" s="165" t="n">
        <v>41</v>
      </c>
      <c r="G28" s="165" t="n">
        <v>306</v>
      </c>
      <c r="H28" s="165" t="n">
        <v>7</v>
      </c>
      <c r="I28" s="165" t="n">
        <v>33</v>
      </c>
      <c r="J28" s="165" t="n">
        <v>8</v>
      </c>
      <c r="K28" s="165" t="n">
        <v>48</v>
      </c>
      <c r="L28" s="165" t="n">
        <v>48</v>
      </c>
      <c r="M28" s="165" t="n">
        <v>33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65" t="n">
        <v>12</v>
      </c>
      <c r="P29" s="178" t="n"/>
      <c r="Q29" s="178" t="n"/>
      <c r="R29" s="179" t="n"/>
      <c r="S29" s="165" t="n">
        <v>0</v>
      </c>
      <c r="T29" s="178" t="n"/>
      <c r="U29" s="178" t="n"/>
      <c r="V29" s="179" t="n"/>
      <c r="W29" s="165" t="n"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9" t="n">
        <v>0</v>
      </c>
      <c r="AC30" s="9" t="n">
        <v>0</v>
      </c>
      <c r="AD30" s="9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9" t="n">
        <v>0</v>
      </c>
      <c r="AC31" s="9" t="n">
        <v>0</v>
      </c>
      <c r="AD31" s="9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9" t="n">
        <v>0</v>
      </c>
      <c r="AC32" s="9" t="n">
        <v>0</v>
      </c>
      <c r="AD32" s="9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67" t="n">
        <v>27</v>
      </c>
      <c r="C38" s="67" t="n">
        <v>2</v>
      </c>
      <c r="D38" s="67" t="n">
        <v>0</v>
      </c>
      <c r="E38" s="67" t="n">
        <v>0</v>
      </c>
      <c r="F38" s="67" t="n">
        <v>0</v>
      </c>
      <c r="G38" s="67" t="n">
        <v>0</v>
      </c>
      <c r="H38" s="67" t="n">
        <v>0</v>
      </c>
      <c r="I38" s="67" t="n">
        <v>0</v>
      </c>
      <c r="J38" s="67" t="n">
        <v>0</v>
      </c>
      <c r="K38" s="67" t="n">
        <v>0</v>
      </c>
      <c r="L38" s="67" t="n">
        <v>0</v>
      </c>
      <c r="M38" s="67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67" t="n">
        <v>6</v>
      </c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</row>
    <row r="40" ht="24.9" customHeight="1">
      <c r="A40" s="165" t="inlineStr">
        <is>
          <t>Previously treated</t>
        </is>
      </c>
      <c r="B40" s="67" t="n">
        <v>0</v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67" t="n">
        <v>0</v>
      </c>
      <c r="I40" s="67" t="n">
        <v>0</v>
      </c>
      <c r="J40" s="67" t="n">
        <v>0</v>
      </c>
      <c r="K40" s="67" t="n">
        <v>0</v>
      </c>
      <c r="L40" s="67" t="n">
        <v>0</v>
      </c>
      <c r="M40" s="67" t="n">
        <v>0</v>
      </c>
      <c r="N40" s="51" t="n"/>
      <c r="O40" s="67" t="n">
        <v>0</v>
      </c>
      <c r="P40" s="67" t="n">
        <v>0</v>
      </c>
      <c r="Q40" s="67" t="n">
        <v>0</v>
      </c>
      <c r="R40" s="67" t="n">
        <v>0</v>
      </c>
      <c r="S40" s="67" t="n">
        <v>0</v>
      </c>
      <c r="T40" s="67" t="n">
        <v>0</v>
      </c>
      <c r="U40" s="67" t="n">
        <v>0</v>
      </c>
      <c r="V40" s="67" t="n">
        <v>0</v>
      </c>
      <c r="W40" s="67" t="n">
        <v>0</v>
      </c>
      <c r="X40" s="17" t="inlineStr">
        <is>
          <t>3HR</t>
        </is>
      </c>
      <c r="Y40" s="67" t="n">
        <v>0</v>
      </c>
      <c r="Z40" s="67" t="n">
        <v>0</v>
      </c>
      <c r="AA40" s="67" t="n">
        <v>0</v>
      </c>
      <c r="AB40" s="67" t="n">
        <v>0</v>
      </c>
      <c r="AC40" s="67" t="n">
        <v>0</v>
      </c>
      <c r="AD40" s="67" t="n">
        <v>0</v>
      </c>
    </row>
    <row r="41" ht="24.9" customHeight="1">
      <c r="A41" s="67" t="inlineStr">
        <is>
          <t>Total</t>
        </is>
      </c>
      <c r="B41" s="67" t="n">
        <v>33</v>
      </c>
      <c r="C41" s="67" t="n">
        <v>2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74" t="inlineStr">
        <is>
          <t>Consolidated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8" t="inlineStr">
        <is>
          <t>SINDH</t>
        </is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98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67" t="n">
        <v>39</v>
      </c>
      <c r="M51" s="45" t="n"/>
      <c r="N51" s="67" t="n">
        <v>5</v>
      </c>
      <c r="O51" s="45" t="n"/>
      <c r="P51" s="67" t="n">
        <v>0</v>
      </c>
      <c r="Q51" s="33" t="n"/>
      <c r="R51" s="45" t="n"/>
      <c r="S51" s="67" t="n">
        <v>44</v>
      </c>
      <c r="T51" s="33" t="n"/>
      <c r="U51" s="45" t="n"/>
      <c r="V51" s="67" t="n">
        <v>0</v>
      </c>
      <c r="W51" s="33" t="n"/>
      <c r="X51" s="45" t="n"/>
      <c r="Y51" s="67" t="n">
        <v>0</v>
      </c>
      <c r="Z51" s="45" t="n"/>
      <c r="AA51" s="67" t="n">
        <v>0</v>
      </c>
      <c r="AB51" s="45" t="n"/>
      <c r="AC51" s="67" t="n">
        <v>44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67" t="n">
        <v>12</v>
      </c>
      <c r="M52" s="45" t="n"/>
      <c r="N52" s="67" t="n">
        <v>0</v>
      </c>
      <c r="O52" s="45" t="n"/>
      <c r="P52" s="67" t="n">
        <v>0</v>
      </c>
      <c r="Q52" s="33" t="n"/>
      <c r="R52" s="45" t="n"/>
      <c r="S52" s="67" t="n">
        <v>12</v>
      </c>
      <c r="T52" s="33" t="n"/>
      <c r="U52" s="45" t="n"/>
      <c r="V52" s="67" t="n">
        <v>0</v>
      </c>
      <c r="W52" s="33" t="n"/>
      <c r="X52" s="45" t="n"/>
      <c r="Y52" s="67" t="n">
        <v>0</v>
      </c>
      <c r="Z52" s="45" t="n"/>
      <c r="AA52" s="67" t="n">
        <v>0</v>
      </c>
      <c r="AB52" s="45" t="n"/>
      <c r="AC52" s="67" t="n">
        <v>12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67" t="n">
        <v>0</v>
      </c>
      <c r="M53" s="45" t="n"/>
      <c r="N53" s="67" t="n">
        <v>0</v>
      </c>
      <c r="O53" s="45" t="n"/>
      <c r="P53" s="67" t="n">
        <v>0</v>
      </c>
      <c r="Q53" s="33" t="n"/>
      <c r="R53" s="45" t="n"/>
      <c r="S53" s="67" t="n">
        <v>0</v>
      </c>
      <c r="T53" s="33" t="n"/>
      <c r="U53" s="45" t="n"/>
      <c r="V53" s="67" t="n">
        <v>0</v>
      </c>
      <c r="W53" s="33" t="n"/>
      <c r="X53" s="45" t="n"/>
      <c r="Y53" s="67" t="n">
        <v>0</v>
      </c>
      <c r="Z53" s="45" t="n"/>
      <c r="AA53" s="67" t="n">
        <v>0</v>
      </c>
      <c r="AB53" s="45" t="n"/>
      <c r="AC53" s="67" t="n">
        <v>0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67" t="n">
        <v>4</v>
      </c>
      <c r="M54" s="45" t="n"/>
      <c r="N54" s="67" t="n">
        <v>0</v>
      </c>
      <c r="O54" s="45" t="n"/>
      <c r="P54" s="67" t="n">
        <v>0</v>
      </c>
      <c r="Q54" s="33" t="n"/>
      <c r="R54" s="45" t="n"/>
      <c r="S54" s="67" t="n">
        <v>4</v>
      </c>
      <c r="T54" s="33" t="n"/>
      <c r="U54" s="45" t="n"/>
      <c r="V54" s="67" t="n">
        <v>0</v>
      </c>
      <c r="W54" s="33" t="n"/>
      <c r="X54" s="45" t="n"/>
      <c r="Y54" s="67" t="n">
        <v>0</v>
      </c>
      <c r="Z54" s="45" t="n"/>
      <c r="AA54" s="67" t="n">
        <v>0</v>
      </c>
      <c r="AB54" s="45" t="n"/>
      <c r="AC54" s="67" t="n">
        <v>4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67" t="n">
        <v>55</v>
      </c>
      <c r="M55" s="45" t="n"/>
      <c r="N55" s="67" t="n">
        <v>5</v>
      </c>
      <c r="O55" s="45" t="n"/>
      <c r="P55" s="67" t="n">
        <v>0</v>
      </c>
      <c r="Q55" s="33" t="n"/>
      <c r="R55" s="45" t="n"/>
      <c r="S55" s="67" t="n">
        <v>60</v>
      </c>
      <c r="T55" s="33" t="n"/>
      <c r="U55" s="45" t="n"/>
      <c r="V55" s="67" t="n">
        <v>0</v>
      </c>
      <c r="W55" s="33" t="n"/>
      <c r="X55" s="45" t="n"/>
      <c r="Y55" s="67" t="n">
        <v>0</v>
      </c>
      <c r="Z55" s="45" t="n"/>
      <c r="AA55" s="67" t="n">
        <v>0</v>
      </c>
      <c r="AB55" s="45" t="n"/>
      <c r="AC55" s="67" t="n">
        <v>60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67" t="n">
        <v>0</v>
      </c>
      <c r="M59" s="67" t="n">
        <v>0</v>
      </c>
      <c r="N59" s="67" t="n">
        <v>0</v>
      </c>
      <c r="O59" s="67" t="n">
        <v>0</v>
      </c>
      <c r="P59" s="67" t="n">
        <v>3</v>
      </c>
      <c r="Q59" s="67" t="n">
        <v>2</v>
      </c>
      <c r="R59" s="67" t="n">
        <v>8</v>
      </c>
      <c r="S59" s="67" t="n">
        <v>8</v>
      </c>
      <c r="T59" s="67" t="n">
        <v>2</v>
      </c>
      <c r="U59" s="67" t="n">
        <v>4</v>
      </c>
      <c r="V59" s="67" t="n">
        <v>10</v>
      </c>
      <c r="W59" s="67" t="n">
        <v>0</v>
      </c>
      <c r="X59" s="67" t="n">
        <v>1</v>
      </c>
      <c r="Y59" s="67" t="n">
        <v>5</v>
      </c>
      <c r="Z59" s="67" t="n">
        <v>1</v>
      </c>
      <c r="AA59" s="67" t="n">
        <v>0</v>
      </c>
      <c r="AB59" s="67" t="n">
        <v>25</v>
      </c>
      <c r="AC59" s="67" t="n">
        <v>19</v>
      </c>
      <c r="AD59" s="67" t="n">
        <v>44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67" t="n">
        <v>0</v>
      </c>
      <c r="M60" s="67" t="n">
        <v>0</v>
      </c>
      <c r="N60" s="67" t="n">
        <v>0</v>
      </c>
      <c r="O60" s="67" t="n">
        <v>0</v>
      </c>
      <c r="P60" s="67" t="n">
        <v>0</v>
      </c>
      <c r="Q60" s="67" t="n">
        <v>3</v>
      </c>
      <c r="R60" s="67" t="n">
        <v>0</v>
      </c>
      <c r="S60" s="67" t="n">
        <v>3</v>
      </c>
      <c r="T60" s="67" t="n">
        <v>3</v>
      </c>
      <c r="U60" s="67" t="n">
        <v>0</v>
      </c>
      <c r="V60" s="67" t="n">
        <v>0</v>
      </c>
      <c r="W60" s="67" t="n">
        <v>2</v>
      </c>
      <c r="X60" s="67" t="n">
        <v>0</v>
      </c>
      <c r="Y60" s="67" t="n">
        <v>1</v>
      </c>
      <c r="Z60" s="67" t="n">
        <v>0</v>
      </c>
      <c r="AA60" s="67" t="n">
        <v>0</v>
      </c>
      <c r="AB60" s="67" t="n">
        <v>3</v>
      </c>
      <c r="AC60" s="67" t="n">
        <v>9</v>
      </c>
      <c r="AD60" s="67" t="n">
        <v>12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0</v>
      </c>
      <c r="Q61" s="67" t="n">
        <v>0</v>
      </c>
      <c r="R61" s="67" t="n">
        <v>0</v>
      </c>
      <c r="S61" s="67" t="n">
        <v>0</v>
      </c>
      <c r="T61" s="67" t="n">
        <v>0</v>
      </c>
      <c r="U61" s="67" t="n">
        <v>0</v>
      </c>
      <c r="V61" s="67" t="n">
        <v>0</v>
      </c>
      <c r="W61" s="67" t="n">
        <v>0</v>
      </c>
      <c r="X61" s="67" t="n">
        <v>0</v>
      </c>
      <c r="Y61" s="67" t="n">
        <v>0</v>
      </c>
      <c r="Z61" s="67" t="n">
        <v>0</v>
      </c>
      <c r="AA61" s="67" t="n">
        <v>0</v>
      </c>
      <c r="AB61" s="67" t="n">
        <v>0</v>
      </c>
      <c r="AC61" s="67" t="n">
        <v>0</v>
      </c>
      <c r="AD61" s="67" t="n">
        <v>0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0</v>
      </c>
      <c r="Q62" s="67" t="n">
        <v>0</v>
      </c>
      <c r="R62" s="67" t="n">
        <v>1</v>
      </c>
      <c r="S62" s="67" t="n">
        <v>2</v>
      </c>
      <c r="T62" s="67" t="n">
        <v>1</v>
      </c>
      <c r="U62" s="67" t="n">
        <v>0</v>
      </c>
      <c r="V62" s="67" t="n">
        <v>0</v>
      </c>
      <c r="W62" s="67" t="n">
        <v>0</v>
      </c>
      <c r="X62" s="67" t="n">
        <v>0</v>
      </c>
      <c r="Y62" s="67" t="n">
        <v>0</v>
      </c>
      <c r="Z62" s="67" t="n">
        <v>0</v>
      </c>
      <c r="AA62" s="67" t="n">
        <v>0</v>
      </c>
      <c r="AB62" s="67" t="n">
        <v>2</v>
      </c>
      <c r="AC62" s="67" t="n">
        <v>2</v>
      </c>
      <c r="AD62" s="67" t="n">
        <v>4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67" t="n">
        <v>0</v>
      </c>
      <c r="M63" s="67" t="n">
        <v>0</v>
      </c>
      <c r="N63" s="67" t="n">
        <v>0</v>
      </c>
      <c r="O63" s="67" t="n">
        <v>0</v>
      </c>
      <c r="P63" s="67" t="n">
        <v>3</v>
      </c>
      <c r="Q63" s="67" t="n">
        <v>5</v>
      </c>
      <c r="R63" s="67" t="n">
        <v>9</v>
      </c>
      <c r="S63" s="67" t="n">
        <v>13</v>
      </c>
      <c r="T63" s="67" t="n">
        <v>6</v>
      </c>
      <c r="U63" s="67" t="n">
        <v>4</v>
      </c>
      <c r="V63" s="67" t="n">
        <v>10</v>
      </c>
      <c r="W63" s="67" t="n">
        <v>2</v>
      </c>
      <c r="X63" s="67" t="n">
        <v>1</v>
      </c>
      <c r="Y63" s="67" t="n">
        <v>6</v>
      </c>
      <c r="Z63" s="67" t="n">
        <v>1</v>
      </c>
      <c r="AA63" s="67" t="n">
        <v>0</v>
      </c>
      <c r="AB63" s="67" t="n">
        <v>30</v>
      </c>
      <c r="AC63" s="67" t="n">
        <v>30</v>
      </c>
      <c r="AD63" s="67" t="n">
        <v>60</v>
      </c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93" t="n">
        <v>33</v>
      </c>
      <c r="P67" s="33" t="n"/>
      <c r="Q67" s="33" t="n"/>
      <c r="R67" s="33" t="n"/>
      <c r="S67" s="93" t="n">
        <v>0</v>
      </c>
      <c r="T67" s="33" t="n"/>
      <c r="U67" s="33" t="n"/>
      <c r="V67" s="33" t="n"/>
      <c r="W67" s="93" t="n">
        <v>0</v>
      </c>
      <c r="X67" s="33" t="n"/>
      <c r="Y67" s="33" t="n"/>
      <c r="Z67" s="33" t="n"/>
      <c r="AA67" s="93" t="n">
        <v>0</v>
      </c>
      <c r="AB67" s="33" t="n"/>
      <c r="AC67" s="33" t="n"/>
      <c r="AD67" s="33" t="n"/>
    </row>
    <row r="68" ht="38.25" customHeight="1">
      <c r="A68" s="193" t="n">
        <v>35980</v>
      </c>
      <c r="B68" s="193" t="n">
        <v>257</v>
      </c>
      <c r="C68" s="193" t="n">
        <v>0</v>
      </c>
      <c r="D68" s="193" t="n">
        <v>249</v>
      </c>
      <c r="E68" s="193" t="n">
        <v>4</v>
      </c>
      <c r="F68" s="193" t="n">
        <v>71</v>
      </c>
      <c r="G68" s="193" t="n">
        <v>324</v>
      </c>
      <c r="H68" s="193" t="n">
        <v>28</v>
      </c>
      <c r="I68" s="193" t="n">
        <v>4</v>
      </c>
      <c r="J68" s="193" t="n">
        <v>12</v>
      </c>
      <c r="K68" s="193" t="n">
        <v>44</v>
      </c>
      <c r="L68" s="193" t="n">
        <v>44</v>
      </c>
      <c r="M68" s="193" t="n">
        <v>17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65" t="n">
        <v>0</v>
      </c>
      <c r="P69" s="178" t="n"/>
      <c r="Q69" s="178" t="n"/>
      <c r="R69" s="179" t="n"/>
      <c r="S69" s="165" t="n">
        <v>0</v>
      </c>
      <c r="T69" s="178" t="n"/>
      <c r="U69" s="178" t="n"/>
      <c r="V69" s="179" t="n"/>
      <c r="W69" s="165" t="n">
        <v>0</v>
      </c>
      <c r="X69" s="178" t="n"/>
      <c r="Y69" s="178" t="n"/>
      <c r="Z69" s="179" t="n"/>
      <c r="AA69" s="8" t="n"/>
      <c r="AB69" s="8" t="inlineStr">
        <is>
          <t>0-4</t>
        </is>
      </c>
      <c r="AC69" s="9" t="inlineStr">
        <is>
          <t>5-14</t>
        </is>
      </c>
      <c r="AD69" s="40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9" t="n">
        <v>0</v>
      </c>
      <c r="AC70" s="9" t="n">
        <v>0</v>
      </c>
      <c r="AD70" s="9" t="n"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9" t="n">
        <v>0</v>
      </c>
      <c r="AC71" s="9" t="n">
        <v>0</v>
      </c>
      <c r="AD71" s="9" t="n"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9" t="n">
        <v>0</v>
      </c>
      <c r="AC72" s="9" t="n">
        <v>0</v>
      </c>
      <c r="AD72" s="9" t="n"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67" t="n">
        <v>39</v>
      </c>
      <c r="C78" s="67" t="n">
        <v>0</v>
      </c>
      <c r="D78" s="67" t="n">
        <v>0</v>
      </c>
      <c r="E78" s="67" t="n">
        <v>0</v>
      </c>
      <c r="F78" s="67" t="n">
        <v>0</v>
      </c>
      <c r="G78" s="67" t="n">
        <v>0</v>
      </c>
      <c r="H78" s="67" t="n">
        <v>0</v>
      </c>
      <c r="I78" s="67" t="n">
        <v>0</v>
      </c>
      <c r="J78" s="67" t="n">
        <v>0</v>
      </c>
      <c r="K78" s="67" t="n">
        <v>0</v>
      </c>
      <c r="L78" s="67" t="n">
        <v>0</v>
      </c>
      <c r="M78" s="67" t="n"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67" t="n">
        <v>5</v>
      </c>
      <c r="C79" s="67" t="n">
        <v>0</v>
      </c>
      <c r="D79" s="67" t="n">
        <v>0</v>
      </c>
      <c r="E79" s="67" t="n">
        <v>0</v>
      </c>
      <c r="F79" s="67" t="n">
        <v>0</v>
      </c>
      <c r="G79" s="67" t="n">
        <v>0</v>
      </c>
      <c r="H79" s="67" t="n">
        <v>0</v>
      </c>
      <c r="I79" s="67" t="n">
        <v>0</v>
      </c>
      <c r="J79" s="67" t="n">
        <v>0</v>
      </c>
      <c r="K79" s="67" t="n">
        <v>0</v>
      </c>
      <c r="L79" s="67" t="n">
        <v>0</v>
      </c>
      <c r="M79" s="67" t="n"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67" t="n">
        <v>0</v>
      </c>
      <c r="Z79" s="67" t="n">
        <v>0</v>
      </c>
      <c r="AA79" s="67" t="n">
        <v>0</v>
      </c>
      <c r="AB79" s="67" t="n">
        <v>0</v>
      </c>
      <c r="AC79" s="67" t="n">
        <v>0</v>
      </c>
      <c r="AD79" s="67" t="n">
        <v>0</v>
      </c>
    </row>
    <row r="80" ht="24.9" customHeight="1">
      <c r="A80" s="165" t="inlineStr">
        <is>
          <t>Previously treated</t>
        </is>
      </c>
      <c r="B80" s="67" t="n">
        <v>0</v>
      </c>
      <c r="C80" s="67" t="n">
        <v>0</v>
      </c>
      <c r="D80" s="67" t="n">
        <v>0</v>
      </c>
      <c r="E80" s="67" t="n">
        <v>0</v>
      </c>
      <c r="F80" s="67" t="n">
        <v>0</v>
      </c>
      <c r="G80" s="67" t="n">
        <v>0</v>
      </c>
      <c r="H80" s="67" t="n">
        <v>0</v>
      </c>
      <c r="I80" s="67" t="n">
        <v>0</v>
      </c>
      <c r="J80" s="67" t="n">
        <v>0</v>
      </c>
      <c r="K80" s="67" t="n">
        <v>0</v>
      </c>
      <c r="L80" s="67" t="n">
        <v>0</v>
      </c>
      <c r="M80" s="67" t="n">
        <v>0</v>
      </c>
      <c r="N80" s="51" t="n"/>
      <c r="O80" s="67" t="n">
        <v>0</v>
      </c>
      <c r="P80" s="67" t="n">
        <v>0</v>
      </c>
      <c r="Q80" s="67" t="n">
        <v>0</v>
      </c>
      <c r="R80" s="67" t="n">
        <v>0</v>
      </c>
      <c r="S80" s="67" t="n">
        <v>0</v>
      </c>
      <c r="T80" s="67" t="n">
        <v>0</v>
      </c>
      <c r="U80" s="67" t="n">
        <v>0</v>
      </c>
      <c r="V80" s="67" t="n">
        <v>0</v>
      </c>
      <c r="W80" s="67" t="n">
        <v>0</v>
      </c>
      <c r="X80" s="17" t="inlineStr">
        <is>
          <t>3HR</t>
        </is>
      </c>
      <c r="Y80" s="67" t="n">
        <v>0</v>
      </c>
      <c r="Z80" s="67" t="n">
        <v>0</v>
      </c>
      <c r="AA80" s="67" t="n">
        <v>0</v>
      </c>
      <c r="AB80" s="67" t="n">
        <v>0</v>
      </c>
      <c r="AC80" s="67" t="n">
        <v>0</v>
      </c>
      <c r="AD80" s="67" t="n">
        <v>0</v>
      </c>
    </row>
    <row r="81" ht="24.9" customHeight="1">
      <c r="A81" s="67" t="inlineStr">
        <is>
          <t>Total</t>
        </is>
      </c>
      <c r="B81" s="67" t="n">
        <v>44</v>
      </c>
      <c r="C81" s="67" t="n">
        <v>0</v>
      </c>
      <c r="D81" s="67" t="n">
        <v>0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67" t="n">
        <v>0</v>
      </c>
      <c r="Z81" s="67" t="n">
        <v>0</v>
      </c>
      <c r="AA81" s="67" t="n">
        <v>0</v>
      </c>
      <c r="AB81" s="67" t="n">
        <v>0</v>
      </c>
      <c r="AC81" s="67" t="n">
        <v>0</v>
      </c>
      <c r="AD81" s="67" t="n"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 s="174" t="inlineStr">
        <is>
          <t>Consolidated</t>
        </is>
      </c>
      <c r="I83" s="136" t="inlineStr">
        <is>
          <t xml:space="preserve">District : </t>
        </is>
      </c>
      <c r="K83" s="137" t="n">
        <v>0</v>
      </c>
      <c r="M83" s="136" t="inlineStr">
        <is>
          <t>Central :</t>
        </is>
      </c>
      <c r="O83" s="138" t="inlineStr">
        <is>
          <t>SINDH</t>
        </is>
      </c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98" t="inlineStr">
        <is>
          <t>of Year 2026</t>
        </is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67" t="n">
        <v>0</v>
      </c>
      <c r="M90" s="45" t="n"/>
      <c r="N90" s="67" t="n">
        <v>0</v>
      </c>
      <c r="O90" s="45" t="n"/>
      <c r="P90" s="67" t="n">
        <v>0</v>
      </c>
      <c r="Q90" s="33" t="n"/>
      <c r="R90" s="45" t="n"/>
      <c r="S90" s="67" t="n">
        <v>0</v>
      </c>
      <c r="T90" s="33" t="n"/>
      <c r="U90" s="45" t="n"/>
      <c r="V90" s="67" t="n">
        <v>0</v>
      </c>
      <c r="W90" s="33" t="n"/>
      <c r="X90" s="45" t="n"/>
      <c r="Y90" s="67" t="n">
        <v>0</v>
      </c>
      <c r="Z90" s="45" t="n"/>
      <c r="AA90" s="67" t="n">
        <v>0</v>
      </c>
      <c r="AB90" s="45" t="n"/>
      <c r="AC90" s="67" t="n"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67" t="n">
        <v>0</v>
      </c>
      <c r="M91" s="45" t="n"/>
      <c r="N91" s="67" t="n">
        <v>0</v>
      </c>
      <c r="O91" s="45" t="n"/>
      <c r="P91" s="67" t="n">
        <v>0</v>
      </c>
      <c r="Q91" s="33" t="n"/>
      <c r="R91" s="45" t="n"/>
      <c r="S91" s="67" t="n">
        <v>0</v>
      </c>
      <c r="T91" s="33" t="n"/>
      <c r="U91" s="45" t="n"/>
      <c r="V91" s="67" t="n">
        <v>0</v>
      </c>
      <c r="W91" s="33" t="n"/>
      <c r="X91" s="45" t="n"/>
      <c r="Y91" s="67" t="n">
        <v>0</v>
      </c>
      <c r="Z91" s="45" t="n"/>
      <c r="AA91" s="67" t="n">
        <v>0</v>
      </c>
      <c r="AB91" s="45" t="n"/>
      <c r="AC91" s="67" t="n"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67" t="n">
        <v>0</v>
      </c>
      <c r="M92" s="45" t="n"/>
      <c r="N92" s="67" t="n">
        <v>0</v>
      </c>
      <c r="O92" s="45" t="n"/>
      <c r="P92" s="67" t="n">
        <v>0</v>
      </c>
      <c r="Q92" s="33" t="n"/>
      <c r="R92" s="45" t="n"/>
      <c r="S92" s="67" t="n">
        <v>0</v>
      </c>
      <c r="T92" s="33" t="n"/>
      <c r="U92" s="45" t="n"/>
      <c r="V92" s="67" t="n">
        <v>0</v>
      </c>
      <c r="W92" s="33" t="n"/>
      <c r="X92" s="45" t="n"/>
      <c r="Y92" s="67" t="n">
        <v>0</v>
      </c>
      <c r="Z92" s="45" t="n"/>
      <c r="AA92" s="67" t="n">
        <v>0</v>
      </c>
      <c r="AB92" s="45" t="n"/>
      <c r="AC92" s="67" t="n"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67" t="n">
        <v>0</v>
      </c>
      <c r="M93" s="45" t="n"/>
      <c r="N93" s="67" t="n">
        <v>0</v>
      </c>
      <c r="O93" s="45" t="n"/>
      <c r="P93" s="67" t="n">
        <v>0</v>
      </c>
      <c r="Q93" s="33" t="n"/>
      <c r="R93" s="45" t="n"/>
      <c r="S93" s="67" t="n">
        <v>0</v>
      </c>
      <c r="T93" s="33" t="n"/>
      <c r="U93" s="45" t="n"/>
      <c r="V93" s="67" t="n">
        <v>0</v>
      </c>
      <c r="W93" s="33" t="n"/>
      <c r="X93" s="45" t="n"/>
      <c r="Y93" s="67" t="n">
        <v>0</v>
      </c>
      <c r="Z93" s="45" t="n"/>
      <c r="AA93" s="67" t="n">
        <v>0</v>
      </c>
      <c r="AB93" s="45" t="n"/>
      <c r="AC93" s="67" t="n"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67" t="n">
        <v>0</v>
      </c>
      <c r="M94" s="45" t="n"/>
      <c r="N94" s="67" t="n">
        <v>0</v>
      </c>
      <c r="O94" s="45" t="n"/>
      <c r="P94" s="67" t="n">
        <v>0</v>
      </c>
      <c r="Q94" s="33" t="n"/>
      <c r="R94" s="45" t="n"/>
      <c r="S94" s="67" t="n">
        <v>0</v>
      </c>
      <c r="T94" s="33" t="n"/>
      <c r="U94" s="45" t="n"/>
      <c r="V94" s="67" t="n">
        <v>0</v>
      </c>
      <c r="W94" s="33" t="n"/>
      <c r="X94" s="45" t="n"/>
      <c r="Y94" s="67" t="n">
        <v>0</v>
      </c>
      <c r="Z94" s="45" t="n"/>
      <c r="AA94" s="67" t="n">
        <v>0</v>
      </c>
      <c r="AB94" s="45" t="n"/>
      <c r="AC94" s="67" t="n"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0</v>
      </c>
      <c r="Q98" s="67" t="n">
        <v>0</v>
      </c>
      <c r="R98" s="67" t="n">
        <v>0</v>
      </c>
      <c r="S98" s="67" t="n">
        <v>0</v>
      </c>
      <c r="T98" s="67" t="n">
        <v>0</v>
      </c>
      <c r="U98" s="67" t="n">
        <v>0</v>
      </c>
      <c r="V98" s="67" t="n">
        <v>0</v>
      </c>
      <c r="W98" s="67" t="n">
        <v>0</v>
      </c>
      <c r="X98" s="67" t="n">
        <v>0</v>
      </c>
      <c r="Y98" s="67" t="n">
        <v>0</v>
      </c>
      <c r="Z98" s="67" t="n">
        <v>0</v>
      </c>
      <c r="AA98" s="67" t="n">
        <v>0</v>
      </c>
      <c r="AB98" s="67" t="n">
        <v>0</v>
      </c>
      <c r="AC98" s="67" t="n">
        <v>0</v>
      </c>
      <c r="AD98" s="67" t="n"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0</v>
      </c>
      <c r="Q99" s="67" t="n">
        <v>0</v>
      </c>
      <c r="R99" s="67" t="n">
        <v>0</v>
      </c>
      <c r="S99" s="67" t="n">
        <v>0</v>
      </c>
      <c r="T99" s="67" t="n">
        <v>0</v>
      </c>
      <c r="U99" s="67" t="n">
        <v>0</v>
      </c>
      <c r="V99" s="67" t="n">
        <v>0</v>
      </c>
      <c r="W99" s="67" t="n">
        <v>0</v>
      </c>
      <c r="X99" s="67" t="n">
        <v>0</v>
      </c>
      <c r="Y99" s="67" t="n">
        <v>0</v>
      </c>
      <c r="Z99" s="67" t="n">
        <v>0</v>
      </c>
      <c r="AA99" s="67" t="n">
        <v>0</v>
      </c>
      <c r="AB99" s="67" t="n">
        <v>0</v>
      </c>
      <c r="AC99" s="67" t="n">
        <v>0</v>
      </c>
      <c r="AD99" s="67" t="n"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67" t="n">
        <v>0</v>
      </c>
      <c r="M100" s="67" t="n">
        <v>0</v>
      </c>
      <c r="N100" s="67" t="n">
        <v>0</v>
      </c>
      <c r="O100" s="67" t="n">
        <v>0</v>
      </c>
      <c r="P100" s="67" t="n">
        <v>0</v>
      </c>
      <c r="Q100" s="67" t="n">
        <v>0</v>
      </c>
      <c r="R100" s="67" t="n">
        <v>0</v>
      </c>
      <c r="S100" s="67" t="n">
        <v>0</v>
      </c>
      <c r="T100" s="67" t="n">
        <v>0</v>
      </c>
      <c r="U100" s="67" t="n">
        <v>0</v>
      </c>
      <c r="V100" s="67" t="n">
        <v>0</v>
      </c>
      <c r="W100" s="67" t="n">
        <v>0</v>
      </c>
      <c r="X100" s="67" t="n">
        <v>0</v>
      </c>
      <c r="Y100" s="67" t="n">
        <v>0</v>
      </c>
      <c r="Z100" s="67" t="n">
        <v>0</v>
      </c>
      <c r="AA100" s="67" t="n">
        <v>0</v>
      </c>
      <c r="AB100" s="67" t="n">
        <v>0</v>
      </c>
      <c r="AC100" s="67" t="n">
        <v>0</v>
      </c>
      <c r="AD100" s="67" t="n"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67" t="n">
        <v>0</v>
      </c>
      <c r="M101" s="67" t="n">
        <v>0</v>
      </c>
      <c r="N101" s="67" t="n">
        <v>0</v>
      </c>
      <c r="O101" s="67" t="n">
        <v>0</v>
      </c>
      <c r="P101" s="67" t="n">
        <v>0</v>
      </c>
      <c r="Q101" s="67" t="n">
        <v>0</v>
      </c>
      <c r="R101" s="67" t="n">
        <v>0</v>
      </c>
      <c r="S101" s="67" t="n">
        <v>0</v>
      </c>
      <c r="T101" s="67" t="n">
        <v>0</v>
      </c>
      <c r="U101" s="67" t="n">
        <v>0</v>
      </c>
      <c r="V101" s="67" t="n">
        <v>0</v>
      </c>
      <c r="W101" s="67" t="n">
        <v>0</v>
      </c>
      <c r="X101" s="67" t="n">
        <v>0</v>
      </c>
      <c r="Y101" s="67" t="n">
        <v>0</v>
      </c>
      <c r="Z101" s="67" t="n">
        <v>0</v>
      </c>
      <c r="AA101" s="67" t="n">
        <v>0</v>
      </c>
      <c r="AB101" s="67" t="n">
        <v>0</v>
      </c>
      <c r="AC101" s="67" t="n">
        <v>0</v>
      </c>
      <c r="AD101" s="67" t="n"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67" t="n">
        <v>0</v>
      </c>
      <c r="M102" s="67" t="n">
        <v>0</v>
      </c>
      <c r="N102" s="67" t="n">
        <v>0</v>
      </c>
      <c r="O102" s="67" t="n">
        <v>0</v>
      </c>
      <c r="P102" s="67" t="n">
        <v>0</v>
      </c>
      <c r="Q102" s="67" t="n">
        <v>0</v>
      </c>
      <c r="R102" s="67" t="n">
        <v>0</v>
      </c>
      <c r="S102" s="67" t="n">
        <v>0</v>
      </c>
      <c r="T102" s="67" t="n">
        <v>0</v>
      </c>
      <c r="U102" s="67" t="n">
        <v>0</v>
      </c>
      <c r="V102" s="67" t="n">
        <v>0</v>
      </c>
      <c r="W102" s="67" t="n">
        <v>0</v>
      </c>
      <c r="X102" s="67" t="n">
        <v>0</v>
      </c>
      <c r="Y102" s="67" t="n">
        <v>0</v>
      </c>
      <c r="Z102" s="67" t="n">
        <v>0</v>
      </c>
      <c r="AA102" s="67" t="n">
        <v>0</v>
      </c>
      <c r="AB102" s="67" t="n">
        <v>0</v>
      </c>
      <c r="AC102" s="67" t="n">
        <v>0</v>
      </c>
      <c r="AD102" s="67" t="n"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93" t="n">
        <v>0</v>
      </c>
      <c r="P106" s="33" t="n"/>
      <c r="Q106" s="33" t="n"/>
      <c r="R106" s="33" t="n"/>
      <c r="S106" s="93" t="n">
        <v>0</v>
      </c>
      <c r="T106" s="33" t="n"/>
      <c r="U106" s="33" t="n"/>
      <c r="V106" s="33" t="n"/>
      <c r="W106" s="93" t="n">
        <v>0</v>
      </c>
      <c r="X106" s="33" t="n"/>
      <c r="Y106" s="33" t="n"/>
      <c r="Z106" s="33" t="n"/>
      <c r="AA106" s="93" t="n">
        <v>0</v>
      </c>
      <c r="AB106" s="33" t="n"/>
      <c r="AC106" s="33" t="n"/>
      <c r="AD106" s="33" t="n"/>
    </row>
    <row r="107" ht="38.25" customHeight="1">
      <c r="A107" s="165" t="n">
        <v>0</v>
      </c>
      <c r="B107" s="165" t="n">
        <v>0</v>
      </c>
      <c r="C107" s="165" t="n">
        <v>0</v>
      </c>
      <c r="D107" s="165" t="n">
        <v>0</v>
      </c>
      <c r="E107" s="165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65" t="n">
        <v>0</v>
      </c>
      <c r="P108" s="178" t="n"/>
      <c r="Q108" s="178" t="n"/>
      <c r="R108" s="179" t="n"/>
      <c r="S108" s="165" t="n">
        <v>0</v>
      </c>
      <c r="T108" s="178" t="n"/>
      <c r="U108" s="178" t="n"/>
      <c r="V108" s="179" t="n"/>
      <c r="W108" s="165" t="n">
        <v>0</v>
      </c>
      <c r="X108" s="178" t="n"/>
      <c r="Y108" s="178" t="n"/>
      <c r="Z108" s="179" t="n"/>
      <c r="AA108" s="8" t="n"/>
      <c r="AB108" s="8" t="inlineStr">
        <is>
          <t>0-4</t>
        </is>
      </c>
      <c r="AC108" s="9" t="inlineStr">
        <is>
          <t>5-14</t>
        </is>
      </c>
      <c r="AD108" s="40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9" t="n">
        <v>0</v>
      </c>
      <c r="AC109" s="9" t="n">
        <v>0</v>
      </c>
      <c r="AD109" s="9" t="n"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9" t="n">
        <v>0</v>
      </c>
      <c r="AC110" s="9" t="n">
        <v>0</v>
      </c>
      <c r="AD110" s="9" t="n"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9" t="n">
        <v>0</v>
      </c>
      <c r="AC111" s="9" t="n">
        <v>0</v>
      </c>
      <c r="AD111" s="9" t="n"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67" t="n">
        <v>0</v>
      </c>
      <c r="C117" s="67" t="n">
        <v>0</v>
      </c>
      <c r="D117" s="67" t="n">
        <v>0</v>
      </c>
      <c r="E117" s="67" t="n">
        <v>0</v>
      </c>
      <c r="F117" s="67" t="n">
        <v>0</v>
      </c>
      <c r="G117" s="67" t="n">
        <v>0</v>
      </c>
      <c r="H117" s="67" t="n">
        <v>0</v>
      </c>
      <c r="I117" s="67" t="n">
        <v>0</v>
      </c>
      <c r="J117" s="67" t="n">
        <v>0</v>
      </c>
      <c r="K117" s="67" t="n">
        <v>0</v>
      </c>
      <c r="L117" s="67" t="n">
        <v>0</v>
      </c>
      <c r="M117" s="67" t="n"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67" t="n">
        <v>0</v>
      </c>
      <c r="C118" s="67" t="n">
        <v>0</v>
      </c>
      <c r="D118" s="67" t="n">
        <v>0</v>
      </c>
      <c r="E118" s="67" t="n">
        <v>0</v>
      </c>
      <c r="F118" s="67" t="n">
        <v>0</v>
      </c>
      <c r="G118" s="67" t="n">
        <v>0</v>
      </c>
      <c r="H118" s="67" t="n">
        <v>0</v>
      </c>
      <c r="I118" s="67" t="n">
        <v>0</v>
      </c>
      <c r="J118" s="67" t="n">
        <v>0</v>
      </c>
      <c r="K118" s="67" t="n">
        <v>0</v>
      </c>
      <c r="L118" s="67" t="n">
        <v>0</v>
      </c>
      <c r="M118" s="67" t="n"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67" t="n">
        <v>0</v>
      </c>
      <c r="Z118" s="67" t="n">
        <v>0</v>
      </c>
      <c r="AA118" s="67" t="n">
        <v>0</v>
      </c>
      <c r="AB118" s="67" t="n">
        <v>0</v>
      </c>
      <c r="AC118" s="67" t="n">
        <v>0</v>
      </c>
      <c r="AD118" s="67" t="n">
        <v>0</v>
      </c>
    </row>
    <row r="119" ht="24.9" customHeight="1">
      <c r="A119" s="165" t="inlineStr">
        <is>
          <t>Previously treated</t>
        </is>
      </c>
      <c r="B119" s="67" t="n">
        <v>0</v>
      </c>
      <c r="C119" s="67" t="n">
        <v>0</v>
      </c>
      <c r="D119" s="67" t="n">
        <v>0</v>
      </c>
      <c r="E119" s="67" t="n">
        <v>0</v>
      </c>
      <c r="F119" s="67" t="n">
        <v>0</v>
      </c>
      <c r="G119" s="67" t="n">
        <v>0</v>
      </c>
      <c r="H119" s="67" t="n">
        <v>0</v>
      </c>
      <c r="I119" s="67" t="n">
        <v>0</v>
      </c>
      <c r="J119" s="67" t="n">
        <v>0</v>
      </c>
      <c r="K119" s="67" t="n">
        <v>0</v>
      </c>
      <c r="L119" s="67" t="n">
        <v>0</v>
      </c>
      <c r="M119" s="67" t="n">
        <v>0</v>
      </c>
      <c r="N119" s="51" t="n"/>
      <c r="O119" s="67" t="n">
        <v>0</v>
      </c>
      <c r="P119" s="67" t="n">
        <v>0</v>
      </c>
      <c r="Q119" s="67" t="n">
        <v>0</v>
      </c>
      <c r="R119" s="67" t="n">
        <v>0</v>
      </c>
      <c r="S119" s="67" t="n">
        <v>0</v>
      </c>
      <c r="T119" s="67" t="n">
        <v>0</v>
      </c>
      <c r="U119" s="67" t="n">
        <v>0</v>
      </c>
      <c r="V119" s="67" t="n">
        <v>0</v>
      </c>
      <c r="W119" s="67" t="n">
        <v>0</v>
      </c>
      <c r="X119" s="17" t="inlineStr">
        <is>
          <t>3HR</t>
        </is>
      </c>
      <c r="Y119" s="67" t="n">
        <v>0</v>
      </c>
      <c r="Z119" s="67" t="n">
        <v>0</v>
      </c>
      <c r="AA119" s="67" t="n">
        <v>0</v>
      </c>
      <c r="AB119" s="67" t="n">
        <v>0</v>
      </c>
      <c r="AC119" s="67" t="n">
        <v>0</v>
      </c>
      <c r="AD119" s="67" t="n">
        <v>0</v>
      </c>
    </row>
    <row r="120" ht="24.9" customHeight="1">
      <c r="A120" s="67" t="inlineStr">
        <is>
          <t>Total</t>
        </is>
      </c>
      <c r="B120" s="67" t="n">
        <v>0</v>
      </c>
      <c r="C120" s="67" t="n">
        <v>0</v>
      </c>
      <c r="D120" s="67" t="n">
        <v>0</v>
      </c>
      <c r="E120" s="67" t="n">
        <v>0</v>
      </c>
      <c r="F120" s="67" t="n">
        <v>0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</v>
      </c>
      <c r="M120" s="67" t="n"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67" t="n">
        <v>0</v>
      </c>
      <c r="Z120" s="67" t="n">
        <v>0</v>
      </c>
      <c r="AA120" s="67" t="n">
        <v>0</v>
      </c>
      <c r="AB120" s="67" t="n">
        <v>0</v>
      </c>
      <c r="AC120" s="67" t="n">
        <v>0</v>
      </c>
      <c r="AD120" s="67" t="n"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 s="174" t="inlineStr">
        <is>
          <t>Consolidated</t>
        </is>
      </c>
      <c r="I122" s="136" t="inlineStr">
        <is>
          <t xml:space="preserve">District : </t>
        </is>
      </c>
      <c r="K122" s="137" t="n">
        <v>0</v>
      </c>
      <c r="M122" s="136" t="inlineStr">
        <is>
          <t>Central :</t>
        </is>
      </c>
      <c r="O122" s="138" t="inlineStr">
        <is>
          <t>SINDH</t>
        </is>
      </c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98" t="inlineStr">
        <is>
          <t>of Year 2026</t>
        </is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67" t="n">
        <v>0</v>
      </c>
      <c r="M129" s="45" t="n"/>
      <c r="N129" s="67" t="n">
        <v>0</v>
      </c>
      <c r="O129" s="45" t="n"/>
      <c r="P129" s="67" t="n">
        <v>0</v>
      </c>
      <c r="Q129" s="33" t="n"/>
      <c r="R129" s="45" t="n"/>
      <c r="S129" s="67" t="n">
        <v>0</v>
      </c>
      <c r="T129" s="33" t="n"/>
      <c r="U129" s="45" t="n"/>
      <c r="V129" s="67" t="n">
        <v>0</v>
      </c>
      <c r="W129" s="33" t="n"/>
      <c r="X129" s="45" t="n"/>
      <c r="Y129" s="67" t="n">
        <v>0</v>
      </c>
      <c r="Z129" s="45" t="n"/>
      <c r="AA129" s="67" t="n">
        <v>0</v>
      </c>
      <c r="AB129" s="45" t="n"/>
      <c r="AC129" s="67" t="n"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67" t="n">
        <v>0</v>
      </c>
      <c r="M130" s="45" t="n"/>
      <c r="N130" s="67" t="n">
        <v>0</v>
      </c>
      <c r="O130" s="45" t="n"/>
      <c r="P130" s="67" t="n">
        <v>0</v>
      </c>
      <c r="Q130" s="33" t="n"/>
      <c r="R130" s="45" t="n"/>
      <c r="S130" s="67" t="n">
        <v>0</v>
      </c>
      <c r="T130" s="33" t="n"/>
      <c r="U130" s="45" t="n"/>
      <c r="V130" s="67" t="n">
        <v>0</v>
      </c>
      <c r="W130" s="33" t="n"/>
      <c r="X130" s="45" t="n"/>
      <c r="Y130" s="67" t="n">
        <v>0</v>
      </c>
      <c r="Z130" s="45" t="n"/>
      <c r="AA130" s="67" t="n">
        <v>0</v>
      </c>
      <c r="AB130" s="45" t="n"/>
      <c r="AC130" s="67" t="n"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67" t="n">
        <v>0</v>
      </c>
      <c r="M131" s="45" t="n"/>
      <c r="N131" s="67" t="n">
        <v>0</v>
      </c>
      <c r="O131" s="45" t="n"/>
      <c r="P131" s="67" t="n">
        <v>0</v>
      </c>
      <c r="Q131" s="33" t="n"/>
      <c r="R131" s="45" t="n"/>
      <c r="S131" s="67" t="n">
        <v>0</v>
      </c>
      <c r="T131" s="33" t="n"/>
      <c r="U131" s="45" t="n"/>
      <c r="V131" s="67" t="n">
        <v>0</v>
      </c>
      <c r="W131" s="33" t="n"/>
      <c r="X131" s="45" t="n"/>
      <c r="Y131" s="67" t="n">
        <v>0</v>
      </c>
      <c r="Z131" s="45" t="n"/>
      <c r="AA131" s="67" t="n">
        <v>0</v>
      </c>
      <c r="AB131" s="45" t="n"/>
      <c r="AC131" s="67" t="n"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67" t="n">
        <v>0</v>
      </c>
      <c r="M132" s="45" t="n"/>
      <c r="N132" s="67" t="n">
        <v>0</v>
      </c>
      <c r="O132" s="45" t="n"/>
      <c r="P132" s="67" t="n">
        <v>0</v>
      </c>
      <c r="Q132" s="33" t="n"/>
      <c r="R132" s="45" t="n"/>
      <c r="S132" s="67" t="n">
        <v>0</v>
      </c>
      <c r="T132" s="33" t="n"/>
      <c r="U132" s="45" t="n"/>
      <c r="V132" s="67" t="n">
        <v>0</v>
      </c>
      <c r="W132" s="33" t="n"/>
      <c r="X132" s="45" t="n"/>
      <c r="Y132" s="67" t="n">
        <v>0</v>
      </c>
      <c r="Z132" s="45" t="n"/>
      <c r="AA132" s="67" t="n">
        <v>0</v>
      </c>
      <c r="AB132" s="45" t="n"/>
      <c r="AC132" s="67" t="n"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67" t="n">
        <v>0</v>
      </c>
      <c r="M133" s="45" t="n"/>
      <c r="N133" s="67" t="n">
        <v>0</v>
      </c>
      <c r="O133" s="45" t="n"/>
      <c r="P133" s="67" t="n">
        <v>0</v>
      </c>
      <c r="Q133" s="33" t="n"/>
      <c r="R133" s="45" t="n"/>
      <c r="S133" s="67" t="n">
        <v>0</v>
      </c>
      <c r="T133" s="33" t="n"/>
      <c r="U133" s="45" t="n"/>
      <c r="V133" s="67" t="n">
        <v>0</v>
      </c>
      <c r="W133" s="33" t="n"/>
      <c r="X133" s="45" t="n"/>
      <c r="Y133" s="67" t="n">
        <v>0</v>
      </c>
      <c r="Z133" s="45" t="n"/>
      <c r="AA133" s="67" t="n">
        <v>0</v>
      </c>
      <c r="AB133" s="45" t="n"/>
      <c r="AC133" s="67" t="n"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67" t="n">
        <v>0</v>
      </c>
      <c r="M137" s="67" t="n">
        <v>0</v>
      </c>
      <c r="N137" s="67" t="n">
        <v>0</v>
      </c>
      <c r="O137" s="67" t="n">
        <v>0</v>
      </c>
      <c r="P137" s="67" t="n">
        <v>0</v>
      </c>
      <c r="Q137" s="67" t="n">
        <v>0</v>
      </c>
      <c r="R137" s="67" t="n">
        <v>0</v>
      </c>
      <c r="S137" s="67" t="n">
        <v>0</v>
      </c>
      <c r="T137" s="67" t="n">
        <v>0</v>
      </c>
      <c r="U137" s="67" t="n">
        <v>0</v>
      </c>
      <c r="V137" s="67" t="n">
        <v>0</v>
      </c>
      <c r="W137" s="67" t="n">
        <v>0</v>
      </c>
      <c r="X137" s="67" t="n">
        <v>0</v>
      </c>
      <c r="Y137" s="67" t="n">
        <v>0</v>
      </c>
      <c r="Z137" s="67" t="n">
        <v>0</v>
      </c>
      <c r="AA137" s="67" t="n">
        <v>0</v>
      </c>
      <c r="AB137" s="67" t="n">
        <v>0</v>
      </c>
      <c r="AC137" s="67" t="n">
        <v>0</v>
      </c>
      <c r="AD137" s="67" t="n"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67" t="n">
        <v>0</v>
      </c>
      <c r="M138" s="67" t="n">
        <v>0</v>
      </c>
      <c r="N138" s="67" t="n">
        <v>0</v>
      </c>
      <c r="O138" s="67" t="n">
        <v>0</v>
      </c>
      <c r="P138" s="67" t="n">
        <v>0</v>
      </c>
      <c r="Q138" s="67" t="n">
        <v>0</v>
      </c>
      <c r="R138" s="67" t="n">
        <v>0</v>
      </c>
      <c r="S138" s="67" t="n">
        <v>0</v>
      </c>
      <c r="T138" s="67" t="n">
        <v>0</v>
      </c>
      <c r="U138" s="67" t="n">
        <v>0</v>
      </c>
      <c r="V138" s="67" t="n">
        <v>0</v>
      </c>
      <c r="W138" s="67" t="n">
        <v>0</v>
      </c>
      <c r="X138" s="67" t="n">
        <v>0</v>
      </c>
      <c r="Y138" s="67" t="n">
        <v>0</v>
      </c>
      <c r="Z138" s="67" t="n">
        <v>0</v>
      </c>
      <c r="AA138" s="67" t="n">
        <v>0</v>
      </c>
      <c r="AB138" s="67" t="n">
        <v>0</v>
      </c>
      <c r="AC138" s="67" t="n">
        <v>0</v>
      </c>
      <c r="AD138" s="67" t="n"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67" t="n">
        <v>0</v>
      </c>
      <c r="M139" s="67" t="n">
        <v>0</v>
      </c>
      <c r="N139" s="67" t="n">
        <v>0</v>
      </c>
      <c r="O139" s="67" t="n">
        <v>0</v>
      </c>
      <c r="P139" s="67" t="n">
        <v>0</v>
      </c>
      <c r="Q139" s="67" t="n">
        <v>0</v>
      </c>
      <c r="R139" s="67" t="n">
        <v>0</v>
      </c>
      <c r="S139" s="67" t="n">
        <v>0</v>
      </c>
      <c r="T139" s="67" t="n">
        <v>0</v>
      </c>
      <c r="U139" s="67" t="n">
        <v>0</v>
      </c>
      <c r="V139" s="67" t="n">
        <v>0</v>
      </c>
      <c r="W139" s="67" t="n">
        <v>0</v>
      </c>
      <c r="X139" s="67" t="n">
        <v>0</v>
      </c>
      <c r="Y139" s="67" t="n">
        <v>0</v>
      </c>
      <c r="Z139" s="67" t="n">
        <v>0</v>
      </c>
      <c r="AA139" s="67" t="n">
        <v>0</v>
      </c>
      <c r="AB139" s="67" t="n">
        <v>0</v>
      </c>
      <c r="AC139" s="67" t="n">
        <v>0</v>
      </c>
      <c r="AD139" s="67" t="n"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67" t="n">
        <v>0</v>
      </c>
      <c r="M140" s="67" t="n">
        <v>0</v>
      </c>
      <c r="N140" s="67" t="n">
        <v>0</v>
      </c>
      <c r="O140" s="67" t="n">
        <v>0</v>
      </c>
      <c r="P140" s="67" t="n">
        <v>0</v>
      </c>
      <c r="Q140" s="67" t="n">
        <v>0</v>
      </c>
      <c r="R140" s="67" t="n">
        <v>0</v>
      </c>
      <c r="S140" s="67" t="n">
        <v>0</v>
      </c>
      <c r="T140" s="67" t="n">
        <v>0</v>
      </c>
      <c r="U140" s="67" t="n">
        <v>0</v>
      </c>
      <c r="V140" s="67" t="n">
        <v>0</v>
      </c>
      <c r="W140" s="67" t="n">
        <v>0</v>
      </c>
      <c r="X140" s="67" t="n">
        <v>0</v>
      </c>
      <c r="Y140" s="67" t="n">
        <v>0</v>
      </c>
      <c r="Z140" s="67" t="n">
        <v>0</v>
      </c>
      <c r="AA140" s="67" t="n">
        <v>0</v>
      </c>
      <c r="AB140" s="67" t="n">
        <v>0</v>
      </c>
      <c r="AC140" s="67" t="n">
        <v>0</v>
      </c>
      <c r="AD140" s="67" t="n"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0</v>
      </c>
      <c r="Q141" s="67" t="n">
        <v>0</v>
      </c>
      <c r="R141" s="67" t="n">
        <v>0</v>
      </c>
      <c r="S141" s="67" t="n">
        <v>0</v>
      </c>
      <c r="T141" s="67" t="n">
        <v>0</v>
      </c>
      <c r="U141" s="67" t="n">
        <v>0</v>
      </c>
      <c r="V141" s="67" t="n">
        <v>0</v>
      </c>
      <c r="W141" s="67" t="n">
        <v>0</v>
      </c>
      <c r="X141" s="67" t="n">
        <v>0</v>
      </c>
      <c r="Y141" s="67" t="n">
        <v>0</v>
      </c>
      <c r="Z141" s="67" t="n">
        <v>0</v>
      </c>
      <c r="AA141" s="67" t="n">
        <v>0</v>
      </c>
      <c r="AB141" s="67" t="n">
        <v>0</v>
      </c>
      <c r="AC141" s="67" t="n">
        <v>0</v>
      </c>
      <c r="AD141" s="67" t="n"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93" t="n">
        <v>0</v>
      </c>
      <c r="P145" s="33" t="n"/>
      <c r="Q145" s="33" t="n"/>
      <c r="R145" s="33" t="n"/>
      <c r="S145" s="93" t="n">
        <v>0</v>
      </c>
      <c r="T145" s="33" t="n"/>
      <c r="U145" s="33" t="n"/>
      <c r="V145" s="33" t="n"/>
      <c r="W145" s="93" t="n">
        <v>0</v>
      </c>
      <c r="X145" s="33" t="n"/>
      <c r="Y145" s="33" t="n"/>
      <c r="Z145" s="33" t="n"/>
      <c r="AA145" s="93" t="n">
        <v>0</v>
      </c>
      <c r="AB145" s="33" t="n"/>
      <c r="AC145" s="33" t="n"/>
      <c r="AD145" s="33" t="n"/>
    </row>
    <row r="146" ht="38.25" customHeight="1">
      <c r="A146" s="165" t="n">
        <v>0</v>
      </c>
      <c r="B146" s="165" t="n">
        <v>0</v>
      </c>
      <c r="C146" s="165" t="n">
        <v>0</v>
      </c>
      <c r="D146" s="165" t="n">
        <v>0</v>
      </c>
      <c r="E146" s="165" t="n">
        <v>0</v>
      </c>
      <c r="F146" s="165" t="n">
        <v>0</v>
      </c>
      <c r="G146" s="165" t="n">
        <v>0</v>
      </c>
      <c r="H146" s="165" t="n">
        <v>0</v>
      </c>
      <c r="I146" s="165" t="n">
        <v>0</v>
      </c>
      <c r="J146" s="165" t="n">
        <v>0</v>
      </c>
      <c r="K146" s="165" t="n">
        <v>0</v>
      </c>
      <c r="L146" s="165" t="n">
        <v>0</v>
      </c>
      <c r="M146" s="165" t="n"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65" t="n">
        <v>0</v>
      </c>
      <c r="P147" s="178" t="n"/>
      <c r="Q147" s="178" t="n"/>
      <c r="R147" s="179" t="n"/>
      <c r="S147" s="165" t="n">
        <v>0</v>
      </c>
      <c r="T147" s="178" t="n"/>
      <c r="U147" s="178" t="n"/>
      <c r="V147" s="179" t="n"/>
      <c r="W147" s="165" t="n">
        <v>0</v>
      </c>
      <c r="X147" s="178" t="n"/>
      <c r="Y147" s="178" t="n"/>
      <c r="Z147" s="179" t="n"/>
      <c r="AA147" s="8" t="n"/>
      <c r="AB147" s="8" t="inlineStr">
        <is>
          <t>0-4</t>
        </is>
      </c>
      <c r="AC147" s="9" t="inlineStr">
        <is>
          <t>5-14</t>
        </is>
      </c>
      <c r="AD147" s="40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9" t="n">
        <v>0</v>
      </c>
      <c r="AC148" s="9" t="n">
        <v>0</v>
      </c>
      <c r="AD148" s="9" t="n"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9" t="n">
        <v>0</v>
      </c>
      <c r="AC149" s="9" t="n">
        <v>0</v>
      </c>
      <c r="AD149" s="9" t="n"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9" t="n">
        <v>0</v>
      </c>
      <c r="AC150" s="9" t="n">
        <v>0</v>
      </c>
      <c r="AD150" s="9" t="n"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4.2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67" t="n">
        <v>0</v>
      </c>
      <c r="C156" s="67" t="n">
        <v>0</v>
      </c>
      <c r="D156" s="67" t="n">
        <v>0</v>
      </c>
      <c r="E156" s="67" t="n">
        <v>0</v>
      </c>
      <c r="F156" s="67" t="n">
        <v>0</v>
      </c>
      <c r="G156" s="67" t="n">
        <v>0</v>
      </c>
      <c r="H156" s="67" t="n">
        <v>0</v>
      </c>
      <c r="I156" s="67" t="n">
        <v>0</v>
      </c>
      <c r="J156" s="67" t="n">
        <v>0</v>
      </c>
      <c r="K156" s="67" t="n">
        <v>0</v>
      </c>
      <c r="L156" s="67" t="n">
        <v>0</v>
      </c>
      <c r="M156" s="67" t="n"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67" t="n">
        <v>0</v>
      </c>
      <c r="C157" s="67" t="n">
        <v>0</v>
      </c>
      <c r="D157" s="67" t="n">
        <v>0</v>
      </c>
      <c r="E157" s="67" t="n">
        <v>0</v>
      </c>
      <c r="F157" s="67" t="n">
        <v>0</v>
      </c>
      <c r="G157" s="67" t="n">
        <v>0</v>
      </c>
      <c r="H157" s="67" t="n">
        <v>0</v>
      </c>
      <c r="I157" s="67" t="n">
        <v>0</v>
      </c>
      <c r="J157" s="67" t="n">
        <v>0</v>
      </c>
      <c r="K157" s="67" t="n">
        <v>0</v>
      </c>
      <c r="L157" s="67" t="n">
        <v>0</v>
      </c>
      <c r="M157" s="67" t="n"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67" t="n">
        <v>0</v>
      </c>
      <c r="Z157" s="67" t="n">
        <v>0</v>
      </c>
      <c r="AA157" s="67" t="n">
        <v>0</v>
      </c>
      <c r="AB157" s="67" t="n">
        <v>0</v>
      </c>
      <c r="AC157" s="67" t="n">
        <v>0</v>
      </c>
      <c r="AD157" s="67" t="n">
        <v>0</v>
      </c>
    </row>
    <row r="158" ht="24.9" customHeight="1">
      <c r="A158" s="165" t="inlineStr">
        <is>
          <t>Previously treated</t>
        </is>
      </c>
      <c r="B158" s="67" t="n">
        <v>0</v>
      </c>
      <c r="C158" s="67" t="n">
        <v>0</v>
      </c>
      <c r="D158" s="67" t="n">
        <v>0</v>
      </c>
      <c r="E158" s="67" t="n">
        <v>0</v>
      </c>
      <c r="F158" s="67" t="n">
        <v>0</v>
      </c>
      <c r="G158" s="67" t="n">
        <v>0</v>
      </c>
      <c r="H158" s="67" t="n">
        <v>0</v>
      </c>
      <c r="I158" s="67" t="n">
        <v>0</v>
      </c>
      <c r="J158" s="67" t="n">
        <v>0</v>
      </c>
      <c r="K158" s="67" t="n">
        <v>0</v>
      </c>
      <c r="L158" s="67" t="n">
        <v>0</v>
      </c>
      <c r="M158" s="67" t="n">
        <v>0</v>
      </c>
      <c r="N158" s="51" t="n"/>
      <c r="O158" s="67" t="n">
        <v>0</v>
      </c>
      <c r="P158" s="67" t="n">
        <v>0</v>
      </c>
      <c r="Q158" s="67" t="n">
        <v>0</v>
      </c>
      <c r="R158" s="67" t="n">
        <v>0</v>
      </c>
      <c r="S158" s="67" t="n">
        <v>0</v>
      </c>
      <c r="T158" s="67" t="n">
        <v>0</v>
      </c>
      <c r="U158" s="67" t="n">
        <v>0</v>
      </c>
      <c r="V158" s="67" t="n">
        <v>0</v>
      </c>
      <c r="W158" s="67" t="n">
        <v>0</v>
      </c>
      <c r="X158" s="17" t="inlineStr">
        <is>
          <t>3HR</t>
        </is>
      </c>
      <c r="Y158" s="67" t="n">
        <v>0</v>
      </c>
      <c r="Z158" s="67" t="n">
        <v>0</v>
      </c>
      <c r="AA158" s="67" t="n">
        <v>0</v>
      </c>
      <c r="AB158" s="67" t="n">
        <v>0</v>
      </c>
      <c r="AC158" s="67" t="n">
        <v>0</v>
      </c>
      <c r="AD158" s="67" t="n">
        <v>0</v>
      </c>
    </row>
    <row r="159" ht="24.9" customHeight="1">
      <c r="A159" s="67" t="inlineStr">
        <is>
          <t>Total</t>
        </is>
      </c>
      <c r="B159" s="67" t="n">
        <v>0</v>
      </c>
      <c r="C159" s="67" t="n">
        <v>0</v>
      </c>
      <c r="D159" s="67" t="n">
        <v>0</v>
      </c>
      <c r="E159" s="67" t="n">
        <v>0</v>
      </c>
      <c r="F159" s="67" t="n">
        <v>0</v>
      </c>
      <c r="G159" s="67" t="n">
        <v>0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0</v>
      </c>
      <c r="M159" s="67" t="n"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67" t="n">
        <v>0</v>
      </c>
      <c r="Z159" s="67" t="n">
        <v>0</v>
      </c>
      <c r="AA159" s="67" t="n">
        <v>0</v>
      </c>
      <c r="AB159" s="67" t="n">
        <v>0</v>
      </c>
      <c r="AC159" s="67" t="n">
        <v>0</v>
      </c>
      <c r="AD159" s="67" t="n"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74" t="inlineStr">
        <is>
          <t>Consolidated</t>
        </is>
      </c>
      <c r="I161" s="136" t="inlineStr">
        <is>
          <t xml:space="preserve">District : </t>
        </is>
      </c>
      <c r="K161" s="137" t="n">
        <v>0</v>
      </c>
      <c r="M161" s="136" t="inlineStr">
        <is>
          <t>Central :</t>
        </is>
      </c>
      <c r="O161" s="138" t="inlineStr">
        <is>
          <t>SINDH</t>
        </is>
      </c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 t="inlineStr">
        <is>
          <t>of Year 2026</t>
        </is>
      </c>
    </row>
    <row r="162" ht="15" customHeight="1"/>
    <row r="163" ht="15.6" customHeight="1">
      <c r="A163" s="99" t="inlineStr">
        <is>
          <t>Name of TB Coodinator/Facility incharge  :</t>
        </is>
      </c>
      <c r="I163" s="100" t="inlineStr">
        <is>
          <t>___________________________________________________</t>
        </is>
      </c>
      <c r="P163" s="21" t="n"/>
      <c r="Q163" s="21" t="n"/>
      <c r="U163" s="101" t="inlineStr">
        <is>
          <t>Date of completion of this form :</t>
        </is>
      </c>
      <c r="AA163" s="102" t="inlineStr">
        <is>
          <t>_______________________</t>
        </is>
      </c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" customHeight="1">
      <c r="A165" s="177" t="inlineStr">
        <is>
          <t xml:space="preserve">Block 1: </t>
        </is>
      </c>
      <c r="B165" s="178" t="n"/>
      <c r="C165" s="178" t="n"/>
      <c r="D165" s="178" t="n"/>
      <c r="E165" s="178" t="n"/>
      <c r="F165" s="178" t="n"/>
      <c r="G165" s="178" t="n"/>
      <c r="H165" s="178" t="n"/>
      <c r="I165" s="178" t="n"/>
      <c r="J165" s="178" t="n"/>
      <c r="K165" s="179" t="n"/>
      <c r="L165" s="67" t="inlineStr">
        <is>
          <t>New (N)</t>
        </is>
      </c>
      <c r="M165" s="179" t="n"/>
      <c r="N165" s="67" t="inlineStr">
        <is>
          <t>Relapse ®</t>
        </is>
      </c>
      <c r="O165" s="179" t="n"/>
      <c r="P165" s="165" t="inlineStr">
        <is>
          <t>Previous Treatment History Unknown
(UK)</t>
        </is>
      </c>
      <c r="Q165" s="178" t="n"/>
      <c r="R165" s="179" t="n"/>
      <c r="S165" s="165" t="inlineStr">
        <is>
          <t>New episode
(N+R+UK)</t>
        </is>
      </c>
      <c r="T165" s="178" t="n"/>
      <c r="U165" s="179" t="n"/>
      <c r="V165" s="67" t="inlineStr">
        <is>
          <t>Re - registered Cases ( Excluding Recurrent cases)</t>
        </is>
      </c>
      <c r="W165" s="33" t="n"/>
      <c r="X165" s="33" t="n"/>
      <c r="Y165" s="33" t="n"/>
      <c r="Z165" s="33" t="n"/>
      <c r="AA165" s="33" t="n"/>
      <c r="AB165" s="45" t="n"/>
      <c r="AC165" s="67" t="inlineStr">
        <is>
          <t>Total</t>
        </is>
      </c>
      <c r="AD165" s="179" t="n"/>
    </row>
    <row r="166" ht="23.25" customHeight="1">
      <c r="A166" s="180" t="inlineStr">
        <is>
          <t>All TB Cases Registered</t>
        </is>
      </c>
      <c r="K166" s="181" t="n"/>
      <c r="L166" s="182" t="n"/>
      <c r="M166" s="181" t="n"/>
      <c r="N166" s="182" t="n"/>
      <c r="O166" s="181" t="n"/>
      <c r="P166" s="182" t="n"/>
      <c r="R166" s="181" t="n"/>
      <c r="S166" s="182" t="n"/>
      <c r="U166" s="181" t="n"/>
      <c r="V166" s="165" t="inlineStr">
        <is>
          <t>Treatment after failure</t>
        </is>
      </c>
      <c r="W166" s="178" t="n"/>
      <c r="X166" s="179" t="n"/>
      <c r="Y166" s="165" t="inlineStr">
        <is>
          <t>Treatment after lost to follow-up</t>
        </is>
      </c>
      <c r="Z166" s="179" t="n"/>
      <c r="AA166" s="165" t="inlineStr">
        <is>
          <t>Other</t>
        </is>
      </c>
      <c r="AB166" s="179" t="n"/>
      <c r="AC166" s="182" t="n"/>
      <c r="AD166" s="181" t="n"/>
    </row>
    <row r="167">
      <c r="A167" s="183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184" t="n"/>
      <c r="L167" s="183" t="n"/>
      <c r="M167" s="184" t="n"/>
      <c r="N167" s="183" t="n"/>
      <c r="O167" s="184" t="n"/>
      <c r="P167" s="183" t="n"/>
      <c r="Q167" s="22" t="n"/>
      <c r="R167" s="184" t="n"/>
      <c r="S167" s="183" t="n"/>
      <c r="T167" s="22" t="n"/>
      <c r="U167" s="184" t="n"/>
      <c r="V167" s="183" t="n"/>
      <c r="W167" s="22" t="n"/>
      <c r="X167" s="184" t="n"/>
      <c r="Y167" s="183" t="n"/>
      <c r="Z167" s="184" t="n"/>
      <c r="AA167" s="183" t="n"/>
      <c r="AB167" s="184" t="n"/>
      <c r="AC167" s="183" t="n"/>
      <c r="AD167" s="184" t="n"/>
    </row>
    <row r="168" ht="24.9" customHeight="1">
      <c r="A168" s="185" t="inlineStr">
        <is>
          <t>Pulmonary, Bacteriologically Confermid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67" t="n">
        <v>78</v>
      </c>
      <c r="M168" s="45" t="n"/>
      <c r="N168" s="67" t="n">
        <v>14</v>
      </c>
      <c r="O168" s="45" t="n"/>
      <c r="P168" s="26" t="n">
        <v>0</v>
      </c>
      <c r="Q168" s="33" t="n"/>
      <c r="R168" s="45" t="n"/>
      <c r="S168" s="67" t="n">
        <v>92</v>
      </c>
      <c r="T168" s="33" t="n"/>
      <c r="U168" s="45" t="n"/>
      <c r="V168" s="26" t="n">
        <v>0</v>
      </c>
      <c r="W168" s="33" t="n"/>
      <c r="X168" s="45" t="n"/>
      <c r="Y168" s="67" t="n">
        <v>0</v>
      </c>
      <c r="Z168" s="45" t="n"/>
      <c r="AA168" s="67" t="n">
        <v>0</v>
      </c>
      <c r="AB168" s="45" t="n"/>
      <c r="AC168" s="67" t="n">
        <v>92</v>
      </c>
      <c r="AD168" s="45" t="n"/>
    </row>
    <row r="169" ht="24.9" customHeight="1">
      <c r="A169" s="185" t="inlineStr">
        <is>
          <t>Pulmonary , Clinically Diagnosed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67" t="n">
        <v>15</v>
      </c>
      <c r="M169" s="45" t="n"/>
      <c r="N169" s="67" t="n">
        <v>0</v>
      </c>
      <c r="O169" s="45" t="n"/>
      <c r="P169" s="26" t="n">
        <v>0</v>
      </c>
      <c r="Q169" s="33" t="n"/>
      <c r="R169" s="45" t="n"/>
      <c r="S169" s="67" t="n">
        <v>15</v>
      </c>
      <c r="T169" s="33" t="n"/>
      <c r="U169" s="45" t="n"/>
      <c r="V169" s="26" t="n">
        <v>0</v>
      </c>
      <c r="W169" s="33" t="n"/>
      <c r="X169" s="45" t="n"/>
      <c r="Y169" s="67" t="n">
        <v>0</v>
      </c>
      <c r="Z169" s="45" t="n"/>
      <c r="AA169" s="67" t="n">
        <v>0</v>
      </c>
      <c r="AB169" s="45" t="n"/>
      <c r="AC169" s="67" t="n">
        <v>15</v>
      </c>
      <c r="AD169" s="45" t="n"/>
    </row>
    <row r="170" ht="24.9" customHeight="1">
      <c r="A170" s="185" t="inlineStr">
        <is>
          <t>Extra Pulmonary, Bacteriologically Confermid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67" t="n">
        <v>0</v>
      </c>
      <c r="M170" s="45" t="n"/>
      <c r="N170" s="67" t="n">
        <v>0</v>
      </c>
      <c r="O170" s="45" t="n"/>
      <c r="P170" s="26" t="n">
        <v>0</v>
      </c>
      <c r="Q170" s="33" t="n"/>
      <c r="R170" s="45" t="n"/>
      <c r="S170" s="67" t="n">
        <v>0</v>
      </c>
      <c r="T170" s="33" t="n"/>
      <c r="U170" s="45" t="n"/>
      <c r="V170" s="26" t="n">
        <v>0</v>
      </c>
      <c r="W170" s="33" t="n"/>
      <c r="X170" s="45" t="n"/>
      <c r="Y170" s="67" t="n">
        <v>0</v>
      </c>
      <c r="Z170" s="45" t="n"/>
      <c r="AA170" s="67" t="n">
        <v>0</v>
      </c>
      <c r="AB170" s="45" t="n"/>
      <c r="AC170" s="67" t="n">
        <v>0</v>
      </c>
      <c r="AD170" s="45" t="n"/>
    </row>
    <row r="171" ht="24.9" customHeight="1">
      <c r="A171" s="185" t="inlineStr">
        <is>
          <t>Extra Pulmonary , Clinically Diagnosed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67" t="n">
        <v>12</v>
      </c>
      <c r="M171" s="45" t="n"/>
      <c r="N171" s="67" t="n">
        <v>0</v>
      </c>
      <c r="O171" s="45" t="n"/>
      <c r="P171" s="26" t="n">
        <v>0</v>
      </c>
      <c r="Q171" s="33" t="n"/>
      <c r="R171" s="45" t="n"/>
      <c r="S171" s="67" t="n">
        <v>12</v>
      </c>
      <c r="T171" s="33" t="n"/>
      <c r="U171" s="45" t="n"/>
      <c r="V171" s="26" t="n">
        <v>0</v>
      </c>
      <c r="W171" s="33" t="n"/>
      <c r="X171" s="45" t="n"/>
      <c r="Y171" s="67" t="n">
        <v>0</v>
      </c>
      <c r="Z171" s="45" t="n"/>
      <c r="AA171" s="67" t="n">
        <v>0</v>
      </c>
      <c r="AB171" s="45" t="n"/>
      <c r="AC171" s="67" t="n">
        <v>12</v>
      </c>
      <c r="AD171" s="45" t="n"/>
    </row>
    <row r="172" ht="24.9" customHeight="1">
      <c r="A172" s="185" t="inlineStr">
        <is>
          <t>Total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45" t="n"/>
      <c r="L172" s="67" t="n">
        <v>105</v>
      </c>
      <c r="M172" s="45" t="n"/>
      <c r="N172" s="67" t="n">
        <v>14</v>
      </c>
      <c r="O172" s="45" t="n"/>
      <c r="P172" s="67" t="n">
        <v>0</v>
      </c>
      <c r="Q172" s="33" t="n"/>
      <c r="R172" s="45" t="n"/>
      <c r="S172" s="67" t="n">
        <v>119</v>
      </c>
      <c r="T172" s="33" t="n"/>
      <c r="U172" s="45" t="n"/>
      <c r="V172" s="67" t="n">
        <v>0</v>
      </c>
      <c r="W172" s="33" t="n"/>
      <c r="X172" s="45" t="n"/>
      <c r="Y172" s="67" t="n">
        <v>0</v>
      </c>
      <c r="Z172" s="45" t="n"/>
      <c r="AA172" s="67" t="n">
        <v>0</v>
      </c>
      <c r="AB172" s="45" t="n"/>
      <c r="AC172" s="67" t="n">
        <v>119</v>
      </c>
      <c r="AD172" s="45" t="n"/>
    </row>
    <row r="173" ht="15.6" customHeight="1">
      <c r="A173" s="23" t="inlineStr">
        <is>
          <t>Block 2: All New, Relapse and previous treatment history unknown Cases registered during the period by Age Group and Gender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5" t="n"/>
    </row>
    <row r="174" ht="21.75" customHeight="1">
      <c r="A174" s="186" t="n"/>
      <c r="B174" s="178" t="n"/>
      <c r="C174" s="178" t="n"/>
      <c r="D174" s="178" t="n"/>
      <c r="E174" s="178" t="n"/>
      <c r="F174" s="178" t="n"/>
      <c r="G174" s="178" t="n"/>
      <c r="H174" s="178" t="n"/>
      <c r="I174" s="178" t="n"/>
      <c r="J174" s="178" t="n"/>
      <c r="K174" s="179" t="n"/>
      <c r="L174" s="67" t="inlineStr">
        <is>
          <t>0-4</t>
        </is>
      </c>
      <c r="M174" s="45" t="n"/>
      <c r="N174" s="187" t="inlineStr">
        <is>
          <t>5-14</t>
        </is>
      </c>
      <c r="O174" s="45" t="n"/>
      <c r="P174" s="188" t="inlineStr">
        <is>
          <t>15-24</t>
        </is>
      </c>
      <c r="Q174" s="45" t="n"/>
      <c r="R174" s="188" t="inlineStr">
        <is>
          <t>25-34</t>
        </is>
      </c>
      <c r="S174" s="45" t="n"/>
      <c r="T174" s="188" t="inlineStr">
        <is>
          <t>35-44</t>
        </is>
      </c>
      <c r="U174" s="45" t="n"/>
      <c r="V174" s="188" t="inlineStr">
        <is>
          <t>45-54</t>
        </is>
      </c>
      <c r="W174" s="45" t="n"/>
      <c r="X174" s="188" t="inlineStr">
        <is>
          <t>55-64</t>
        </is>
      </c>
      <c r="Y174" s="45" t="n"/>
      <c r="Z174" s="188" t="inlineStr">
        <is>
          <t>65 &amp; Above</t>
        </is>
      </c>
      <c r="AA174" s="45" t="n"/>
      <c r="AB174" s="188" t="inlineStr">
        <is>
          <t>Total</t>
        </is>
      </c>
      <c r="AC174" s="45" t="n"/>
      <c r="AD174" s="189" t="inlineStr">
        <is>
          <t>Grand
Total</t>
        </is>
      </c>
    </row>
    <row r="175">
      <c r="A175" s="183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184" t="n"/>
      <c r="L175" s="67" t="inlineStr">
        <is>
          <t>M</t>
        </is>
      </c>
      <c r="M175" s="67" t="inlineStr">
        <is>
          <t>F</t>
        </is>
      </c>
      <c r="N175" s="67" t="inlineStr">
        <is>
          <t>M</t>
        </is>
      </c>
      <c r="O175" s="67" t="inlineStr">
        <is>
          <t>F</t>
        </is>
      </c>
      <c r="P175" s="67" t="inlineStr">
        <is>
          <t>M</t>
        </is>
      </c>
      <c r="Q175" s="67" t="inlineStr">
        <is>
          <t>F</t>
        </is>
      </c>
      <c r="R175" s="67" t="inlineStr">
        <is>
          <t>M</t>
        </is>
      </c>
      <c r="S175" s="67" t="inlineStr">
        <is>
          <t>F</t>
        </is>
      </c>
      <c r="T175" s="67" t="inlineStr">
        <is>
          <t>M</t>
        </is>
      </c>
      <c r="U175" s="67" t="inlineStr">
        <is>
          <t>F</t>
        </is>
      </c>
      <c r="V175" s="67" t="inlineStr">
        <is>
          <t>M</t>
        </is>
      </c>
      <c r="W175" s="67" t="inlineStr">
        <is>
          <t>F</t>
        </is>
      </c>
      <c r="X175" s="67" t="inlineStr">
        <is>
          <t>M</t>
        </is>
      </c>
      <c r="Y175" s="67" t="inlineStr">
        <is>
          <t>F</t>
        </is>
      </c>
      <c r="Z175" s="67" t="inlineStr">
        <is>
          <t>M</t>
        </is>
      </c>
      <c r="AA175" s="67" t="inlineStr">
        <is>
          <t>F</t>
        </is>
      </c>
      <c r="AB175" s="67" t="inlineStr">
        <is>
          <t>M</t>
        </is>
      </c>
      <c r="AC175" s="67" t="inlineStr">
        <is>
          <t>F</t>
        </is>
      </c>
      <c r="AD175" s="190" t="n"/>
    </row>
    <row r="176" ht="18" customHeight="1">
      <c r="A176" s="185" t="inlineStr">
        <is>
          <t>Pulmonary, Bacteriologically Confermid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67" t="n">
        <v>0</v>
      </c>
      <c r="M176" s="67" t="n">
        <v>0</v>
      </c>
      <c r="N176" s="67" t="n">
        <v>0</v>
      </c>
      <c r="O176" s="67" t="n">
        <v>0</v>
      </c>
      <c r="P176" s="67" t="n">
        <v>7</v>
      </c>
      <c r="Q176" s="67" t="n">
        <v>7</v>
      </c>
      <c r="R176" s="67" t="n">
        <v>15</v>
      </c>
      <c r="S176" s="67" t="n">
        <v>19</v>
      </c>
      <c r="T176" s="67" t="n">
        <v>5</v>
      </c>
      <c r="U176" s="67" t="n">
        <v>8</v>
      </c>
      <c r="V176" s="67" t="n">
        <v>18</v>
      </c>
      <c r="W176" s="67" t="n">
        <v>5</v>
      </c>
      <c r="X176" s="67" t="n">
        <v>2</v>
      </c>
      <c r="Y176" s="67" t="n">
        <v>5</v>
      </c>
      <c r="Z176" s="67" t="n">
        <v>1</v>
      </c>
      <c r="AA176" s="67" t="n">
        <v>0</v>
      </c>
      <c r="AB176" s="67" t="n">
        <v>48</v>
      </c>
      <c r="AC176" s="67" t="n">
        <v>44</v>
      </c>
      <c r="AD176" s="67" t="n">
        <v>92</v>
      </c>
    </row>
    <row r="177" ht="18" customHeight="1">
      <c r="A177" s="185" t="inlineStr">
        <is>
          <t>Pulmonary , Clinically Diagnosed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67" t="n">
        <v>0</v>
      </c>
      <c r="M177" s="67" t="n">
        <v>0</v>
      </c>
      <c r="N177" s="67" t="n">
        <v>0</v>
      </c>
      <c r="O177" s="67" t="n">
        <v>0</v>
      </c>
      <c r="P177" s="67" t="n">
        <v>0</v>
      </c>
      <c r="Q177" s="67" t="n">
        <v>3</v>
      </c>
      <c r="R177" s="67" t="n">
        <v>0</v>
      </c>
      <c r="S177" s="67" t="n">
        <v>3</v>
      </c>
      <c r="T177" s="67" t="n">
        <v>3</v>
      </c>
      <c r="U177" s="67" t="n">
        <v>0</v>
      </c>
      <c r="V177" s="67" t="n">
        <v>1</v>
      </c>
      <c r="W177" s="67" t="n">
        <v>2</v>
      </c>
      <c r="X177" s="67" t="n">
        <v>1</v>
      </c>
      <c r="Y177" s="67" t="n">
        <v>2</v>
      </c>
      <c r="Z177" s="67" t="n">
        <v>0</v>
      </c>
      <c r="AA177" s="67" t="n">
        <v>0</v>
      </c>
      <c r="AB177" s="67" t="n">
        <v>5</v>
      </c>
      <c r="AC177" s="67" t="n">
        <v>10</v>
      </c>
      <c r="AD177" s="67" t="n">
        <v>15</v>
      </c>
    </row>
    <row r="178" ht="18" customHeight="1">
      <c r="A178" s="185" t="inlineStr">
        <is>
          <t>Extra Pulmonary, Bacteriologically Confermid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67" t="n">
        <v>0</v>
      </c>
      <c r="M178" s="67" t="n">
        <v>0</v>
      </c>
      <c r="N178" s="67" t="n">
        <v>0</v>
      </c>
      <c r="O178" s="67" t="n">
        <v>0</v>
      </c>
      <c r="P178" s="67" t="n">
        <v>0</v>
      </c>
      <c r="Q178" s="67" t="n">
        <v>0</v>
      </c>
      <c r="R178" s="67" t="n">
        <v>0</v>
      </c>
      <c r="S178" s="67" t="n">
        <v>0</v>
      </c>
      <c r="T178" s="67" t="n">
        <v>0</v>
      </c>
      <c r="U178" s="67" t="n">
        <v>0</v>
      </c>
      <c r="V178" s="67" t="n">
        <v>0</v>
      </c>
      <c r="W178" s="67" t="n">
        <v>0</v>
      </c>
      <c r="X178" s="67" t="n">
        <v>0</v>
      </c>
      <c r="Y178" s="67" t="n">
        <v>0</v>
      </c>
      <c r="Z178" s="67" t="n">
        <v>0</v>
      </c>
      <c r="AA178" s="67" t="n">
        <v>0</v>
      </c>
      <c r="AB178" s="67" t="n">
        <v>0</v>
      </c>
      <c r="AC178" s="67" t="n">
        <v>0</v>
      </c>
      <c r="AD178" s="67" t="n">
        <v>0</v>
      </c>
    </row>
    <row r="179" ht="18" customHeight="1">
      <c r="A179" s="185" t="inlineStr">
        <is>
          <t>Extra Pulmonary , Clinically Diagnosed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67" t="n">
        <v>0</v>
      </c>
      <c r="M179" s="67" t="n">
        <v>0</v>
      </c>
      <c r="N179" s="67" t="n">
        <v>0</v>
      </c>
      <c r="O179" s="67" t="n">
        <v>0</v>
      </c>
      <c r="P179" s="67" t="n">
        <v>1</v>
      </c>
      <c r="Q179" s="67" t="n">
        <v>0</v>
      </c>
      <c r="R179" s="67" t="n">
        <v>1</v>
      </c>
      <c r="S179" s="67" t="n">
        <v>4</v>
      </c>
      <c r="T179" s="67" t="n">
        <v>1</v>
      </c>
      <c r="U179" s="67" t="n">
        <v>1</v>
      </c>
      <c r="V179" s="67" t="n">
        <v>3</v>
      </c>
      <c r="W179" s="67" t="n">
        <v>1</v>
      </c>
      <c r="X179" s="67" t="n">
        <v>0</v>
      </c>
      <c r="Y179" s="67" t="n">
        <v>0</v>
      </c>
      <c r="Z179" s="67" t="n">
        <v>0</v>
      </c>
      <c r="AA179" s="67" t="n">
        <v>0</v>
      </c>
      <c r="AB179" s="67" t="n">
        <v>6</v>
      </c>
      <c r="AC179" s="67" t="n">
        <v>6</v>
      </c>
      <c r="AD179" s="67" t="n">
        <v>12</v>
      </c>
    </row>
    <row r="180" ht="18" customHeight="1">
      <c r="A180" s="67" t="inlineStr">
        <is>
          <t>Total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45" t="n"/>
      <c r="L180" s="67" t="n">
        <v>0</v>
      </c>
      <c r="M180" s="67" t="n">
        <v>0</v>
      </c>
      <c r="N180" s="67" t="n">
        <v>0</v>
      </c>
      <c r="O180" s="67" t="n">
        <v>0</v>
      </c>
      <c r="P180" s="67" t="n">
        <v>8</v>
      </c>
      <c r="Q180" s="67" t="n">
        <v>10</v>
      </c>
      <c r="R180" s="67" t="n">
        <v>16</v>
      </c>
      <c r="S180" s="67" t="n">
        <v>26</v>
      </c>
      <c r="T180" s="67" t="n">
        <v>9</v>
      </c>
      <c r="U180" s="67" t="n">
        <v>9</v>
      </c>
      <c r="V180" s="67" t="n">
        <v>22</v>
      </c>
      <c r="W180" s="67" t="n">
        <v>8</v>
      </c>
      <c r="X180" s="67" t="n">
        <v>3</v>
      </c>
      <c r="Y180" s="67" t="n">
        <v>7</v>
      </c>
      <c r="Z180" s="67" t="n">
        <v>1</v>
      </c>
      <c r="AA180" s="67" t="n">
        <v>0</v>
      </c>
      <c r="AB180" s="67" t="n">
        <v>59</v>
      </c>
      <c r="AC180" s="67" t="n">
        <v>60</v>
      </c>
      <c r="AD180" s="67" t="n">
        <v>119</v>
      </c>
    </row>
    <row r="181" ht="6.75" customHeight="1">
      <c r="A181" s="27" t="n"/>
      <c r="B181" s="28" t="n"/>
      <c r="C181" s="28" t="n"/>
      <c r="D181" s="28" t="n"/>
      <c r="E181" s="28" t="n"/>
      <c r="F181" s="29" t="n"/>
      <c r="G181" s="29" t="n"/>
      <c r="H181" s="30" t="n"/>
      <c r="I181" s="30" t="n"/>
      <c r="J181" s="30" t="n"/>
      <c r="K181" s="30" t="n"/>
      <c r="L181" s="30" t="n"/>
      <c r="M181" s="30" t="n"/>
      <c r="N181" s="31" t="n"/>
      <c r="O181" s="30" t="n"/>
      <c r="P181" s="87" t="n"/>
      <c r="Q181" s="45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3" t="n"/>
    </row>
    <row r="182" ht="18" customHeight="1">
      <c r="A182" s="34" t="inlineStr">
        <is>
          <t>Block 3: Presumptive TB Cases Identified Laboratory Diagnosis and use of WRD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6" t="n"/>
      <c r="N182" s="37" t="n"/>
      <c r="O182" s="34" t="inlineStr">
        <is>
          <t>Block 4 :  TB HIV  Activities</t>
        </is>
      </c>
      <c r="P182" s="35" t="n"/>
      <c r="Q182" s="35" t="n"/>
      <c r="R182" s="35" t="n"/>
      <c r="S182" s="35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25" t="n"/>
    </row>
    <row r="183" ht="45" customHeight="1">
      <c r="A183" s="6" t="inlineStr">
        <is>
          <t>Total
New OPD in Quarter</t>
        </is>
      </c>
      <c r="B183" s="88" t="inlineStr">
        <is>
          <t>No. of presumptive TB cases identified</t>
        </is>
      </c>
      <c r="C183" s="179" t="n"/>
      <c r="D183" s="6" t="inlineStr">
        <is>
          <t>No. of Presumptive TB
Patients tested 
Using</t>
        </is>
      </c>
      <c r="E183" s="33" t="n"/>
      <c r="F183" s="33" t="n"/>
      <c r="G183" s="45" t="n"/>
      <c r="H183" s="6" t="inlineStr">
        <is>
          <t>Among Presumptive 
TB cases tested  number reported B+</t>
        </is>
      </c>
      <c r="I183" s="33" t="n"/>
      <c r="J183" s="33" t="n"/>
      <c r="K183" s="45" t="n"/>
      <c r="L183" s="6" t="inlineStr">
        <is>
          <t>Among all
registered
number of
B+ TB
Cases</t>
        </is>
      </c>
      <c r="M183" s="6" t="inlineStr">
        <is>
          <t>Amoung All
(N+R+UK)
number tested
by Gene Xpert</t>
        </is>
      </c>
      <c r="N183" s="5" t="n"/>
      <c r="O183" s="165" t="inlineStr">
        <is>
          <t>No. of TB patients
tested for HIV</t>
        </is>
      </c>
      <c r="P183" s="33" t="n"/>
      <c r="Q183" s="33" t="n"/>
      <c r="R183" s="45" t="n"/>
      <c r="S183" s="165" t="inlineStr">
        <is>
          <t>HIV Reactive</t>
        </is>
      </c>
      <c r="T183" s="33" t="n"/>
      <c r="U183" s="33" t="n"/>
      <c r="V183" s="45" t="n"/>
      <c r="W183" s="165" t="inlineStr">
        <is>
          <t>TB Patients confirmed
positive for HIV</t>
        </is>
      </c>
      <c r="X183" s="33" t="n"/>
      <c r="Y183" s="33" t="n"/>
      <c r="Z183" s="45" t="n"/>
      <c r="AA183" s="165" t="inlineStr">
        <is>
          <t>HIV positive TB Patients put on ART</t>
        </is>
      </c>
      <c r="AB183" s="33" t="n"/>
      <c r="AC183" s="33" t="n"/>
      <c r="AD183" s="45" t="n"/>
    </row>
    <row r="184" ht="48" customHeight="1">
      <c r="A184" s="190" t="n"/>
      <c r="B184" s="6" t="inlineStr">
        <is>
          <t>Total</t>
        </is>
      </c>
      <c r="C184" s="88" t="inlineStr">
        <is>
          <t>Through
Community
Referrals (LHWs)</t>
        </is>
      </c>
      <c r="D184" s="88" t="inlineStr">
        <is>
          <t>AFB</t>
        </is>
      </c>
      <c r="E184" s="88" t="inlineStr">
        <is>
          <t>Xp &amp;
AFB</t>
        </is>
      </c>
      <c r="F184" s="88" t="inlineStr">
        <is>
          <t>XP</t>
        </is>
      </c>
      <c r="G184" s="7" t="inlineStr">
        <is>
          <t>G.Tot</t>
        </is>
      </c>
      <c r="H184" s="7" t="inlineStr">
        <is>
          <t>AFB</t>
        </is>
      </c>
      <c r="I184" s="88" t="inlineStr">
        <is>
          <t>AFB +
Xpert</t>
        </is>
      </c>
      <c r="J184" s="7" t="inlineStr">
        <is>
          <t>Xpert</t>
        </is>
      </c>
      <c r="K184" s="7" t="inlineStr">
        <is>
          <t>G.Tot</t>
        </is>
      </c>
      <c r="L184" s="190" t="n"/>
      <c r="M184" s="190" t="n"/>
      <c r="N184" s="5" t="n"/>
      <c r="O184" s="93" t="n">
        <v>33</v>
      </c>
      <c r="P184" s="33" t="n"/>
      <c r="Q184" s="33" t="n"/>
      <c r="R184" s="33" t="n"/>
      <c r="S184" s="93" t="n">
        <v>0</v>
      </c>
      <c r="T184" s="33" t="n"/>
      <c r="U184" s="33" t="n"/>
      <c r="V184" s="33" t="n"/>
      <c r="W184" s="93" t="n">
        <v>0</v>
      </c>
      <c r="X184" s="33" t="n"/>
      <c r="Y184" s="33" t="n"/>
      <c r="Z184" s="33" t="n"/>
      <c r="AA184" s="93" t="n">
        <v>0</v>
      </c>
      <c r="AB184" s="33" t="n"/>
      <c r="AC184" s="33" t="n"/>
      <c r="AD184" s="33" t="n"/>
    </row>
    <row r="185" ht="38.25" customHeight="1">
      <c r="A185" s="193" t="n">
        <v>74019</v>
      </c>
      <c r="B185" s="193" t="n">
        <v>519</v>
      </c>
      <c r="C185" s="193" t="n">
        <v>0</v>
      </c>
      <c r="D185" s="193" t="n">
        <v>422</v>
      </c>
      <c r="E185" s="193" t="n">
        <v>96</v>
      </c>
      <c r="F185" s="193" t="n">
        <v>112</v>
      </c>
      <c r="G185" s="193" t="n">
        <v>630</v>
      </c>
      <c r="H185" s="193" t="n">
        <v>35</v>
      </c>
      <c r="I185" s="193" t="n">
        <v>37</v>
      </c>
      <c r="J185" s="193" t="n">
        <v>20</v>
      </c>
      <c r="K185" s="193" t="n">
        <v>92</v>
      </c>
      <c r="L185" s="193" t="n">
        <v>92</v>
      </c>
      <c r="M185" s="193" t="n">
        <v>50</v>
      </c>
      <c r="N185" s="5" t="n"/>
      <c r="O185" s="165" t="inlineStr">
        <is>
          <t xml:space="preserve">HIV patient tested for TB </t>
        </is>
      </c>
      <c r="P185" s="33" t="n"/>
      <c r="Q185" s="33" t="n"/>
      <c r="R185" s="45" t="n"/>
      <c r="S185" s="165" t="inlineStr">
        <is>
          <t>HIV patients 
diagnosed  for TB</t>
        </is>
      </c>
      <c r="T185" s="33" t="n"/>
      <c r="U185" s="33" t="n"/>
      <c r="V185" s="45" t="n"/>
      <c r="W185" s="165" t="inlineStr">
        <is>
          <t>TB HIV patients put on
 TB Tx</t>
        </is>
      </c>
      <c r="X185" s="33" t="n"/>
      <c r="Y185" s="33" t="n"/>
      <c r="Z185" s="45" t="n"/>
      <c r="AA185" s="165" t="inlineStr">
        <is>
          <t>HIV positive TB negative
patients on TPT</t>
        </is>
      </c>
      <c r="AB185" s="33" t="n"/>
      <c r="AC185" s="33" t="n"/>
      <c r="AD185" s="45" t="n"/>
    </row>
    <row r="186" ht="19.5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65" t="n">
        <v>12</v>
      </c>
      <c r="P186" s="178" t="n"/>
      <c r="Q186" s="178" t="n"/>
      <c r="R186" s="179" t="n"/>
      <c r="S186" s="165" t="n">
        <v>0</v>
      </c>
      <c r="T186" s="178" t="n"/>
      <c r="U186" s="178" t="n"/>
      <c r="V186" s="179" t="n"/>
      <c r="W186" s="165" t="n">
        <v>0</v>
      </c>
      <c r="X186" s="178" t="n"/>
      <c r="Y186" s="178" t="n"/>
      <c r="Z186" s="179" t="n"/>
      <c r="AA186" s="8" t="n"/>
      <c r="AB186" s="8" t="inlineStr">
        <is>
          <t>0-4</t>
        </is>
      </c>
      <c r="AC186" s="9" t="inlineStr">
        <is>
          <t>5-14</t>
        </is>
      </c>
      <c r="AD186" s="40" t="inlineStr">
        <is>
          <t>15 +</t>
        </is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6H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1" t="n"/>
      <c r="B188" s="191" t="n"/>
      <c r="C188" s="191" t="n"/>
      <c r="D188" s="191" t="n"/>
      <c r="E188" s="191" t="n"/>
      <c r="F188" s="191" t="n"/>
      <c r="G188" s="191" t="n"/>
      <c r="H188" s="191" t="n"/>
      <c r="I188" s="191" t="n"/>
      <c r="J188" s="191" t="n"/>
      <c r="K188" s="191" t="n"/>
      <c r="L188" s="191" t="n"/>
      <c r="M188" s="191" t="n"/>
      <c r="N188" s="39" t="n"/>
      <c r="O188" s="182" t="n"/>
      <c r="R188" s="181" t="n"/>
      <c r="S188" s="182" t="n"/>
      <c r="V188" s="181" t="n"/>
      <c r="W188" s="182" t="n"/>
      <c r="Z188" s="181" t="n"/>
      <c r="AA188" s="10" t="inlineStr">
        <is>
          <t>3HR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190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39" t="n"/>
      <c r="O189" s="183" t="n"/>
      <c r="P189" s="22" t="n"/>
      <c r="Q189" s="22" t="n"/>
      <c r="R189" s="184" t="n"/>
      <c r="S189" s="183" t="n"/>
      <c r="T189" s="22" t="n"/>
      <c r="U189" s="22" t="n"/>
      <c r="V189" s="184" t="n"/>
      <c r="W189" s="183" t="n"/>
      <c r="X189" s="22" t="n"/>
      <c r="Y189" s="22" t="n"/>
      <c r="Z189" s="184" t="n"/>
      <c r="AA189" s="10" t="inlineStr">
        <is>
          <t>3 HP</t>
        </is>
      </c>
      <c r="AB189" s="67" t="n">
        <v>0</v>
      </c>
      <c r="AC189" s="67" t="n">
        <v>0</v>
      </c>
      <c r="AD189" s="67" t="n">
        <v>0</v>
      </c>
    </row>
    <row r="190" ht="8.25" customHeight="1">
      <c r="A190" s="11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4" t="n"/>
      <c r="O190" s="43" t="n"/>
      <c r="P190" s="43" t="n"/>
      <c r="Q190" s="43" t="n"/>
      <c r="R190" s="43" t="n"/>
      <c r="S190" s="43" t="n"/>
      <c r="T190" s="43" t="n"/>
      <c r="U190" s="43" t="n"/>
      <c r="V190" s="12" t="n"/>
      <c r="W190" s="12" t="n"/>
      <c r="X190" s="12" t="n"/>
      <c r="Y190" s="12" t="n"/>
      <c r="Z190" s="12" t="n"/>
      <c r="AA190" s="12" t="n"/>
      <c r="AB190" s="43" t="n"/>
      <c r="AC190" s="43" t="n"/>
      <c r="AD190" s="45" t="n"/>
    </row>
    <row r="191" ht="18" customHeight="1">
      <c r="A191" s="34" t="inlineStr">
        <is>
          <t>Block 5 :  Bacteriologically Confermid TB Cases with DST Result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6" t="n"/>
      <c r="N191" s="46" t="n"/>
      <c r="O191" s="34" t="inlineStr">
        <is>
          <t>Block 6 :  Contact Tracing HH *</t>
        </is>
      </c>
      <c r="P191" s="36" t="n"/>
      <c r="Q191" s="35" t="n"/>
      <c r="R191" s="4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8" t="n"/>
      <c r="AC191" s="38" t="n"/>
      <c r="AD191" s="48" t="n"/>
    </row>
    <row r="192" ht="18" customHeight="1">
      <c r="A192" s="80" t="inlineStr">
        <is>
          <t>Sensitive =S
Resistance = R</t>
        </is>
      </c>
      <c r="B192" s="81" t="inlineStr">
        <is>
          <t>PTB</t>
        </is>
      </c>
      <c r="C192" s="33" t="n"/>
      <c r="D192" s="33" t="n"/>
      <c r="E192" s="33" t="n"/>
      <c r="F192" s="33" t="n"/>
      <c r="G192" s="45" t="n"/>
      <c r="H192" s="81" t="inlineStr">
        <is>
          <t>EPTB</t>
        </is>
      </c>
      <c r="I192" s="33" t="n"/>
      <c r="J192" s="33" t="n"/>
      <c r="K192" s="33" t="n"/>
      <c r="L192" s="33" t="n"/>
      <c r="M192" s="45" t="n"/>
      <c r="N192" s="49" t="n"/>
      <c r="O192" s="6" t="inlineStr">
        <is>
          <t>Total No. of HH
of B+ PTB</t>
        </is>
      </c>
      <c r="P192" s="178" t="n"/>
      <c r="Q192" s="179" t="n"/>
      <c r="R192" s="6" t="inlineStr">
        <is>
          <t>No. of HH contacts of
B+ PTB Cases
Screened</t>
        </is>
      </c>
      <c r="S192" s="178" t="n"/>
      <c r="T192" s="179" t="n"/>
      <c r="U192" s="6" t="inlineStr">
        <is>
          <t>No. of TB 
Cases diagnosed Amoung HH
contact
screened</t>
        </is>
      </c>
      <c r="V192" s="178" t="n"/>
      <c r="W192" s="179" t="n"/>
      <c r="X192" s="6" t="inlineStr">
        <is>
          <t>No. of HH Contacts 
Initiated on TPT</t>
        </is>
      </c>
      <c r="Y192" s="178" t="n"/>
      <c r="Z192" s="178" t="n"/>
      <c r="AA192" s="179" t="n"/>
      <c r="AB192" s="6" t="inlineStr">
        <is>
          <t>HIV negative 
Immuno - compromised on 
TPT</t>
        </is>
      </c>
      <c r="AC192" s="178" t="n"/>
      <c r="AD192" s="179" t="n"/>
    </row>
    <row r="193" ht="20.25" customHeight="1">
      <c r="A193" s="191" t="n"/>
      <c r="B193" s="67" t="inlineStr">
        <is>
          <t>Rifampicin</t>
        </is>
      </c>
      <c r="C193" s="45" t="n"/>
      <c r="D193" s="67" t="inlineStr">
        <is>
          <t>Isoniazid</t>
        </is>
      </c>
      <c r="E193" s="45" t="n"/>
      <c r="F193" s="67" t="inlineStr">
        <is>
          <t>Fluoroquninolone</t>
        </is>
      </c>
      <c r="G193" s="45" t="n"/>
      <c r="H193" s="67" t="inlineStr">
        <is>
          <t>Rifampicin</t>
        </is>
      </c>
      <c r="I193" s="45" t="n"/>
      <c r="J193" s="67" t="inlineStr">
        <is>
          <t>Isoniazid</t>
        </is>
      </c>
      <c r="K193" s="45" t="n"/>
      <c r="L193" s="67" t="inlineStr">
        <is>
          <t>Fluoroquninolone</t>
        </is>
      </c>
      <c r="M193" s="45" t="n"/>
      <c r="N193" s="50" t="n"/>
      <c r="O193" s="182" t="n"/>
      <c r="Q193" s="181" t="n"/>
      <c r="R193" s="182" t="n"/>
      <c r="T193" s="181" t="n"/>
      <c r="U193" s="182" t="n"/>
      <c r="W193" s="181" t="n"/>
      <c r="X193" s="182" t="n"/>
      <c r="AA193" s="181" t="n"/>
      <c r="AB193" s="182" t="n"/>
      <c r="AD193" s="181" t="n"/>
    </row>
    <row r="194" ht="16.5" customHeight="1">
      <c r="A194" s="190" t="n"/>
      <c r="B194" s="67" t="inlineStr">
        <is>
          <t>S</t>
        </is>
      </c>
      <c r="C194" s="67" t="inlineStr">
        <is>
          <t>R</t>
        </is>
      </c>
      <c r="D194" s="67" t="inlineStr">
        <is>
          <t>S</t>
        </is>
      </c>
      <c r="E194" s="67" t="inlineStr">
        <is>
          <t>R</t>
        </is>
      </c>
      <c r="F194" s="67" t="inlineStr">
        <is>
          <t>S</t>
        </is>
      </c>
      <c r="G194" s="67" t="inlineStr">
        <is>
          <t>R</t>
        </is>
      </c>
      <c r="H194" s="67" t="inlineStr">
        <is>
          <t>S</t>
        </is>
      </c>
      <c r="I194" s="67" t="inlineStr">
        <is>
          <t>R</t>
        </is>
      </c>
      <c r="J194" s="67" t="inlineStr">
        <is>
          <t>S</t>
        </is>
      </c>
      <c r="K194" s="67" t="inlineStr">
        <is>
          <t>R</t>
        </is>
      </c>
      <c r="L194" s="67" t="inlineStr">
        <is>
          <t>S</t>
        </is>
      </c>
      <c r="M194" s="67" t="inlineStr">
        <is>
          <t>R</t>
        </is>
      </c>
      <c r="N194" s="51" t="n"/>
      <c r="O194" s="182" t="n"/>
      <c r="Q194" s="181" t="n"/>
      <c r="R194" s="182" t="n"/>
      <c r="T194" s="181" t="n"/>
      <c r="U194" s="182" t="n"/>
      <c r="W194" s="181" t="n"/>
      <c r="X194" s="183" t="n"/>
      <c r="Y194" s="22" t="n"/>
      <c r="Z194" s="22" t="n"/>
      <c r="AA194" s="184" t="n"/>
      <c r="AB194" s="183" t="n"/>
      <c r="AC194" s="22" t="n"/>
      <c r="AD194" s="184" t="n"/>
    </row>
    <row r="195" ht="24.9" customHeight="1">
      <c r="A195" s="67" t="inlineStr">
        <is>
          <t>New + UK</t>
        </is>
      </c>
      <c r="B195" s="67" t="n">
        <v>66</v>
      </c>
      <c r="C195" s="67" t="n">
        <v>2</v>
      </c>
      <c r="D195" s="67" t="n">
        <v>0</v>
      </c>
      <c r="E195" s="67" t="n">
        <v>0</v>
      </c>
      <c r="F195" s="67" t="n">
        <v>0</v>
      </c>
      <c r="G195" s="67" t="n">
        <v>0</v>
      </c>
      <c r="H195" s="67" t="n">
        <v>0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183" t="n"/>
      <c r="P195" s="22" t="n"/>
      <c r="Q195" s="184" t="n"/>
      <c r="R195" s="183" t="n"/>
      <c r="S195" s="22" t="n"/>
      <c r="T195" s="184" t="n"/>
      <c r="U195" s="183" t="n"/>
      <c r="V195" s="22" t="n"/>
      <c r="W195" s="184" t="n"/>
      <c r="X195" s="17" t="n"/>
      <c r="Y195" s="13" t="inlineStr">
        <is>
          <t>0-4</t>
        </is>
      </c>
      <c r="Z195" s="15" t="inlineStr">
        <is>
          <t>5-14</t>
        </is>
      </c>
      <c r="AA195" s="16" t="inlineStr">
        <is>
          <t>15+</t>
        </is>
      </c>
      <c r="AB195" s="13" t="inlineStr">
        <is>
          <t>0-4</t>
        </is>
      </c>
      <c r="AC195" s="15" t="inlineStr">
        <is>
          <t>5-14</t>
        </is>
      </c>
      <c r="AD195" s="16" t="inlineStr">
        <is>
          <t>15+</t>
        </is>
      </c>
    </row>
    <row r="196" ht="24.9" customHeight="1">
      <c r="A196" s="67" t="inlineStr">
        <is>
          <t>Relapse</t>
        </is>
      </c>
      <c r="B196" s="67" t="n">
        <v>11</v>
      </c>
      <c r="C196" s="67" t="n">
        <v>0</v>
      </c>
      <c r="D196" s="67" t="n">
        <v>0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7" t="inlineStr">
        <is>
          <t>0-4</t>
        </is>
      </c>
      <c r="P196" s="52" t="inlineStr">
        <is>
          <t>5-14</t>
        </is>
      </c>
      <c r="Q196" s="14" t="inlineStr">
        <is>
          <t>15 +</t>
        </is>
      </c>
      <c r="R196" s="13" t="inlineStr">
        <is>
          <t>0-4</t>
        </is>
      </c>
      <c r="S196" s="14" t="inlineStr">
        <is>
          <t>5-14</t>
        </is>
      </c>
      <c r="T196" s="14" t="inlineStr">
        <is>
          <t>15 +</t>
        </is>
      </c>
      <c r="U196" s="13" t="inlineStr">
        <is>
          <t>0-4</t>
        </is>
      </c>
      <c r="V196" s="14" t="inlineStr">
        <is>
          <t>5-14</t>
        </is>
      </c>
      <c r="W196" s="14" t="inlineStr">
        <is>
          <t>15 +</t>
        </is>
      </c>
      <c r="X196" s="17" t="inlineStr">
        <is>
          <t>6H</t>
        </is>
      </c>
      <c r="Y196" s="67" t="n">
        <v>0</v>
      </c>
      <c r="Z196" s="67" t="n">
        <v>0</v>
      </c>
      <c r="AA196" s="67" t="n">
        <v>0</v>
      </c>
      <c r="AB196" s="67" t="n">
        <v>0</v>
      </c>
      <c r="AC196" s="67" t="n">
        <v>0</v>
      </c>
      <c r="AD196" s="67" t="n">
        <v>0</v>
      </c>
    </row>
    <row r="197" ht="24.9" customHeight="1">
      <c r="A197" s="165" t="inlineStr">
        <is>
          <t>Previously treated</t>
        </is>
      </c>
      <c r="B197" s="67" t="n">
        <v>0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51" t="n"/>
      <c r="O197" s="67" t="n">
        <v>0</v>
      </c>
      <c r="P197" s="67" t="n">
        <v>0</v>
      </c>
      <c r="Q197" s="67" t="n">
        <v>0</v>
      </c>
      <c r="R197" s="67" t="n">
        <v>0</v>
      </c>
      <c r="S197" s="67" t="n">
        <v>0</v>
      </c>
      <c r="T197" s="67" t="n">
        <v>0</v>
      </c>
      <c r="U197" s="67" t="n">
        <v>0</v>
      </c>
      <c r="V197" s="67" t="n">
        <v>0</v>
      </c>
      <c r="W197" s="67" t="n">
        <v>0</v>
      </c>
      <c r="X197" s="17" t="inlineStr">
        <is>
          <t>3HR</t>
        </is>
      </c>
      <c r="Y197" s="67" t="n">
        <v>0</v>
      </c>
      <c r="Z197" s="67" t="n">
        <v>0</v>
      </c>
      <c r="AA197" s="67" t="n">
        <v>0</v>
      </c>
      <c r="AB197" s="67" t="n">
        <v>0</v>
      </c>
      <c r="AC197" s="67" t="n">
        <v>0</v>
      </c>
      <c r="AD197" s="67" t="n">
        <v>0</v>
      </c>
    </row>
    <row r="198" ht="24.9" customHeight="1">
      <c r="A198" s="67" t="inlineStr">
        <is>
          <t>Total</t>
        </is>
      </c>
      <c r="B198" s="67" t="n">
        <v>77</v>
      </c>
      <c r="C198" s="67" t="n">
        <v>2</v>
      </c>
      <c r="D198" s="67" t="n">
        <v>0</v>
      </c>
      <c r="E198" s="67" t="n">
        <v>0</v>
      </c>
      <c r="F198" s="67" t="n">
        <v>0</v>
      </c>
      <c r="G198" s="67" t="n">
        <v>0</v>
      </c>
      <c r="H198" s="67" t="n">
        <v>0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51" t="n"/>
      <c r="O198" s="190" t="n"/>
      <c r="P198" s="190" t="n"/>
      <c r="Q198" s="190" t="n"/>
      <c r="R198" s="190" t="n"/>
      <c r="S198" s="190" t="n"/>
      <c r="T198" s="190" t="n"/>
      <c r="U198" s="190" t="n"/>
      <c r="V198" s="190" t="n"/>
      <c r="W198" s="190" t="n"/>
      <c r="X198" s="53" t="inlineStr">
        <is>
          <t>3 HP</t>
        </is>
      </c>
      <c r="Y198" s="67" t="n">
        <v>0</v>
      </c>
      <c r="Z198" s="67" t="n">
        <v>0</v>
      </c>
      <c r="AA198" s="67" t="n">
        <v>0</v>
      </c>
      <c r="AB198" s="67" t="n">
        <v>0</v>
      </c>
      <c r="AC198" s="67" t="n">
        <v>0</v>
      </c>
      <c r="AD198" s="67" t="n">
        <v>0</v>
      </c>
    </row>
  </sheetData>
  <mergeCells count="727">
    <mergeCell ref="A176:K176"/>
    <mergeCell ref="S14:U14"/>
    <mergeCell ref="U158:U159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A44:D44"/>
    <mergeCell ref="R80:R81"/>
    <mergeCell ref="AC161:AD162"/>
    <mergeCell ref="T80:T81"/>
    <mergeCell ref="B68:B72"/>
    <mergeCell ref="S15:U15"/>
    <mergeCell ref="S144:V144"/>
    <mergeCell ref="AA106:AD106"/>
    <mergeCell ref="AD174:AD175"/>
    <mergeCell ref="V168:X168"/>
    <mergeCell ref="N169:O169"/>
    <mergeCell ref="S172:U172"/>
    <mergeCell ref="Y129:Z129"/>
    <mergeCell ref="AA105:AD105"/>
    <mergeCell ref="P165:R167"/>
    <mergeCell ref="I46:O46"/>
    <mergeCell ref="P12:R12"/>
    <mergeCell ref="V8:AB8"/>
    <mergeCell ref="R135:S135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D185:D189"/>
    <mergeCell ref="N168:O168"/>
    <mergeCell ref="S93:U93"/>
    <mergeCell ref="A82:X82"/>
    <mergeCell ref="P24:Q24"/>
    <mergeCell ref="O114:Q117"/>
    <mergeCell ref="AA11:AB11"/>
    <mergeCell ref="H154:I154"/>
    <mergeCell ref="AC11:AD11"/>
    <mergeCell ref="V94:X94"/>
    <mergeCell ref="J154:K154"/>
    <mergeCell ref="B154:C154"/>
    <mergeCell ref="S170:U170"/>
    <mergeCell ref="G146:G150"/>
    <mergeCell ref="AA92:AB92"/>
    <mergeCell ref="I146:I150"/>
    <mergeCell ref="R197:R198"/>
    <mergeCell ref="P90:R90"/>
    <mergeCell ref="L66:L67"/>
    <mergeCell ref="T197:T198"/>
    <mergeCell ref="A135:K136"/>
    <mergeCell ref="H105:K105"/>
    <mergeCell ref="A59:K59"/>
    <mergeCell ref="L57:M57"/>
    <mergeCell ref="D68:D72"/>
    <mergeCell ref="W67:Z67"/>
    <mergeCell ref="T40:T41"/>
    <mergeCell ref="A61:K61"/>
    <mergeCell ref="N171:O171"/>
    <mergeCell ref="V40:V41"/>
    <mergeCell ref="A124:H124"/>
    <mergeCell ref="L87:M89"/>
    <mergeCell ref="Z43:AA43"/>
    <mergeCell ref="Y169:Z169"/>
    <mergeCell ref="A114:A116"/>
    <mergeCell ref="O69:R72"/>
    <mergeCell ref="A160:X160"/>
    <mergeCell ref="F107:F111"/>
    <mergeCell ref="A90:K90"/>
    <mergeCell ref="O161:R161"/>
    <mergeCell ref="H107:H111"/>
    <mergeCell ref="N52:O52"/>
    <mergeCell ref="Z3:AA3"/>
    <mergeCell ref="U44:Y45"/>
    <mergeCell ref="U85:Z85"/>
    <mergeCell ref="S197:S198"/>
    <mergeCell ref="A129:K129"/>
    <mergeCell ref="M66:M67"/>
    <mergeCell ref="U197:U198"/>
    <mergeCell ref="V87:AB87"/>
    <mergeCell ref="V49:X50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AC172:AD172"/>
    <mergeCell ref="F185:F189"/>
    <mergeCell ref="B144:C144"/>
    <mergeCell ref="T57:U57"/>
    <mergeCell ref="Y53:Z53"/>
    <mergeCell ref="Y130:Z130"/>
    <mergeCell ref="O186:R189"/>
    <mergeCell ref="AA130:AB130"/>
    <mergeCell ref="O153:Q156"/>
    <mergeCell ref="Y55:Z55"/>
    <mergeCell ref="F28:F32"/>
    <mergeCell ref="H28:H32"/>
    <mergeCell ref="N96:O96"/>
    <mergeCell ref="U161:Y162"/>
    <mergeCell ref="P96:Q96"/>
    <mergeCell ref="X75:AA77"/>
    <mergeCell ref="H75:M75"/>
    <mergeCell ref="S184:V184"/>
    <mergeCell ref="S171:U171"/>
    <mergeCell ref="K44:L44"/>
    <mergeCell ref="V126:AB126"/>
    <mergeCell ref="M183:M184"/>
    <mergeCell ref="S92:U92"/>
    <mergeCell ref="R153:T156"/>
    <mergeCell ref="AC126:AD128"/>
    <mergeCell ref="AA28:AD28"/>
    <mergeCell ref="L26:L27"/>
    <mergeCell ref="C185:C189"/>
    <mergeCell ref="E185:E189"/>
    <mergeCell ref="P93:R93"/>
    <mergeCell ref="S94:U94"/>
    <mergeCell ref="G185:G189"/>
    <mergeCell ref="L129:M129"/>
    <mergeCell ref="Z17:AA17"/>
    <mergeCell ref="Z82:AA82"/>
    <mergeCell ref="AB57:AC57"/>
    <mergeCell ref="F146:F150"/>
    <mergeCell ref="Z161:AB162"/>
    <mergeCell ref="H146:H150"/>
    <mergeCell ref="L52:M52"/>
    <mergeCell ref="O4:R4"/>
    <mergeCell ref="B76:C76"/>
    <mergeCell ref="A192:A194"/>
    <mergeCell ref="W69:Z72"/>
    <mergeCell ref="U40:U41"/>
    <mergeCell ref="S8:U10"/>
    <mergeCell ref="W40:W41"/>
    <mergeCell ref="P130:R130"/>
    <mergeCell ref="Z44:AB45"/>
    <mergeCell ref="S131:U131"/>
    <mergeCell ref="Z160:AA160"/>
    <mergeCell ref="F193:G193"/>
    <mergeCell ref="H193:I193"/>
    <mergeCell ref="O29:R32"/>
    <mergeCell ref="L13:M13"/>
    <mergeCell ref="A66:A67"/>
    <mergeCell ref="Z135:AA135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172:M172"/>
    <mergeCell ref="L55:M55"/>
    <mergeCell ref="A9:K10"/>
    <mergeCell ref="S27:V27"/>
    <mergeCell ref="L171:M171"/>
    <mergeCell ref="K68:K72"/>
    <mergeCell ref="W186:Z189"/>
    <mergeCell ref="AA133:AB133"/>
    <mergeCell ref="L36:M36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AB192:AD194"/>
    <mergeCell ref="G28:G32"/>
    <mergeCell ref="H114:M114"/>
    <mergeCell ref="U163:Z163"/>
    <mergeCell ref="I28:I32"/>
    <mergeCell ref="AA124:AD124"/>
    <mergeCell ref="M161:N161"/>
    <mergeCell ref="AC122:AD123"/>
    <mergeCell ref="A122:D122"/>
    <mergeCell ref="L183:L184"/>
    <mergeCell ref="B115:C115"/>
    <mergeCell ref="AA13:AB13"/>
    <mergeCell ref="AC13:AD13"/>
    <mergeCell ref="L53:M53"/>
    <mergeCell ref="A161:D161"/>
    <mergeCell ref="N53:O53"/>
    <mergeCell ref="O185:R185"/>
    <mergeCell ref="A6:H6"/>
    <mergeCell ref="O106:R106"/>
    <mergeCell ref="L130:M130"/>
    <mergeCell ref="AA15:AB15"/>
    <mergeCell ref="N130:O130"/>
    <mergeCell ref="AC15:AD15"/>
    <mergeCell ref="H26:K26"/>
    <mergeCell ref="A172:K172"/>
    <mergeCell ref="O105:R105"/>
    <mergeCell ref="S87:U89"/>
    <mergeCell ref="A99:K99"/>
    <mergeCell ref="L132:M132"/>
    <mergeCell ref="V53:X53"/>
    <mergeCell ref="M68:M72"/>
    <mergeCell ref="O107:R107"/>
    <mergeCell ref="V48:AB48"/>
    <mergeCell ref="A101:K101"/>
    <mergeCell ref="P133:R133"/>
    <mergeCell ref="P54:R54"/>
    <mergeCell ref="I83:J83"/>
    <mergeCell ref="H35:M35"/>
    <mergeCell ref="M107:M111"/>
    <mergeCell ref="AA26:AD26"/>
    <mergeCell ref="H144:K144"/>
    <mergeCell ref="Z122:AB123"/>
    <mergeCell ref="AD17:AD18"/>
    <mergeCell ref="O183:R183"/>
    <mergeCell ref="B26:C26"/>
    <mergeCell ref="AA68:AD68"/>
    <mergeCell ref="X96:Y96"/>
    <mergeCell ref="AA166:AB167"/>
    <mergeCell ref="D115:E115"/>
    <mergeCell ref="M44:N44"/>
    <mergeCell ref="L174:M174"/>
    <mergeCell ref="N174:O174"/>
    <mergeCell ref="N51:O51"/>
    <mergeCell ref="H153:M153"/>
    <mergeCell ref="M185:M189"/>
    <mergeCell ref="W28:Z28"/>
    <mergeCell ref="AC92:AD92"/>
    <mergeCell ref="V54:X54"/>
    <mergeCell ref="S53:U53"/>
    <mergeCell ref="AA144:AD144"/>
    <mergeCell ref="P171:R171"/>
    <mergeCell ref="O68:R68"/>
    <mergeCell ref="H36:I36"/>
    <mergeCell ref="J36:K36"/>
    <mergeCell ref="S55:U55"/>
    <mergeCell ref="B192:G192"/>
    <mergeCell ref="L92:M92"/>
    <mergeCell ref="N92:O92"/>
    <mergeCell ref="T119:T120"/>
    <mergeCell ref="S158:S159"/>
    <mergeCell ref="V119:V120"/>
    <mergeCell ref="AD135:AD136"/>
    <mergeCell ref="AA54:AB54"/>
    <mergeCell ref="E4:H4"/>
    <mergeCell ref="Y90:Z90"/>
    <mergeCell ref="W183:Z183"/>
    <mergeCell ref="A85:H85"/>
    <mergeCell ref="L94:M94"/>
    <mergeCell ref="AC54:AD54"/>
    <mergeCell ref="V130:X130"/>
    <mergeCell ref="A8:K8"/>
    <mergeCell ref="O184:R184"/>
    <mergeCell ref="W185:Z185"/>
    <mergeCell ref="A100:K100"/>
    <mergeCell ref="A171:K171"/>
    <mergeCell ref="W106:Z106"/>
    <mergeCell ref="A165:K165"/>
    <mergeCell ref="L185:L189"/>
    <mergeCell ref="N133:O133"/>
    <mergeCell ref="V166:X167"/>
    <mergeCell ref="L169:M169"/>
    <mergeCell ref="W105:Z105"/>
    <mergeCell ref="A102:K102"/>
    <mergeCell ref="Y131:Z131"/>
    <mergeCell ref="S126:U128"/>
    <mergeCell ref="AA131:AB131"/>
    <mergeCell ref="N135:O135"/>
    <mergeCell ref="U192:W195"/>
    <mergeCell ref="U122:Y123"/>
    <mergeCell ref="P64:Q64"/>
    <mergeCell ref="P135:Q135"/>
    <mergeCell ref="AA163:AD163"/>
    <mergeCell ref="R57:S57"/>
    <mergeCell ref="L48:M50"/>
    <mergeCell ref="X192:AA194"/>
    <mergeCell ref="A168:K168"/>
    <mergeCell ref="A183:A184"/>
    <mergeCell ref="Y14:Z14"/>
    <mergeCell ref="Y11:Z11"/>
    <mergeCell ref="F154:G154"/>
    <mergeCell ref="O28:R28"/>
    <mergeCell ref="E146:E150"/>
    <mergeCell ref="N17:O17"/>
    <mergeCell ref="P197:P198"/>
    <mergeCell ref="P17:Q17"/>
    <mergeCell ref="I163:O163"/>
    <mergeCell ref="A21:K21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P181:Q181"/>
    <mergeCell ref="O44:R44"/>
    <mergeCell ref="U124:Z124"/>
    <mergeCell ref="J115:K115"/>
    <mergeCell ref="L115:M115"/>
    <mergeCell ref="P131:R131"/>
    <mergeCell ref="B107:B111"/>
    <mergeCell ref="A52:K52"/>
    <mergeCell ref="M122:N122"/>
    <mergeCell ref="D107:D111"/>
    <mergeCell ref="Y91:Z91"/>
    <mergeCell ref="H66:K66"/>
    <mergeCell ref="AA46:AD46"/>
    <mergeCell ref="AA91:AB91"/>
    <mergeCell ref="L131:M131"/>
    <mergeCell ref="O197:O198"/>
    <mergeCell ref="X153:AA155"/>
    <mergeCell ref="Q197:Q198"/>
    <mergeCell ref="Y93:Z93"/>
    <mergeCell ref="AA93:AB93"/>
    <mergeCell ref="W107:Z107"/>
    <mergeCell ref="P158:P159"/>
    <mergeCell ref="V11:X11"/>
    <mergeCell ref="R158:R159"/>
    <mergeCell ref="AC87:AD89"/>
    <mergeCell ref="A68:A72"/>
    <mergeCell ref="AA170:AB170"/>
    <mergeCell ref="V169:X169"/>
    <mergeCell ref="V96:W96"/>
    <mergeCell ref="AA184:AD184"/>
    <mergeCell ref="P13:R13"/>
    <mergeCell ref="Y172:Z172"/>
    <mergeCell ref="A42:AD42"/>
    <mergeCell ref="B185:B189"/>
    <mergeCell ref="O80:O81"/>
    <mergeCell ref="P15:R15"/>
    <mergeCell ref="E83:H83"/>
    <mergeCell ref="A55:K55"/>
    <mergeCell ref="S168:U168"/>
    <mergeCell ref="S51:U51"/>
    <mergeCell ref="R192:T195"/>
    <mergeCell ref="L96:M96"/>
    <mergeCell ref="Y12:Z12"/>
    <mergeCell ref="I4:J4"/>
    <mergeCell ref="A88:K89"/>
    <mergeCell ref="AA12:AB12"/>
    <mergeCell ref="L90:M90"/>
    <mergeCell ref="N90:O90"/>
    <mergeCell ref="T174:U174"/>
    <mergeCell ref="O35:Q38"/>
    <mergeCell ref="V174:W174"/>
    <mergeCell ref="H76:I76"/>
    <mergeCell ref="S169:U169"/>
    <mergeCell ref="J76:K76"/>
    <mergeCell ref="AC52:AD52"/>
    <mergeCell ref="L154:M154"/>
    <mergeCell ref="AA14:AB14"/>
    <mergeCell ref="AB153:AD155"/>
    <mergeCell ref="AC4:AD5"/>
    <mergeCell ref="A185:A189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B146:B150"/>
    <mergeCell ref="D36:E36"/>
    <mergeCell ref="V132:X132"/>
    <mergeCell ref="D146:D150"/>
    <mergeCell ref="AA67:AD67"/>
    <mergeCell ref="P172:R172"/>
    <mergeCell ref="S69:V72"/>
    <mergeCell ref="O40:O41"/>
    <mergeCell ref="Q40:Q41"/>
    <mergeCell ref="S40:S41"/>
    <mergeCell ref="AB174:AC174"/>
    <mergeCell ref="AA27:AD27"/>
    <mergeCell ref="AA172:AB172"/>
    <mergeCell ref="A107:A111"/>
    <mergeCell ref="J193:K193"/>
    <mergeCell ref="C107:C111"/>
    <mergeCell ref="A49:K50"/>
    <mergeCell ref="L193:M193"/>
    <mergeCell ref="V12:X12"/>
    <mergeCell ref="D193:E193"/>
    <mergeCell ref="A126:K126"/>
    <mergeCell ref="I44:J44"/>
    <mergeCell ref="O26:R26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A48:K48"/>
    <mergeCell ref="P170:R170"/>
    <mergeCell ref="AA127:AB128"/>
    <mergeCell ref="G68:G72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M105:M106"/>
    <mergeCell ref="Y51:Z51"/>
    <mergeCell ref="A28:A32"/>
    <mergeCell ref="A137:K137"/>
    <mergeCell ref="C28:C32"/>
    <mergeCell ref="I124:O124"/>
    <mergeCell ref="N170:O170"/>
    <mergeCell ref="AC55:AD55"/>
    <mergeCell ref="L8:M10"/>
    <mergeCell ref="O145:R145"/>
    <mergeCell ref="AA171:AB171"/>
    <mergeCell ref="A139:K139"/>
    <mergeCell ref="AC171:AD171"/>
    <mergeCell ref="V133:X133"/>
    <mergeCell ref="N172:O172"/>
    <mergeCell ref="P92:R92"/>
    <mergeCell ref="AA6:AD6"/>
    <mergeCell ref="S108:V111"/>
    <mergeCell ref="Z83:AB84"/>
    <mergeCell ref="J146:J150"/>
    <mergeCell ref="L146:L150"/>
    <mergeCell ref="S90:U90"/>
    <mergeCell ref="U6:Z6"/>
    <mergeCell ref="W197:W198"/>
    <mergeCell ref="P94:R94"/>
    <mergeCell ref="A140:K140"/>
    <mergeCell ref="A63:K63"/>
    <mergeCell ref="A146:A150"/>
    <mergeCell ref="C146:C150"/>
    <mergeCell ref="I68:I72"/>
    <mergeCell ref="A92:K92"/>
    <mergeCell ref="N54:O54"/>
    <mergeCell ref="H183:K183"/>
    <mergeCell ref="I107:I111"/>
    <mergeCell ref="P40:P41"/>
    <mergeCell ref="K107:K111"/>
    <mergeCell ref="A94:K94"/>
    <mergeCell ref="R40:R41"/>
    <mergeCell ref="P8:R10"/>
    <mergeCell ref="V15:X15"/>
    <mergeCell ref="V51:X51"/>
    <mergeCell ref="AC130:AD130"/>
    <mergeCell ref="O66:R66"/>
    <mergeCell ref="A83:D83"/>
    <mergeCell ref="D144:G144"/>
    <mergeCell ref="A87:K87"/>
    <mergeCell ref="U153:W156"/>
    <mergeCell ref="V197:V198"/>
    <mergeCell ref="A144:A145"/>
    <mergeCell ref="A133:K133"/>
    <mergeCell ref="W68:Z68"/>
    <mergeCell ref="AA168:AB168"/>
    <mergeCell ref="P87:R89"/>
    <mergeCell ref="AC168:AD168"/>
    <mergeCell ref="L144:L145"/>
    <mergeCell ref="Y166:Z167"/>
    <mergeCell ref="L76:M76"/>
    <mergeCell ref="N132:O132"/>
    <mergeCell ref="B153:G153"/>
    <mergeCell ref="U75:W78"/>
    <mergeCell ref="L168:M168"/>
    <mergeCell ref="I185:I189"/>
    <mergeCell ref="K185:K189"/>
    <mergeCell ref="V80:V81"/>
    <mergeCell ref="S28:V28"/>
    <mergeCell ref="F68:F72"/>
    <mergeCell ref="W144:Z144"/>
    <mergeCell ref="Y88:Z89"/>
    <mergeCell ref="L11:M11"/>
    <mergeCell ref="AA129:AB129"/>
    <mergeCell ref="AB35:AD37"/>
    <mergeCell ref="H192:M192"/>
    <mergeCell ref="P119:P120"/>
    <mergeCell ref="R119:R120"/>
    <mergeCell ref="AC48:AD50"/>
    <mergeCell ref="V135:W135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AA185:AD185"/>
    <mergeCell ref="O147:R150"/>
    <mergeCell ref="S106:V106"/>
    <mergeCell ref="H185:H189"/>
    <mergeCell ref="AC91:AD91"/>
    <mergeCell ref="P168:R168"/>
    <mergeCell ref="L133:M133"/>
    <mergeCell ref="S105:V105"/>
    <mergeCell ref="L165:M167"/>
    <mergeCell ref="D154:E154"/>
    <mergeCell ref="K146:K150"/>
    <mergeCell ref="N8:O10"/>
    <mergeCell ref="M146:M150"/>
    <mergeCell ref="V90:X90"/>
    <mergeCell ref="A127:K128"/>
    <mergeCell ref="L51:M51"/>
    <mergeCell ref="E44:H44"/>
    <mergeCell ref="AC94:AD94"/>
    <mergeCell ref="N57:O57"/>
    <mergeCell ref="P57:Q57"/>
    <mergeCell ref="H68:H72"/>
    <mergeCell ref="V129:X129"/>
    <mergeCell ref="A166:K167"/>
    <mergeCell ref="N87:O89"/>
    <mergeCell ref="AA55:AB55"/>
    <mergeCell ref="AA169:AB169"/>
    <mergeCell ref="O75:Q78"/>
    <mergeCell ref="AC169:AD169"/>
    <mergeCell ref="V131:X131"/>
    <mergeCell ref="J107:J111"/>
    <mergeCell ref="AA88:AB89"/>
    <mergeCell ref="P52:R52"/>
    <mergeCell ref="L17:M17"/>
    <mergeCell ref="N11:O11"/>
    <mergeCell ref="M28:M32"/>
    <mergeCell ref="B193:C193"/>
    <mergeCell ref="Y15:Z15"/>
    <mergeCell ref="A105:A106"/>
    <mergeCell ref="O67:R67"/>
    <mergeCell ref="P91:R91"/>
    <mergeCell ref="AC131:AD131"/>
    <mergeCell ref="A57:K58"/>
    <mergeCell ref="A3:X3"/>
    <mergeCell ref="L12:M12"/>
    <mergeCell ref="N12:O12"/>
    <mergeCell ref="N165:O167"/>
    <mergeCell ref="A54:K54"/>
    <mergeCell ref="U4:Y5"/>
    <mergeCell ref="I122:J122"/>
    <mergeCell ref="I6:O6"/>
    <mergeCell ref="L14:M14"/>
    <mergeCell ref="N14:O14"/>
    <mergeCell ref="J185:J189"/>
    <mergeCell ref="AA53:AB53"/>
    <mergeCell ref="S54:U54"/>
    <mergeCell ref="P103:Q103"/>
    <mergeCell ref="W26:Z26"/>
    <mergeCell ref="S186:V189"/>
    <mergeCell ref="AC90:AD90"/>
    <mergeCell ref="P55:R55"/>
    <mergeCell ref="J28:J32"/>
    <mergeCell ref="S107:V107"/>
    <mergeCell ref="L28:L32"/>
    <mergeCell ref="O119:O120"/>
    <mergeCell ref="Y9:Z10"/>
    <mergeCell ref="P169:R169"/>
    <mergeCell ref="B183:C183"/>
    <mergeCell ref="Q119:Q120"/>
    <mergeCell ref="A22:K22"/>
    <mergeCell ref="AA9:AB10"/>
    <mergeCell ref="R96:S96"/>
    <mergeCell ref="T96:U96"/>
    <mergeCell ref="AA146:AD146"/>
    <mergeCell ref="W184:Z184"/>
    <mergeCell ref="S130:U130"/>
    <mergeCell ref="A174:K175"/>
    <mergeCell ref="AA66:AD66"/>
    <mergeCell ref="N129:O129"/>
    <mergeCell ref="S132:U132"/>
    <mergeCell ref="M144:M145"/>
    <mergeCell ref="A11:K11"/>
    <mergeCell ref="B66:C66"/>
    <mergeCell ref="A98:K98"/>
    <mergeCell ref="AC44:AD45"/>
    <mergeCell ref="A169:K169"/>
    <mergeCell ref="V170:X170"/>
    <mergeCell ref="N131:O131"/>
    <mergeCell ref="AC12:AD12"/>
    <mergeCell ref="X57:Y57"/>
    <mergeCell ref="Z57:AA57"/>
    <mergeCell ref="X174:Y174"/>
    <mergeCell ref="D26:G26"/>
    <mergeCell ref="K122:L122"/>
    <mergeCell ref="P174:Q174"/>
    <mergeCell ref="Z174:AA174"/>
    <mergeCell ref="U35:W38"/>
    <mergeCell ref="R174:S174"/>
    <mergeCell ref="A96:K97"/>
    <mergeCell ref="L126:M128"/>
    <mergeCell ref="D76:E76"/>
    <mergeCell ref="A26:A27"/>
    <mergeCell ref="F76:G76"/>
    <mergeCell ref="V172:X172"/>
    <mergeCell ref="S133:U133"/>
    <mergeCell ref="AC14:AD14"/>
    <mergeCell ref="P53:R53"/>
    <mergeCell ref="A177:K177"/>
    <mergeCell ref="E122:H122"/>
    <mergeCell ref="A163:H163"/>
    <mergeCell ref="B114:G114"/>
    <mergeCell ref="A179:K179"/>
    <mergeCell ref="A153:A155"/>
    <mergeCell ref="V9:X10"/>
    <mergeCell ref="Q80:Q81"/>
    <mergeCell ref="B35:G35"/>
    <mergeCell ref="P132:R132"/>
    <mergeCell ref="A121:X121"/>
    <mergeCell ref="S80:S81"/>
    <mergeCell ref="Y170:Z170"/>
    <mergeCell ref="N13:O13"/>
    <mergeCell ref="S29:V32"/>
    <mergeCell ref="A91:K91"/>
    <mergeCell ref="V52:X52"/>
    <mergeCell ref="U46:Z46"/>
    <mergeCell ref="A180:K180"/>
    <mergeCell ref="R35:T38"/>
    <mergeCell ref="P142:Q142"/>
    <mergeCell ref="AC132:AD132"/>
    <mergeCell ref="A93:K93"/>
    <mergeCell ref="W147:Z150"/>
    <mergeCell ref="Z4:AB5"/>
    <mergeCell ref="N55:O55"/>
    <mergeCell ref="K83:L83"/>
    <mergeCell ref="W27:Z27"/>
    <mergeCell ref="M83:N83"/>
    <mergeCell ref="AB75:AD77"/>
    <mergeCell ref="U114:W117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O158:O159"/>
    <mergeCell ref="A12:K12"/>
    <mergeCell ref="Z121:AA121"/>
    <mergeCell ref="O83:R83"/>
    <mergeCell ref="I161:J161"/>
    <mergeCell ref="C68:C72"/>
    <mergeCell ref="K161:L161"/>
    <mergeCell ref="E68:E72"/>
    <mergeCell ref="Y168:Z168"/>
    <mergeCell ref="F115:G115"/>
    <mergeCell ref="I85:O85"/>
    <mergeCell ref="L107:L111"/>
    <mergeCell ref="R17:S17"/>
    <mergeCell ref="A14:K14"/>
    <mergeCell ref="T17:U17"/>
    <mergeCell ref="Y13:Z13"/>
    <mergeCell ref="E161:H161"/>
    <mergeCell ref="S185:V185"/>
    <mergeCell ref="M26:M27"/>
    <mergeCell ref="S165:U167"/>
    <mergeCell ref="S12:U12"/>
    <mergeCell ref="AA51:AB51"/>
    <mergeCell ref="D66:G66"/>
    <mergeCell ref="AC51:AD51"/>
    <mergeCell ref="A170:K170"/>
    <mergeCell ref="W29:Z32"/>
    <mergeCell ref="O192:Q195"/>
    <mergeCell ref="L170:M170"/>
    <mergeCell ref="L135:M135"/>
    <mergeCell ref="P11:R11"/>
    <mergeCell ref="Y171:Z171"/>
    <mergeCell ref="A130:K130"/>
    <mergeCell ref="X35:AA37"/>
    <mergeCell ref="W108:Z111"/>
    <mergeCell ref="Y49:Z50"/>
    <mergeCell ref="A138:K138"/>
    <mergeCell ref="O108:R111"/>
    <mergeCell ref="A132:K132"/>
    <mergeCell ref="N126:O128"/>
    <mergeCell ref="A17:K18"/>
    <mergeCell ref="P80:P81"/>
    <mergeCell ref="V127:X128"/>
    <mergeCell ref="Z96:AA96"/>
    <mergeCell ref="V165:AB165"/>
    <mergeCell ref="AC8:AD10"/>
    <mergeCell ref="S129:U129"/>
    <mergeCell ref="AB96:AC96"/>
    <mergeCell ref="N48:O50"/>
    <mergeCell ref="H115:I115"/>
    <mergeCell ref="A43:X43"/>
    <mergeCell ref="AC165:AD167"/>
    <mergeCell ref="D183:G183"/>
    <mergeCell ref="AD57:AD58"/>
    <mergeCell ref="L54:M54"/>
    <mergeCell ref="B75:G75"/>
    <mergeCell ref="E107:E111"/>
    <mergeCell ref="G107:G111"/>
    <mergeCell ref="P51:R51"/>
    <mergeCell ref="Y127:Z128"/>
    <mergeCell ref="S66:V66"/>
    <mergeCell ref="A75:A77"/>
    <mergeCell ref="AD96:AD97"/>
    <mergeCell ref="W66:Z66"/>
    <mergeCell ref="A20:K20"/>
    <mergeCell ref="R114:T117"/>
    <mergeCell ref="S68:V68"/>
    <mergeCell ref="A13:K13"/>
    <mergeCell ref="K4:L4"/>
    <mergeCell ref="M4:N4"/>
  </mergeCells>
  <printOptions horizontalCentered="1"/>
  <pageMargins left="0.25" right="0.25" top="0.25" bottom="0.25" header="0.25" footer="0.25"/>
  <pageSetup orientation="landscape" paperSize="9" scale="63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8000"/>
    <outlinePr summaryBelow="1" summaryRight="1"/>
    <pageSetUpPr/>
  </sheetPr>
  <dimension ref="A2:AE198"/>
  <sheetViews>
    <sheetView view="pageBreakPreview" topLeftCell="A166" zoomScale="85" zoomScaleNormal="100" zoomScaleSheetLayoutView="85" workbookViewId="0">
      <selection activeCell="A178" sqref="A1:XFD1048576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8.88671875" customWidth="1" min="13" max="13"/>
    <col width="7.33203125" customWidth="1" min="14" max="14"/>
    <col width="6.33203125" customWidth="1" min="15" max="15"/>
    <col width="5.33203125" customWidth="1" min="16" max="16"/>
    <col width="6.33203125" customWidth="1" min="17" max="17"/>
    <col width="5.33203125" customWidth="1" min="18" max="19"/>
    <col width="5.5546875" customWidth="1" min="20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75" t="inlineStr">
        <is>
          <t>GB - Consolidated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8" t="inlineStr">
        <is>
          <t>Gilgit Baltistan</t>
        </is>
      </c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145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4" t="n">
        <v>149</v>
      </c>
      <c r="M11" s="45" t="n"/>
      <c r="N11" s="4" t="n">
        <v>2</v>
      </c>
      <c r="O11" s="45" t="n"/>
      <c r="P11" s="4" t="n">
        <v>0</v>
      </c>
      <c r="Q11" s="33" t="n"/>
      <c r="R11" s="45" t="n"/>
      <c r="S11" s="4" t="n">
        <v>151</v>
      </c>
      <c r="T11" s="33" t="n"/>
      <c r="U11" s="45" t="n"/>
      <c r="V11" s="4" t="n">
        <v>0</v>
      </c>
      <c r="W11" s="33" t="n"/>
      <c r="X11" s="45" t="n"/>
      <c r="Y11" s="4" t="n">
        <v>0</v>
      </c>
      <c r="Z11" s="45" t="n"/>
      <c r="AA11" s="4" t="n">
        <v>0</v>
      </c>
      <c r="AB11" s="45" t="n"/>
      <c r="AC11" s="4" t="n">
        <v>151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4" t="n">
        <v>626</v>
      </c>
      <c r="M12" s="45" t="n"/>
      <c r="N12" s="4" t="n">
        <v>2</v>
      </c>
      <c r="O12" s="45" t="n"/>
      <c r="P12" s="4" t="n">
        <v>2</v>
      </c>
      <c r="Q12" s="33" t="n"/>
      <c r="R12" s="45" t="n"/>
      <c r="S12" s="4" t="n">
        <v>630</v>
      </c>
      <c r="T12" s="33" t="n"/>
      <c r="U12" s="45" t="n"/>
      <c r="V12" s="4" t="n">
        <v>0</v>
      </c>
      <c r="W12" s="33" t="n"/>
      <c r="X12" s="45" t="n"/>
      <c r="Y12" s="4" t="n">
        <v>0</v>
      </c>
      <c r="Z12" s="45" t="n"/>
      <c r="AA12" s="4" t="n">
        <v>0</v>
      </c>
      <c r="AB12" s="45" t="n"/>
      <c r="AC12" s="4" t="n">
        <v>630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4" t="n">
        <v>1</v>
      </c>
      <c r="M13" s="45" t="n"/>
      <c r="N13" s="4" t="n">
        <v>0</v>
      </c>
      <c r="O13" s="45" t="n"/>
      <c r="P13" s="4" t="n">
        <v>0</v>
      </c>
      <c r="Q13" s="33" t="n"/>
      <c r="R13" s="45" t="n"/>
      <c r="S13" s="4" t="n">
        <v>1</v>
      </c>
      <c r="T13" s="33" t="n"/>
      <c r="U13" s="45" t="n"/>
      <c r="V13" s="4" t="n">
        <v>0</v>
      </c>
      <c r="W13" s="33" t="n"/>
      <c r="X13" s="45" t="n"/>
      <c r="Y13" s="4" t="n">
        <v>0</v>
      </c>
      <c r="Z13" s="45" t="n"/>
      <c r="AA13" s="4" t="n">
        <v>0</v>
      </c>
      <c r="AB13" s="45" t="n"/>
      <c r="AC13" s="4" t="n">
        <v>1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4" t="n">
        <v>323</v>
      </c>
      <c r="M14" s="45" t="n"/>
      <c r="N14" s="4" t="n">
        <v>0</v>
      </c>
      <c r="O14" s="45" t="n"/>
      <c r="P14" s="4" t="n">
        <v>0</v>
      </c>
      <c r="Q14" s="33" t="n"/>
      <c r="R14" s="45" t="n"/>
      <c r="S14" s="4" t="n">
        <v>323</v>
      </c>
      <c r="T14" s="33" t="n"/>
      <c r="U14" s="45" t="n"/>
      <c r="V14" s="4" t="n">
        <v>0</v>
      </c>
      <c r="W14" s="33" t="n"/>
      <c r="X14" s="45" t="n"/>
      <c r="Y14" s="4" t="n">
        <v>0</v>
      </c>
      <c r="Z14" s="45" t="n"/>
      <c r="AA14" s="4" t="n">
        <v>0</v>
      </c>
      <c r="AB14" s="45" t="n"/>
      <c r="AC14" s="4" t="n">
        <v>323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4" t="n">
        <v>1099</v>
      </c>
      <c r="M15" s="45" t="n"/>
      <c r="N15" s="4" t="n">
        <v>4</v>
      </c>
      <c r="O15" s="45" t="n"/>
      <c r="P15" s="4" t="n">
        <v>2</v>
      </c>
      <c r="Q15" s="33" t="n"/>
      <c r="R15" s="45" t="n"/>
      <c r="S15" s="4" t="n">
        <v>1105</v>
      </c>
      <c r="T15" s="33" t="n"/>
      <c r="U15" s="45" t="n"/>
      <c r="V15" s="4" t="n">
        <v>0</v>
      </c>
      <c r="W15" s="33" t="n"/>
      <c r="X15" s="45" t="n"/>
      <c r="Y15" s="4" t="n">
        <v>0</v>
      </c>
      <c r="Z15" s="45" t="n"/>
      <c r="AA15" s="4" t="n">
        <v>0</v>
      </c>
      <c r="AB15" s="45" t="n"/>
      <c r="AC15" s="4" t="n">
        <v>1105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4" t="n">
        <v>0</v>
      </c>
      <c r="M19" s="4" t="n">
        <v>0</v>
      </c>
      <c r="N19" s="4" t="n">
        <v>3</v>
      </c>
      <c r="O19" s="4" t="n">
        <v>3</v>
      </c>
      <c r="P19" s="4" t="n">
        <v>13</v>
      </c>
      <c r="Q19" s="4" t="n">
        <v>22</v>
      </c>
      <c r="R19" s="4" t="n">
        <v>19</v>
      </c>
      <c r="S19" s="4" t="n">
        <v>12</v>
      </c>
      <c r="T19" s="4" t="n">
        <v>4</v>
      </c>
      <c r="U19" s="4" t="n">
        <v>10</v>
      </c>
      <c r="V19" s="4" t="n">
        <v>6</v>
      </c>
      <c r="W19" s="4" t="n">
        <v>11</v>
      </c>
      <c r="X19" s="4" t="n">
        <v>9</v>
      </c>
      <c r="Y19" s="4" t="n">
        <v>14</v>
      </c>
      <c r="Z19" s="4" t="n">
        <v>16</v>
      </c>
      <c r="AA19" s="4" t="n">
        <v>9</v>
      </c>
      <c r="AB19" s="4" t="n">
        <v>70</v>
      </c>
      <c r="AC19" s="4" t="n">
        <v>81</v>
      </c>
      <c r="AD19" s="4" t="n">
        <v>151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4" t="n">
        <v>184</v>
      </c>
      <c r="M20" s="4" t="n">
        <v>151</v>
      </c>
      <c r="N20" s="4" t="n">
        <v>54</v>
      </c>
      <c r="O20" s="4" t="n">
        <v>36</v>
      </c>
      <c r="P20" s="4" t="n">
        <v>24</v>
      </c>
      <c r="Q20" s="4" t="n">
        <v>25</v>
      </c>
      <c r="R20" s="4" t="n">
        <v>16</v>
      </c>
      <c r="S20" s="4" t="n">
        <v>26</v>
      </c>
      <c r="T20" s="4" t="n">
        <v>19</v>
      </c>
      <c r="U20" s="4" t="n">
        <v>21</v>
      </c>
      <c r="V20" s="4" t="n">
        <v>12</v>
      </c>
      <c r="W20" s="4" t="n">
        <v>18</v>
      </c>
      <c r="X20" s="4" t="n">
        <v>12</v>
      </c>
      <c r="Y20" s="4" t="n">
        <v>8</v>
      </c>
      <c r="Z20" s="4" t="n">
        <v>14</v>
      </c>
      <c r="AA20" s="4" t="n">
        <v>10</v>
      </c>
      <c r="AB20" s="4" t="n">
        <v>335</v>
      </c>
      <c r="AC20" s="4" t="n">
        <v>295</v>
      </c>
      <c r="AD20" s="4" t="n">
        <v>630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</v>
      </c>
      <c r="AD21" s="4" t="n">
        <v>1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4" t="n">
        <v>72</v>
      </c>
      <c r="M22" s="4" t="n">
        <v>77</v>
      </c>
      <c r="N22" s="4" t="n">
        <v>22</v>
      </c>
      <c r="O22" s="4" t="n">
        <v>11</v>
      </c>
      <c r="P22" s="4" t="n">
        <v>20</v>
      </c>
      <c r="Q22" s="4" t="n">
        <v>19</v>
      </c>
      <c r="R22" s="4" t="n">
        <v>16</v>
      </c>
      <c r="S22" s="4" t="n">
        <v>12</v>
      </c>
      <c r="T22" s="4" t="n">
        <v>10</v>
      </c>
      <c r="U22" s="4" t="n">
        <v>9</v>
      </c>
      <c r="V22" s="4" t="n">
        <v>11</v>
      </c>
      <c r="W22" s="4" t="n">
        <v>10</v>
      </c>
      <c r="X22" s="4" t="n">
        <v>13</v>
      </c>
      <c r="Y22" s="4" t="n">
        <v>5</v>
      </c>
      <c r="Z22" s="4" t="n">
        <v>10</v>
      </c>
      <c r="AA22" s="4" t="n">
        <v>6</v>
      </c>
      <c r="AB22" s="4" t="n">
        <v>174</v>
      </c>
      <c r="AC22" s="4" t="n">
        <v>149</v>
      </c>
      <c r="AD22" s="4" t="n">
        <v>323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4" t="n">
        <v>256</v>
      </c>
      <c r="M23" s="4" t="n">
        <v>228</v>
      </c>
      <c r="N23" s="4" t="n">
        <v>79</v>
      </c>
      <c r="O23" s="4" t="n">
        <v>50</v>
      </c>
      <c r="P23" s="4" t="n">
        <v>57</v>
      </c>
      <c r="Q23" s="4" t="n">
        <v>66</v>
      </c>
      <c r="R23" s="4" t="n">
        <v>51</v>
      </c>
      <c r="S23" s="4" t="n">
        <v>50</v>
      </c>
      <c r="T23" s="4" t="n">
        <v>33</v>
      </c>
      <c r="U23" s="4" t="n">
        <v>40</v>
      </c>
      <c r="V23" s="4" t="n">
        <v>29</v>
      </c>
      <c r="W23" s="4" t="n">
        <v>40</v>
      </c>
      <c r="X23" s="4" t="n">
        <v>34</v>
      </c>
      <c r="Y23" s="4" t="n">
        <v>27</v>
      </c>
      <c r="Z23" s="4" t="n">
        <v>40</v>
      </c>
      <c r="AA23" s="4" t="n">
        <v>25</v>
      </c>
      <c r="AB23" s="4" t="n">
        <v>579</v>
      </c>
      <c r="AC23" s="4" t="n">
        <v>526</v>
      </c>
      <c r="AD23" s="4" t="n">
        <v>1105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93" t="n">
        <v>413</v>
      </c>
      <c r="P27" s="33" t="n"/>
      <c r="Q27" s="33" t="n"/>
      <c r="R27" s="33" t="n"/>
      <c r="S27" s="93" t="n">
        <v>4</v>
      </c>
      <c r="T27" s="33" t="n"/>
      <c r="U27" s="33" t="n"/>
      <c r="V27" s="33" t="n"/>
      <c r="W27" s="93" t="n">
        <v>0</v>
      </c>
      <c r="X27" s="33" t="n"/>
      <c r="Y27" s="33" t="n"/>
      <c r="Z27" s="33" t="n"/>
      <c r="AA27" s="93" t="n">
        <v>0</v>
      </c>
      <c r="AB27" s="33" t="n"/>
      <c r="AC27" s="33" t="n"/>
      <c r="AD27" s="33" t="n"/>
    </row>
    <row r="28" ht="38.25" customHeight="1">
      <c r="A28" s="193" t="n">
        <v>327076</v>
      </c>
      <c r="B28" s="193" t="n">
        <v>3820</v>
      </c>
      <c r="C28" s="193" t="n">
        <v>495</v>
      </c>
      <c r="D28" s="193" t="n">
        <v>482</v>
      </c>
      <c r="E28" s="193" t="n">
        <v>185</v>
      </c>
      <c r="F28" s="193" t="n">
        <v>2317</v>
      </c>
      <c r="G28" s="193" t="n">
        <v>2984</v>
      </c>
      <c r="H28" s="193" t="n">
        <v>21</v>
      </c>
      <c r="I28" s="193" t="n">
        <v>12</v>
      </c>
      <c r="J28" s="193" t="n">
        <v>145</v>
      </c>
      <c r="K28" s="193" t="n">
        <v>178</v>
      </c>
      <c r="L28" s="193" t="n">
        <v>146</v>
      </c>
      <c r="M28" s="193" t="n">
        <v>170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65" t="n">
        <v>15</v>
      </c>
      <c r="P29" s="178" t="n"/>
      <c r="Q29" s="178" t="n"/>
      <c r="R29" s="179" t="n"/>
      <c r="S29" s="165" t="n">
        <v>0</v>
      </c>
      <c r="T29" s="178" t="n"/>
      <c r="U29" s="178" t="n"/>
      <c r="V29" s="179" t="n"/>
      <c r="W29" s="165" t="n"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4" t="n">
        <v>0</v>
      </c>
      <c r="AC30" s="4" t="n">
        <v>0</v>
      </c>
      <c r="AD30" s="4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4" t="n">
        <v>0</v>
      </c>
      <c r="AC31" s="4" t="n">
        <v>0</v>
      </c>
      <c r="AD31" s="4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4" t="n">
        <v>0</v>
      </c>
      <c r="AC32" s="4" t="n">
        <v>0</v>
      </c>
      <c r="AD32" s="4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4" t="n">
        <v>87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4" t="n">
        <v>2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4" t="n">
        <v>2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</row>
    <row r="40" ht="24.9" customHeight="1">
      <c r="A40" s="165" t="inlineStr">
        <is>
          <t>Previously treated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1" t="n"/>
      <c r="O40" s="4" t="n">
        <v>30</v>
      </c>
      <c r="P40" s="4" t="n">
        <v>133</v>
      </c>
      <c r="Q40" s="4" t="n">
        <v>481</v>
      </c>
      <c r="R40" s="4" t="n">
        <v>23</v>
      </c>
      <c r="S40" s="4" t="n">
        <v>101</v>
      </c>
      <c r="T40" s="4" t="n">
        <v>267</v>
      </c>
      <c r="U40" s="4" t="n">
        <v>0</v>
      </c>
      <c r="V40" s="4" t="n">
        <v>1</v>
      </c>
      <c r="W40" s="4" t="n">
        <v>2</v>
      </c>
      <c r="X40" s="17" t="inlineStr">
        <is>
          <t>3HR</t>
        </is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</row>
    <row r="41" ht="24.9" customHeight="1">
      <c r="A41" s="67" t="inlineStr">
        <is>
          <t>Total</t>
        </is>
      </c>
      <c r="B41" s="67" t="n">
        <v>89</v>
      </c>
      <c r="C41" s="67" t="n">
        <v>1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4" t="n">
        <v>0</v>
      </c>
      <c r="Z41" s="4" t="n">
        <v>9</v>
      </c>
      <c r="AA41" s="4" t="n">
        <v>78</v>
      </c>
      <c r="AB41" s="4" t="n">
        <v>0</v>
      </c>
      <c r="AC41" s="4" t="n">
        <v>0</v>
      </c>
      <c r="AD41" s="4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74" t="inlineStr">
        <is>
          <t>GB - Consolidated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8" t="inlineStr">
        <is>
          <t>Gilgit Baltistan</t>
        </is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145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4" t="n">
        <v>123</v>
      </c>
      <c r="M51" s="45" t="n"/>
      <c r="N51" s="4" t="n">
        <v>7</v>
      </c>
      <c r="O51" s="45" t="n"/>
      <c r="P51" s="4" t="n">
        <v>0</v>
      </c>
      <c r="Q51" s="33" t="n"/>
      <c r="R51" s="45" t="n"/>
      <c r="S51" s="4" t="n">
        <v>130</v>
      </c>
      <c r="T51" s="33" t="n"/>
      <c r="U51" s="45" t="n"/>
      <c r="V51" s="4" t="n">
        <v>0</v>
      </c>
      <c r="W51" s="33" t="n"/>
      <c r="X51" s="45" t="n"/>
      <c r="Y51" s="4" t="n">
        <v>0</v>
      </c>
      <c r="Z51" s="45" t="n"/>
      <c r="AA51" s="4" t="n">
        <v>0</v>
      </c>
      <c r="AB51" s="45" t="n"/>
      <c r="AC51" s="4" t="n">
        <v>130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4" t="n">
        <v>944</v>
      </c>
      <c r="M52" s="45" t="n"/>
      <c r="N52" s="4" t="n">
        <v>0</v>
      </c>
      <c r="O52" s="45" t="n"/>
      <c r="P52" s="4" t="n">
        <v>0</v>
      </c>
      <c r="Q52" s="33" t="n"/>
      <c r="R52" s="45" t="n"/>
      <c r="S52" s="4" t="n">
        <v>944</v>
      </c>
      <c r="T52" s="33" t="n"/>
      <c r="U52" s="45" t="n"/>
      <c r="V52" s="4" t="n">
        <v>0</v>
      </c>
      <c r="W52" s="33" t="n"/>
      <c r="X52" s="45" t="n"/>
      <c r="Y52" s="4" t="n">
        <v>0</v>
      </c>
      <c r="Z52" s="45" t="n"/>
      <c r="AA52" s="4" t="n">
        <v>0</v>
      </c>
      <c r="AB52" s="45" t="n"/>
      <c r="AC52" s="4" t="n">
        <v>944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4" t="n">
        <v>4</v>
      </c>
      <c r="M53" s="45" t="n"/>
      <c r="N53" s="4" t="n">
        <v>0</v>
      </c>
      <c r="O53" s="45" t="n"/>
      <c r="P53" s="4" t="n">
        <v>0</v>
      </c>
      <c r="Q53" s="33" t="n"/>
      <c r="R53" s="45" t="n"/>
      <c r="S53" s="4" t="n">
        <v>4</v>
      </c>
      <c r="T53" s="33" t="n"/>
      <c r="U53" s="45" t="n"/>
      <c r="V53" s="4" t="n">
        <v>0</v>
      </c>
      <c r="W53" s="33" t="n"/>
      <c r="X53" s="45" t="n"/>
      <c r="Y53" s="4" t="n">
        <v>0</v>
      </c>
      <c r="Z53" s="45" t="n"/>
      <c r="AA53" s="4" t="n">
        <v>0</v>
      </c>
      <c r="AB53" s="45" t="n"/>
      <c r="AC53" s="4" t="n">
        <v>4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4" t="n">
        <v>416</v>
      </c>
      <c r="M54" s="45" t="n"/>
      <c r="N54" s="4" t="n">
        <v>0</v>
      </c>
      <c r="O54" s="45" t="n"/>
      <c r="P54" s="4" t="n">
        <v>0</v>
      </c>
      <c r="Q54" s="33" t="n"/>
      <c r="R54" s="45" t="n"/>
      <c r="S54" s="4" t="n">
        <v>416</v>
      </c>
      <c r="T54" s="33" t="n"/>
      <c r="U54" s="45" t="n"/>
      <c r="V54" s="4" t="n">
        <v>0</v>
      </c>
      <c r="W54" s="33" t="n"/>
      <c r="X54" s="45" t="n"/>
      <c r="Y54" s="4" t="n">
        <v>0</v>
      </c>
      <c r="Z54" s="45" t="n"/>
      <c r="AA54" s="4" t="n">
        <v>0</v>
      </c>
      <c r="AB54" s="45" t="n"/>
      <c r="AC54" s="4" t="n">
        <v>416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4" t="n">
        <v>1487</v>
      </c>
      <c r="M55" s="45" t="n"/>
      <c r="N55" s="4" t="n">
        <v>7</v>
      </c>
      <c r="O55" s="45" t="n"/>
      <c r="P55" s="4" t="n">
        <v>0</v>
      </c>
      <c r="Q55" s="33" t="n"/>
      <c r="R55" s="45" t="n"/>
      <c r="S55" s="4" t="n">
        <v>1494</v>
      </c>
      <c r="T55" s="33" t="n"/>
      <c r="U55" s="45" t="n"/>
      <c r="V55" s="4" t="n">
        <v>0</v>
      </c>
      <c r="W55" s="33" t="n"/>
      <c r="X55" s="45" t="n"/>
      <c r="Y55" s="4" t="n">
        <v>0</v>
      </c>
      <c r="Z55" s="45" t="n"/>
      <c r="AA55" s="4" t="n">
        <v>0</v>
      </c>
      <c r="AB55" s="45" t="n"/>
      <c r="AC55" s="4" t="n">
        <v>1494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4" t="n">
        <v>0</v>
      </c>
      <c r="M59" s="4" t="n">
        <v>0</v>
      </c>
      <c r="N59" s="4" t="n">
        <v>4</v>
      </c>
      <c r="O59" s="4" t="n">
        <v>3</v>
      </c>
      <c r="P59" s="4" t="n">
        <v>11</v>
      </c>
      <c r="Q59" s="4" t="n">
        <v>24</v>
      </c>
      <c r="R59" s="4" t="n">
        <v>12</v>
      </c>
      <c r="S59" s="4" t="n">
        <v>15</v>
      </c>
      <c r="T59" s="4" t="n">
        <v>7</v>
      </c>
      <c r="U59" s="4" t="n">
        <v>10</v>
      </c>
      <c r="V59" s="4" t="n">
        <v>3</v>
      </c>
      <c r="W59" s="4" t="n">
        <v>4</v>
      </c>
      <c r="X59" s="4" t="n">
        <v>6</v>
      </c>
      <c r="Y59" s="4" t="n">
        <v>3</v>
      </c>
      <c r="Z59" s="4" t="n">
        <v>13</v>
      </c>
      <c r="AA59" s="4" t="n">
        <v>15</v>
      </c>
      <c r="AB59" s="4" t="n">
        <v>56</v>
      </c>
      <c r="AC59" s="4" t="n">
        <v>74</v>
      </c>
      <c r="AD59" s="4" t="n">
        <v>130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4" t="n">
        <v>292</v>
      </c>
      <c r="M60" s="4" t="n">
        <v>232</v>
      </c>
      <c r="N60" s="4" t="n">
        <v>83</v>
      </c>
      <c r="O60" s="4" t="n">
        <v>69</v>
      </c>
      <c r="P60" s="4" t="n">
        <v>34</v>
      </c>
      <c r="Q60" s="4" t="n">
        <v>47</v>
      </c>
      <c r="R60" s="4" t="n">
        <v>27</v>
      </c>
      <c r="S60" s="4" t="n">
        <v>46</v>
      </c>
      <c r="T60" s="4" t="n">
        <v>20</v>
      </c>
      <c r="U60" s="4" t="n">
        <v>19</v>
      </c>
      <c r="V60" s="4" t="n">
        <v>12</v>
      </c>
      <c r="W60" s="4" t="n">
        <v>20</v>
      </c>
      <c r="X60" s="4" t="n">
        <v>7</v>
      </c>
      <c r="Y60" s="4" t="n">
        <v>9</v>
      </c>
      <c r="Z60" s="4" t="n">
        <v>18</v>
      </c>
      <c r="AA60" s="4" t="n">
        <v>9</v>
      </c>
      <c r="AB60" s="4" t="n">
        <v>493</v>
      </c>
      <c r="AC60" s="4" t="n">
        <v>451</v>
      </c>
      <c r="AD60" s="4" t="n">
        <v>944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4" t="n">
        <v>0</v>
      </c>
      <c r="M61" s="4" t="n">
        <v>0</v>
      </c>
      <c r="N61" s="4" t="n">
        <v>0</v>
      </c>
      <c r="O61" s="4" t="n">
        <v>0</v>
      </c>
      <c r="P61" s="4" t="n">
        <v>1</v>
      </c>
      <c r="Q61" s="4" t="n">
        <v>0</v>
      </c>
      <c r="R61" s="4" t="n">
        <v>1</v>
      </c>
      <c r="S61" s="4" t="n">
        <v>1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1</v>
      </c>
      <c r="Z61" s="4" t="n">
        <v>0</v>
      </c>
      <c r="AA61" s="4" t="n">
        <v>0</v>
      </c>
      <c r="AB61" s="4" t="n">
        <v>2</v>
      </c>
      <c r="AC61" s="4" t="n">
        <v>2</v>
      </c>
      <c r="AD61" s="4" t="n">
        <v>4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4" t="n">
        <v>125</v>
      </c>
      <c r="M62" s="4" t="n">
        <v>88</v>
      </c>
      <c r="N62" s="4" t="n">
        <v>34</v>
      </c>
      <c r="O62" s="4" t="n">
        <v>31</v>
      </c>
      <c r="P62" s="4" t="n">
        <v>23</v>
      </c>
      <c r="Q62" s="4" t="n">
        <v>19</v>
      </c>
      <c r="R62" s="4" t="n">
        <v>18</v>
      </c>
      <c r="S62" s="4" t="n">
        <v>11</v>
      </c>
      <c r="T62" s="4" t="n">
        <v>7</v>
      </c>
      <c r="U62" s="4" t="n">
        <v>12</v>
      </c>
      <c r="V62" s="4" t="n">
        <v>6</v>
      </c>
      <c r="W62" s="4" t="n">
        <v>8</v>
      </c>
      <c r="X62" s="4" t="n">
        <v>10</v>
      </c>
      <c r="Y62" s="4" t="n">
        <v>10</v>
      </c>
      <c r="Z62" s="4" t="n">
        <v>9</v>
      </c>
      <c r="AA62" s="4" t="n">
        <v>5</v>
      </c>
      <c r="AB62" s="4" t="n">
        <v>232</v>
      </c>
      <c r="AC62" s="4" t="n">
        <v>184</v>
      </c>
      <c r="AD62" s="4" t="n">
        <v>416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4" t="n">
        <v>417</v>
      </c>
      <c r="M63" s="4" t="n">
        <v>320</v>
      </c>
      <c r="N63" s="4" t="n">
        <v>121</v>
      </c>
      <c r="O63" s="4" t="n">
        <v>103</v>
      </c>
      <c r="P63" s="4" t="n">
        <v>69</v>
      </c>
      <c r="Q63" s="4" t="n">
        <v>90</v>
      </c>
      <c r="R63" s="4" t="n">
        <v>58</v>
      </c>
      <c r="S63" s="4" t="n">
        <v>73</v>
      </c>
      <c r="T63" s="4" t="n">
        <v>34</v>
      </c>
      <c r="U63" s="4" t="n">
        <v>41</v>
      </c>
      <c r="V63" s="4" t="n">
        <v>21</v>
      </c>
      <c r="W63" s="4" t="n">
        <v>32</v>
      </c>
      <c r="X63" s="4" t="n">
        <v>23</v>
      </c>
      <c r="Y63" s="4" t="n">
        <v>23</v>
      </c>
      <c r="Z63" s="4" t="n">
        <v>40</v>
      </c>
      <c r="AA63" s="4" t="n">
        <v>29</v>
      </c>
      <c r="AB63" s="4" t="n">
        <v>783</v>
      </c>
      <c r="AC63" s="4" t="n">
        <v>711</v>
      </c>
      <c r="AD63" s="4" t="n">
        <v>1494</v>
      </c>
      <c r="AE63" s="57" t="n"/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93" t="n">
        <v>436</v>
      </c>
      <c r="P67" s="33" t="n"/>
      <c r="Q67" s="33" t="n"/>
      <c r="R67" s="33" t="n"/>
      <c r="S67" s="93" t="n">
        <v>1</v>
      </c>
      <c r="T67" s="33" t="n"/>
      <c r="U67" s="33" t="n"/>
      <c r="V67" s="33" t="n"/>
      <c r="W67" s="93" t="n">
        <v>1</v>
      </c>
      <c r="X67" s="33" t="n"/>
      <c r="Y67" s="33" t="n"/>
      <c r="Z67" s="33" t="n"/>
      <c r="AA67" s="93" t="n">
        <v>1</v>
      </c>
      <c r="AB67" s="33" t="n"/>
      <c r="AC67" s="33" t="n"/>
      <c r="AD67" s="33" t="n"/>
    </row>
    <row r="68" ht="38.25" customHeight="1">
      <c r="A68" s="193" t="n">
        <v>327241</v>
      </c>
      <c r="B68" s="193" t="n">
        <v>4048</v>
      </c>
      <c r="C68" s="193" t="n">
        <v>255</v>
      </c>
      <c r="D68" s="193" t="n">
        <v>1221</v>
      </c>
      <c r="E68" s="193" t="n">
        <v>66</v>
      </c>
      <c r="F68" s="193" t="n">
        <v>2273</v>
      </c>
      <c r="G68" s="193" t="n">
        <v>3560</v>
      </c>
      <c r="H68" s="193" t="n">
        <v>17</v>
      </c>
      <c r="I68" s="193" t="n">
        <v>9</v>
      </c>
      <c r="J68" s="193" t="n">
        <v>114</v>
      </c>
      <c r="K68" s="193" t="n">
        <v>140</v>
      </c>
      <c r="L68" s="193" t="n">
        <v>128</v>
      </c>
      <c r="M68" s="193" t="n">
        <v>131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65" t="n">
        <v>20</v>
      </c>
      <c r="P69" s="178" t="n"/>
      <c r="Q69" s="178" t="n"/>
      <c r="R69" s="179" t="n"/>
      <c r="S69" s="165" t="n">
        <v>0</v>
      </c>
      <c r="T69" s="178" t="n"/>
      <c r="U69" s="178" t="n"/>
      <c r="V69" s="179" t="n"/>
      <c r="W69" s="165" t="n">
        <v>0</v>
      </c>
      <c r="X69" s="178" t="n"/>
      <c r="Y69" s="178" t="n"/>
      <c r="Z69" s="179" t="n"/>
      <c r="AA69" s="8" t="n"/>
      <c r="AB69" s="8" t="inlineStr">
        <is>
          <t>0-4</t>
        </is>
      </c>
      <c r="AC69" s="9" t="inlineStr">
        <is>
          <t>5-14</t>
        </is>
      </c>
      <c r="AD69" s="40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4" t="n">
        <v>0</v>
      </c>
      <c r="AC70" s="4" t="n">
        <v>0</v>
      </c>
      <c r="AD70" s="4" t="n"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4" t="n">
        <v>0</v>
      </c>
      <c r="AC71" s="4" t="n">
        <v>0</v>
      </c>
      <c r="AD71" s="4" t="n"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4" t="n">
        <v>0</v>
      </c>
      <c r="AC72" s="4" t="n">
        <v>0</v>
      </c>
      <c r="AD72" s="4" t="n"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4" t="n">
        <v>91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4" t="n">
        <v>5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</row>
    <row r="80" ht="24.9" customHeight="1">
      <c r="A80" s="165" t="inlineStr">
        <is>
          <t>Previously treated</t>
        </is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51" t="n"/>
      <c r="O80" s="4" t="n">
        <v>28</v>
      </c>
      <c r="P80" s="4" t="n">
        <v>152</v>
      </c>
      <c r="Q80" s="4" t="n">
        <v>409</v>
      </c>
      <c r="R80" s="4" t="n">
        <v>18</v>
      </c>
      <c r="S80" s="4" t="n">
        <v>134</v>
      </c>
      <c r="T80" s="4" t="n">
        <v>232</v>
      </c>
      <c r="U80" s="4" t="n">
        <v>0</v>
      </c>
      <c r="V80" s="4" t="n">
        <v>5</v>
      </c>
      <c r="W80" s="4" t="n">
        <v>9</v>
      </c>
      <c r="X80" s="17" t="inlineStr">
        <is>
          <t>3HR</t>
        </is>
      </c>
      <c r="Y80" s="4" t="n">
        <v>0</v>
      </c>
      <c r="Z80" s="4" t="n">
        <v>0</v>
      </c>
      <c r="AA80" s="4" t="n">
        <v>10</v>
      </c>
      <c r="AB80" s="4" t="n">
        <v>0</v>
      </c>
      <c r="AC80" s="4" t="n">
        <v>0</v>
      </c>
      <c r="AD80" s="4" t="n">
        <v>0</v>
      </c>
    </row>
    <row r="81" ht="24.9" customHeight="1">
      <c r="A81" s="67" t="inlineStr">
        <is>
          <t>Total</t>
        </is>
      </c>
      <c r="B81" s="67" t="n">
        <v>92</v>
      </c>
      <c r="C81" s="67" t="n">
        <v>0</v>
      </c>
      <c r="D81" s="67" t="n">
        <v>0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4" t="n">
        <v>0</v>
      </c>
      <c r="Z81" s="4" t="n">
        <v>14</v>
      </c>
      <c r="AA81" s="4" t="n">
        <v>0</v>
      </c>
      <c r="AB81" s="4" t="n">
        <v>0</v>
      </c>
      <c r="AC81" s="4" t="n">
        <v>0</v>
      </c>
      <c r="AD81" s="4" t="n"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 s="174" t="inlineStr">
        <is>
          <t>GB - Consolidated</t>
        </is>
      </c>
      <c r="I83" s="136" t="inlineStr">
        <is>
          <t xml:space="preserve">District : </t>
        </is>
      </c>
      <c r="K83" s="137" t="n">
        <v>0</v>
      </c>
      <c r="M83" s="136" t="inlineStr">
        <is>
          <t>Central :</t>
        </is>
      </c>
      <c r="O83" s="138" t="inlineStr">
        <is>
          <t>Gilgit Baltistan</t>
        </is>
      </c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145" t="inlineStr">
        <is>
          <t>of Year 2026</t>
        </is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4" t="n">
        <v>0</v>
      </c>
      <c r="M90" s="45" t="n"/>
      <c r="N90" s="4" t="n">
        <v>0</v>
      </c>
      <c r="O90" s="45" t="n"/>
      <c r="P90" s="4" t="n">
        <v>0</v>
      </c>
      <c r="Q90" s="33" t="n"/>
      <c r="R90" s="45" t="n"/>
      <c r="S90" s="4" t="n">
        <v>0</v>
      </c>
      <c r="T90" s="33" t="n"/>
      <c r="U90" s="45" t="n"/>
      <c r="V90" s="4" t="n">
        <v>0</v>
      </c>
      <c r="W90" s="33" t="n"/>
      <c r="X90" s="45" t="n"/>
      <c r="Y90" s="4" t="n">
        <v>0</v>
      </c>
      <c r="Z90" s="45" t="n"/>
      <c r="AA90" s="4" t="n">
        <v>0</v>
      </c>
      <c r="AB90" s="45" t="n"/>
      <c r="AC90" s="4" t="n"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4" t="n">
        <v>0</v>
      </c>
      <c r="M91" s="45" t="n"/>
      <c r="N91" s="4" t="n">
        <v>0</v>
      </c>
      <c r="O91" s="45" t="n"/>
      <c r="P91" s="4" t="n">
        <v>0</v>
      </c>
      <c r="Q91" s="33" t="n"/>
      <c r="R91" s="45" t="n"/>
      <c r="S91" s="4" t="n">
        <v>0</v>
      </c>
      <c r="T91" s="33" t="n"/>
      <c r="U91" s="45" t="n"/>
      <c r="V91" s="4" t="n">
        <v>0</v>
      </c>
      <c r="W91" s="33" t="n"/>
      <c r="X91" s="45" t="n"/>
      <c r="Y91" s="4" t="n">
        <v>0</v>
      </c>
      <c r="Z91" s="45" t="n"/>
      <c r="AA91" s="4" t="n">
        <v>0</v>
      </c>
      <c r="AB91" s="45" t="n"/>
      <c r="AC91" s="4" t="n"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4" t="n">
        <v>0</v>
      </c>
      <c r="M92" s="45" t="n"/>
      <c r="N92" s="4" t="n">
        <v>0</v>
      </c>
      <c r="O92" s="45" t="n"/>
      <c r="P92" s="4" t="n">
        <v>0</v>
      </c>
      <c r="Q92" s="33" t="n"/>
      <c r="R92" s="45" t="n"/>
      <c r="S92" s="4" t="n">
        <v>0</v>
      </c>
      <c r="T92" s="33" t="n"/>
      <c r="U92" s="45" t="n"/>
      <c r="V92" s="4" t="n">
        <v>0</v>
      </c>
      <c r="W92" s="33" t="n"/>
      <c r="X92" s="45" t="n"/>
      <c r="Y92" s="4" t="n">
        <v>0</v>
      </c>
      <c r="Z92" s="45" t="n"/>
      <c r="AA92" s="4" t="n">
        <v>0</v>
      </c>
      <c r="AB92" s="45" t="n"/>
      <c r="AC92" s="4" t="n"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4" t="n">
        <v>0</v>
      </c>
      <c r="M93" s="45" t="n"/>
      <c r="N93" s="4" t="n">
        <v>0</v>
      </c>
      <c r="O93" s="45" t="n"/>
      <c r="P93" s="4" t="n">
        <v>0</v>
      </c>
      <c r="Q93" s="33" t="n"/>
      <c r="R93" s="45" t="n"/>
      <c r="S93" s="4" t="n">
        <v>0</v>
      </c>
      <c r="T93" s="33" t="n"/>
      <c r="U93" s="45" t="n"/>
      <c r="V93" s="4" t="n">
        <v>0</v>
      </c>
      <c r="W93" s="33" t="n"/>
      <c r="X93" s="45" t="n"/>
      <c r="Y93" s="4" t="n">
        <v>0</v>
      </c>
      <c r="Z93" s="45" t="n"/>
      <c r="AA93" s="4" t="n">
        <v>0</v>
      </c>
      <c r="AB93" s="45" t="n"/>
      <c r="AC93" s="4" t="n"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4" t="n">
        <v>0</v>
      </c>
      <c r="M94" s="45" t="n"/>
      <c r="N94" s="4" t="n">
        <v>0</v>
      </c>
      <c r="O94" s="45" t="n"/>
      <c r="P94" s="4" t="n">
        <v>0</v>
      </c>
      <c r="Q94" s="33" t="n"/>
      <c r="R94" s="45" t="n"/>
      <c r="S94" s="4" t="n">
        <v>0</v>
      </c>
      <c r="T94" s="33" t="n"/>
      <c r="U94" s="45" t="n"/>
      <c r="V94" s="4" t="n">
        <v>0</v>
      </c>
      <c r="W94" s="33" t="n"/>
      <c r="X94" s="45" t="n"/>
      <c r="Y94" s="4" t="n">
        <v>0</v>
      </c>
      <c r="Z94" s="45" t="n"/>
      <c r="AA94" s="4" t="n">
        <v>0</v>
      </c>
      <c r="AB94" s="45" t="n"/>
      <c r="AC94" s="4" t="n"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93" t="n">
        <v>0</v>
      </c>
      <c r="P106" s="33" t="n"/>
      <c r="Q106" s="33" t="n"/>
      <c r="R106" s="33" t="n"/>
      <c r="S106" s="93" t="n">
        <v>0</v>
      </c>
      <c r="T106" s="33" t="n"/>
      <c r="U106" s="33" t="n"/>
      <c r="V106" s="33" t="n"/>
      <c r="W106" s="93" t="n">
        <v>0</v>
      </c>
      <c r="X106" s="33" t="n"/>
      <c r="Y106" s="33" t="n"/>
      <c r="Z106" s="33" t="n"/>
      <c r="AA106" s="93" t="n">
        <v>0</v>
      </c>
      <c r="AB106" s="33" t="n"/>
      <c r="AC106" s="33" t="n"/>
      <c r="AD106" s="33" t="n"/>
    </row>
    <row r="107" ht="38.25" customHeight="1">
      <c r="A107" s="193" t="n">
        <v>0</v>
      </c>
      <c r="B107" s="193" t="n">
        <v>0</v>
      </c>
      <c r="C107" s="193" t="n">
        <v>0</v>
      </c>
      <c r="D107" s="193" t="n">
        <v>0</v>
      </c>
      <c r="E107" s="193" t="n">
        <v>0</v>
      </c>
      <c r="F107" s="193" t="n">
        <v>0</v>
      </c>
      <c r="G107" s="193" t="n">
        <v>0</v>
      </c>
      <c r="H107" s="193" t="n">
        <v>0</v>
      </c>
      <c r="I107" s="193" t="n">
        <v>0</v>
      </c>
      <c r="J107" s="193" t="n">
        <v>0</v>
      </c>
      <c r="K107" s="193" t="n">
        <v>0</v>
      </c>
      <c r="L107" s="193" t="n">
        <v>0</v>
      </c>
      <c r="M107" s="193" t="n"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65" t="n">
        <v>0</v>
      </c>
      <c r="P108" s="178" t="n"/>
      <c r="Q108" s="178" t="n"/>
      <c r="R108" s="179" t="n"/>
      <c r="S108" s="165" t="n">
        <v>0</v>
      </c>
      <c r="T108" s="178" t="n"/>
      <c r="U108" s="178" t="n"/>
      <c r="V108" s="179" t="n"/>
      <c r="W108" s="165" t="n">
        <v>0</v>
      </c>
      <c r="X108" s="178" t="n"/>
      <c r="Y108" s="178" t="n"/>
      <c r="Z108" s="179" t="n"/>
      <c r="AA108" s="8" t="n"/>
      <c r="AB108" s="8" t="inlineStr">
        <is>
          <t>0-4</t>
        </is>
      </c>
      <c r="AC108" s="9" t="inlineStr">
        <is>
          <t>5-14</t>
        </is>
      </c>
      <c r="AD108" s="40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4" t="n">
        <v>0</v>
      </c>
      <c r="AC109" s="4" t="n">
        <v>0</v>
      </c>
      <c r="AD109" s="4" t="n"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4" t="n">
        <v>0</v>
      </c>
      <c r="AC110" s="4" t="n">
        <v>0</v>
      </c>
      <c r="AD110" s="4" t="n"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4" t="n">
        <v>0</v>
      </c>
      <c r="AC111" s="4" t="n">
        <v>0</v>
      </c>
      <c r="AD111" s="4" t="n"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</row>
    <row r="119" ht="24.9" customHeight="1">
      <c r="A119" s="165" t="inlineStr">
        <is>
          <t>Previously treated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51" t="n"/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17" t="inlineStr">
        <is>
          <t>3HR</t>
        </is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</row>
    <row r="120" ht="24.9" customHeight="1">
      <c r="A120" s="67" t="inlineStr">
        <is>
          <t>Total</t>
        </is>
      </c>
      <c r="B120" s="67" t="n">
        <v>0</v>
      </c>
      <c r="C120" s="67" t="n">
        <v>0</v>
      </c>
      <c r="D120" s="67" t="n">
        <v>0</v>
      </c>
      <c r="E120" s="67" t="n">
        <v>0</v>
      </c>
      <c r="F120" s="67" t="n">
        <v>0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</v>
      </c>
      <c r="M120" s="67" t="n"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 s="174" t="inlineStr">
        <is>
          <t>GB - Consolidated</t>
        </is>
      </c>
      <c r="I122" s="136" t="inlineStr">
        <is>
          <t xml:space="preserve">District : </t>
        </is>
      </c>
      <c r="K122" s="137" t="n">
        <v>0</v>
      </c>
      <c r="M122" s="136" t="inlineStr">
        <is>
          <t>Central :</t>
        </is>
      </c>
      <c r="O122" s="138" t="inlineStr">
        <is>
          <t>Gilgit Baltistan</t>
        </is>
      </c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145" t="inlineStr">
        <is>
          <t>of Year 2026</t>
        </is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4" t="n">
        <v>0</v>
      </c>
      <c r="M129" s="45" t="n"/>
      <c r="N129" s="4" t="n">
        <v>0</v>
      </c>
      <c r="O129" s="45" t="n"/>
      <c r="P129" s="4" t="n">
        <v>0</v>
      </c>
      <c r="Q129" s="33" t="n"/>
      <c r="R129" s="45" t="n"/>
      <c r="S129" s="4" t="n">
        <v>0</v>
      </c>
      <c r="T129" s="33" t="n"/>
      <c r="U129" s="45" t="n"/>
      <c r="V129" s="4" t="n">
        <v>0</v>
      </c>
      <c r="W129" s="33" t="n"/>
      <c r="X129" s="45" t="n"/>
      <c r="Y129" s="4" t="n">
        <v>0</v>
      </c>
      <c r="Z129" s="45" t="n"/>
      <c r="AA129" s="4" t="n">
        <v>0</v>
      </c>
      <c r="AB129" s="45" t="n"/>
      <c r="AC129" s="4" t="n"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4" t="n">
        <v>0</v>
      </c>
      <c r="M130" s="45" t="n"/>
      <c r="N130" s="4" t="n">
        <v>0</v>
      </c>
      <c r="O130" s="45" t="n"/>
      <c r="P130" s="4" t="n">
        <v>0</v>
      </c>
      <c r="Q130" s="33" t="n"/>
      <c r="R130" s="45" t="n"/>
      <c r="S130" s="4" t="n">
        <v>0</v>
      </c>
      <c r="T130" s="33" t="n"/>
      <c r="U130" s="45" t="n"/>
      <c r="V130" s="4" t="n">
        <v>0</v>
      </c>
      <c r="W130" s="33" t="n"/>
      <c r="X130" s="45" t="n"/>
      <c r="Y130" s="4" t="n">
        <v>0</v>
      </c>
      <c r="Z130" s="45" t="n"/>
      <c r="AA130" s="4" t="n">
        <v>0</v>
      </c>
      <c r="AB130" s="45" t="n"/>
      <c r="AC130" s="4" t="n"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4" t="n">
        <v>0</v>
      </c>
      <c r="M131" s="45" t="n"/>
      <c r="N131" s="4" t="n">
        <v>0</v>
      </c>
      <c r="O131" s="45" t="n"/>
      <c r="P131" s="4" t="n">
        <v>0</v>
      </c>
      <c r="Q131" s="33" t="n"/>
      <c r="R131" s="45" t="n"/>
      <c r="S131" s="4" t="n">
        <v>0</v>
      </c>
      <c r="T131" s="33" t="n"/>
      <c r="U131" s="45" t="n"/>
      <c r="V131" s="4" t="n">
        <v>0</v>
      </c>
      <c r="W131" s="33" t="n"/>
      <c r="X131" s="45" t="n"/>
      <c r="Y131" s="4" t="n">
        <v>0</v>
      </c>
      <c r="Z131" s="45" t="n"/>
      <c r="AA131" s="4" t="n">
        <v>0</v>
      </c>
      <c r="AB131" s="45" t="n"/>
      <c r="AC131" s="4" t="n"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4" t="n">
        <v>0</v>
      </c>
      <c r="M132" s="45" t="n"/>
      <c r="N132" s="4" t="n">
        <v>0</v>
      </c>
      <c r="O132" s="45" t="n"/>
      <c r="P132" s="4" t="n">
        <v>0</v>
      </c>
      <c r="Q132" s="33" t="n"/>
      <c r="R132" s="45" t="n"/>
      <c r="S132" s="4" t="n">
        <v>0</v>
      </c>
      <c r="T132" s="33" t="n"/>
      <c r="U132" s="45" t="n"/>
      <c r="V132" s="4" t="n">
        <v>0</v>
      </c>
      <c r="W132" s="33" t="n"/>
      <c r="X132" s="45" t="n"/>
      <c r="Y132" s="4" t="n">
        <v>0</v>
      </c>
      <c r="Z132" s="45" t="n"/>
      <c r="AA132" s="4" t="n">
        <v>0</v>
      </c>
      <c r="AB132" s="45" t="n"/>
      <c r="AC132" s="4" t="n"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4" t="n">
        <v>0</v>
      </c>
      <c r="M133" s="45" t="n"/>
      <c r="N133" s="4" t="n">
        <v>0</v>
      </c>
      <c r="O133" s="45" t="n"/>
      <c r="P133" s="4" t="n">
        <v>0</v>
      </c>
      <c r="Q133" s="33" t="n"/>
      <c r="R133" s="45" t="n"/>
      <c r="S133" s="4" t="n">
        <v>0</v>
      </c>
      <c r="T133" s="33" t="n"/>
      <c r="U133" s="45" t="n"/>
      <c r="V133" s="4" t="n">
        <v>0</v>
      </c>
      <c r="W133" s="33" t="n"/>
      <c r="X133" s="45" t="n"/>
      <c r="Y133" s="4" t="n">
        <v>0</v>
      </c>
      <c r="Z133" s="45" t="n"/>
      <c r="AA133" s="4" t="n">
        <v>0</v>
      </c>
      <c r="AB133" s="45" t="n"/>
      <c r="AC133" s="4" t="n"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93" t="n">
        <v>0</v>
      </c>
      <c r="P145" s="33" t="n"/>
      <c r="Q145" s="33" t="n"/>
      <c r="R145" s="33" t="n"/>
      <c r="S145" s="93" t="n">
        <v>0</v>
      </c>
      <c r="T145" s="33" t="n"/>
      <c r="U145" s="33" t="n"/>
      <c r="V145" s="33" t="n"/>
      <c r="W145" s="93" t="n">
        <v>0</v>
      </c>
      <c r="X145" s="33" t="n"/>
      <c r="Y145" s="33" t="n"/>
      <c r="Z145" s="33" t="n"/>
      <c r="AA145" s="93" t="n">
        <v>0</v>
      </c>
      <c r="AB145" s="33" t="n"/>
      <c r="AC145" s="33" t="n"/>
      <c r="AD145" s="33" t="n"/>
    </row>
    <row r="146" ht="38.25" customHeight="1">
      <c r="A146" s="193" t="n">
        <v>0</v>
      </c>
      <c r="B146" s="193" t="n">
        <v>0</v>
      </c>
      <c r="C146" s="193" t="n">
        <v>0</v>
      </c>
      <c r="D146" s="193" t="n">
        <v>0</v>
      </c>
      <c r="E146" s="193" t="n">
        <v>0</v>
      </c>
      <c r="F146" s="193" t="n">
        <v>0</v>
      </c>
      <c r="G146" s="193" t="n">
        <v>0</v>
      </c>
      <c r="H146" s="193" t="n">
        <v>0</v>
      </c>
      <c r="I146" s="193" t="n">
        <v>0</v>
      </c>
      <c r="J146" s="193" t="n">
        <v>0</v>
      </c>
      <c r="K146" s="193" t="n">
        <v>0</v>
      </c>
      <c r="L146" s="193" t="n">
        <v>0</v>
      </c>
      <c r="M146" s="193" t="n"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65" t="n">
        <v>0</v>
      </c>
      <c r="P147" s="178" t="n"/>
      <c r="Q147" s="178" t="n"/>
      <c r="R147" s="179" t="n"/>
      <c r="S147" s="165" t="n">
        <v>0</v>
      </c>
      <c r="T147" s="178" t="n"/>
      <c r="U147" s="178" t="n"/>
      <c r="V147" s="179" t="n"/>
      <c r="W147" s="165" t="n">
        <v>0</v>
      </c>
      <c r="X147" s="178" t="n"/>
      <c r="Y147" s="178" t="n"/>
      <c r="Z147" s="179" t="n"/>
      <c r="AA147" s="8" t="n"/>
      <c r="AB147" s="8" t="inlineStr">
        <is>
          <t>0-4</t>
        </is>
      </c>
      <c r="AC147" s="9" t="inlineStr">
        <is>
          <t>5-14</t>
        </is>
      </c>
      <c r="AD147" s="40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4" t="n">
        <v>0</v>
      </c>
      <c r="AC148" s="4" t="n">
        <v>0</v>
      </c>
      <c r="AD148" s="4" t="n"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4" t="n">
        <v>0</v>
      </c>
      <c r="AC149" s="4" t="n">
        <v>0</v>
      </c>
      <c r="AD149" s="4" t="n"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4" t="n">
        <v>0</v>
      </c>
      <c r="AC150" s="4" t="n">
        <v>0</v>
      </c>
      <c r="AD150" s="4" t="n"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4.2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4" t="n">
        <v>105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</row>
    <row r="158" ht="24.9" customHeight="1">
      <c r="A158" s="165" t="inlineStr">
        <is>
          <t>Previously treated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51" t="n"/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17" t="inlineStr">
        <is>
          <t>3HR</t>
        </is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</row>
    <row r="159" ht="24.9" customHeight="1">
      <c r="A159" s="67" t="inlineStr">
        <is>
          <t>Total</t>
        </is>
      </c>
      <c r="B159" s="67" t="n">
        <v>105</v>
      </c>
      <c r="C159" s="67" t="n">
        <v>0</v>
      </c>
      <c r="D159" s="67" t="n">
        <v>0</v>
      </c>
      <c r="E159" s="67" t="n">
        <v>0</v>
      </c>
      <c r="F159" s="67" t="n">
        <v>0</v>
      </c>
      <c r="G159" s="67" t="n">
        <v>0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0</v>
      </c>
      <c r="M159" s="67" t="n"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74" t="inlineStr">
        <is>
          <t>GB - Consolidated</t>
        </is>
      </c>
      <c r="I161" s="136" t="inlineStr">
        <is>
          <t xml:space="preserve">District : </t>
        </is>
      </c>
      <c r="K161" s="137" t="n">
        <v>0</v>
      </c>
      <c r="M161" s="136" t="inlineStr">
        <is>
          <t>Central :</t>
        </is>
      </c>
      <c r="O161" s="138" t="inlineStr">
        <is>
          <t>Gilgit Baltistan</t>
        </is>
      </c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 t="inlineStr">
        <is>
          <t>of Year 2026</t>
        </is>
      </c>
    </row>
    <row r="162" ht="15" customHeight="1"/>
    <row r="163" ht="15.6" customHeight="1">
      <c r="A163" s="99" t="inlineStr">
        <is>
          <t>Name of TB Coodinator/Facility incharge  :</t>
        </is>
      </c>
      <c r="I163" s="100" t="inlineStr">
        <is>
          <t>___________________________________________________</t>
        </is>
      </c>
      <c r="P163" s="21" t="n"/>
      <c r="Q163" s="21" t="n"/>
      <c r="U163" s="101" t="inlineStr">
        <is>
          <t>Date of completion of this form :</t>
        </is>
      </c>
      <c r="AA163" s="102" t="inlineStr">
        <is>
          <t>_______________________</t>
        </is>
      </c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" customHeight="1">
      <c r="A165" s="177" t="inlineStr">
        <is>
          <t xml:space="preserve">Block 1: </t>
        </is>
      </c>
      <c r="B165" s="178" t="n"/>
      <c r="C165" s="178" t="n"/>
      <c r="D165" s="178" t="n"/>
      <c r="E165" s="178" t="n"/>
      <c r="F165" s="178" t="n"/>
      <c r="G165" s="178" t="n"/>
      <c r="H165" s="178" t="n"/>
      <c r="I165" s="178" t="n"/>
      <c r="J165" s="178" t="n"/>
      <c r="K165" s="179" t="n"/>
      <c r="L165" s="67" t="inlineStr">
        <is>
          <t>New (N)</t>
        </is>
      </c>
      <c r="M165" s="179" t="n"/>
      <c r="N165" s="67" t="inlineStr">
        <is>
          <t>Relapse ®</t>
        </is>
      </c>
      <c r="O165" s="179" t="n"/>
      <c r="P165" s="165" t="inlineStr">
        <is>
          <t>Previous Treatment History Unknown
(UK)</t>
        </is>
      </c>
      <c r="Q165" s="178" t="n"/>
      <c r="R165" s="179" t="n"/>
      <c r="S165" s="165" t="inlineStr">
        <is>
          <t>New episode
(N+R+UK)</t>
        </is>
      </c>
      <c r="T165" s="178" t="n"/>
      <c r="U165" s="179" t="n"/>
      <c r="V165" s="67" t="inlineStr">
        <is>
          <t>Re - registered Cases ( Excluding Recurrent cases)</t>
        </is>
      </c>
      <c r="W165" s="33" t="n"/>
      <c r="X165" s="33" t="n"/>
      <c r="Y165" s="33" t="n"/>
      <c r="Z165" s="33" t="n"/>
      <c r="AA165" s="33" t="n"/>
      <c r="AB165" s="45" t="n"/>
      <c r="AC165" s="67" t="inlineStr">
        <is>
          <t>Total</t>
        </is>
      </c>
      <c r="AD165" s="179" t="n"/>
    </row>
    <row r="166" ht="23.25" customHeight="1">
      <c r="A166" s="180" t="inlineStr">
        <is>
          <t>All TB Cases Registered</t>
        </is>
      </c>
      <c r="K166" s="181" t="n"/>
      <c r="L166" s="182" t="n"/>
      <c r="M166" s="181" t="n"/>
      <c r="N166" s="182" t="n"/>
      <c r="O166" s="181" t="n"/>
      <c r="P166" s="182" t="n"/>
      <c r="R166" s="181" t="n"/>
      <c r="S166" s="182" t="n"/>
      <c r="U166" s="181" t="n"/>
      <c r="V166" s="165" t="inlineStr">
        <is>
          <t>Treatment after failure</t>
        </is>
      </c>
      <c r="W166" s="178" t="n"/>
      <c r="X166" s="179" t="n"/>
      <c r="Y166" s="165" t="inlineStr">
        <is>
          <t>Treatment after lost to follow-up</t>
        </is>
      </c>
      <c r="Z166" s="179" t="n"/>
      <c r="AA166" s="165" t="inlineStr">
        <is>
          <t>Other</t>
        </is>
      </c>
      <c r="AB166" s="179" t="n"/>
      <c r="AC166" s="182" t="n"/>
      <c r="AD166" s="181" t="n"/>
    </row>
    <row r="167">
      <c r="A167" s="183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184" t="n"/>
      <c r="L167" s="183" t="n"/>
      <c r="M167" s="184" t="n"/>
      <c r="N167" s="183" t="n"/>
      <c r="O167" s="184" t="n"/>
      <c r="P167" s="183" t="n"/>
      <c r="Q167" s="22" t="n"/>
      <c r="R167" s="184" t="n"/>
      <c r="S167" s="183" t="n"/>
      <c r="T167" s="22" t="n"/>
      <c r="U167" s="184" t="n"/>
      <c r="V167" s="183" t="n"/>
      <c r="W167" s="22" t="n"/>
      <c r="X167" s="184" t="n"/>
      <c r="Y167" s="183" t="n"/>
      <c r="Z167" s="184" t="n"/>
      <c r="AA167" s="183" t="n"/>
      <c r="AB167" s="184" t="n"/>
      <c r="AC167" s="183" t="n"/>
      <c r="AD167" s="184" t="n"/>
    </row>
    <row r="168" ht="24.9" customHeight="1">
      <c r="A168" s="185" t="inlineStr">
        <is>
          <t>Pulmonary, Bacteriologically Confermid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4" t="n">
        <v>272</v>
      </c>
      <c r="M168" s="45" t="n"/>
      <c r="N168" s="4" t="n">
        <v>9</v>
      </c>
      <c r="O168" s="45" t="n"/>
      <c r="P168" s="194" t="n">
        <v>0</v>
      </c>
      <c r="Q168" s="33" t="n"/>
      <c r="R168" s="45" t="n"/>
      <c r="S168" s="4" t="n">
        <v>281</v>
      </c>
      <c r="T168" s="33" t="n"/>
      <c r="U168" s="45" t="n"/>
      <c r="V168" s="194" t="n">
        <v>0</v>
      </c>
      <c r="W168" s="33" t="n"/>
      <c r="X168" s="45" t="n"/>
      <c r="Y168" s="4" t="n">
        <v>0</v>
      </c>
      <c r="Z168" s="45" t="n"/>
      <c r="AA168" s="4" t="n">
        <v>0</v>
      </c>
      <c r="AB168" s="45" t="n"/>
      <c r="AC168" s="4" t="n">
        <v>281</v>
      </c>
      <c r="AD168" s="45" t="n"/>
    </row>
    <row r="169" ht="24.9" customHeight="1">
      <c r="A169" s="185" t="inlineStr">
        <is>
          <t>Pulmonary , Clinically Diagnosed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4" t="n">
        <v>1570</v>
      </c>
      <c r="M169" s="45" t="n"/>
      <c r="N169" s="4" t="n">
        <v>2</v>
      </c>
      <c r="O169" s="45" t="n"/>
      <c r="P169" s="194" t="n">
        <v>2</v>
      </c>
      <c r="Q169" s="33" t="n"/>
      <c r="R169" s="45" t="n"/>
      <c r="S169" s="4" t="n">
        <v>1574</v>
      </c>
      <c r="T169" s="33" t="n"/>
      <c r="U169" s="45" t="n"/>
      <c r="V169" s="194" t="n">
        <v>0</v>
      </c>
      <c r="W169" s="33" t="n"/>
      <c r="X169" s="45" t="n"/>
      <c r="Y169" s="4" t="n">
        <v>0</v>
      </c>
      <c r="Z169" s="45" t="n"/>
      <c r="AA169" s="4" t="n">
        <v>0</v>
      </c>
      <c r="AB169" s="45" t="n"/>
      <c r="AC169" s="4" t="n">
        <v>1574</v>
      </c>
      <c r="AD169" s="45" t="n"/>
    </row>
    <row r="170" ht="24.9" customHeight="1">
      <c r="A170" s="185" t="inlineStr">
        <is>
          <t>Extra Pulmonary, Bacteriologically Confermid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4" t="n">
        <v>5</v>
      </c>
      <c r="M170" s="45" t="n"/>
      <c r="N170" s="4" t="n">
        <v>0</v>
      </c>
      <c r="O170" s="45" t="n"/>
      <c r="P170" s="194" t="n">
        <v>0</v>
      </c>
      <c r="Q170" s="33" t="n"/>
      <c r="R170" s="45" t="n"/>
      <c r="S170" s="4" t="n">
        <v>5</v>
      </c>
      <c r="T170" s="33" t="n"/>
      <c r="U170" s="45" t="n"/>
      <c r="V170" s="194" t="n">
        <v>0</v>
      </c>
      <c r="W170" s="33" t="n"/>
      <c r="X170" s="45" t="n"/>
      <c r="Y170" s="4" t="n">
        <v>0</v>
      </c>
      <c r="Z170" s="45" t="n"/>
      <c r="AA170" s="4" t="n">
        <v>0</v>
      </c>
      <c r="AB170" s="45" t="n"/>
      <c r="AC170" s="4" t="n">
        <v>5</v>
      </c>
      <c r="AD170" s="45" t="n"/>
    </row>
    <row r="171" ht="24.9" customHeight="1">
      <c r="A171" s="185" t="inlineStr">
        <is>
          <t>Extra Pulmonary , Clinically Diagnosed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4" t="n">
        <v>739</v>
      </c>
      <c r="M171" s="45" t="n"/>
      <c r="N171" s="4" t="n">
        <v>0</v>
      </c>
      <c r="O171" s="45" t="n"/>
      <c r="P171" s="194" t="n">
        <v>0</v>
      </c>
      <c r="Q171" s="33" t="n"/>
      <c r="R171" s="45" t="n"/>
      <c r="S171" s="4" t="n">
        <v>739</v>
      </c>
      <c r="T171" s="33" t="n"/>
      <c r="U171" s="45" t="n"/>
      <c r="V171" s="194" t="n">
        <v>0</v>
      </c>
      <c r="W171" s="33" t="n"/>
      <c r="X171" s="45" t="n"/>
      <c r="Y171" s="4" t="n">
        <v>0</v>
      </c>
      <c r="Z171" s="45" t="n"/>
      <c r="AA171" s="4" t="n">
        <v>0</v>
      </c>
      <c r="AB171" s="45" t="n"/>
      <c r="AC171" s="4" t="n">
        <v>739</v>
      </c>
      <c r="AD171" s="45" t="n"/>
    </row>
    <row r="172" ht="24.9" customHeight="1">
      <c r="A172" s="185" t="inlineStr">
        <is>
          <t>Total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45" t="n"/>
      <c r="L172" s="4" t="n">
        <v>2586</v>
      </c>
      <c r="M172" s="45" t="n"/>
      <c r="N172" s="4" t="n">
        <v>11</v>
      </c>
      <c r="O172" s="45" t="n"/>
      <c r="P172" s="4" t="n">
        <v>2</v>
      </c>
      <c r="Q172" s="33" t="n"/>
      <c r="R172" s="45" t="n"/>
      <c r="S172" s="4" t="n">
        <v>2599</v>
      </c>
      <c r="T172" s="33" t="n"/>
      <c r="U172" s="45" t="n"/>
      <c r="V172" s="4" t="n">
        <v>0</v>
      </c>
      <c r="W172" s="33" t="n"/>
      <c r="X172" s="45" t="n"/>
      <c r="Y172" s="4" t="n">
        <v>0</v>
      </c>
      <c r="Z172" s="45" t="n"/>
      <c r="AA172" s="4" t="n">
        <v>0</v>
      </c>
      <c r="AB172" s="45" t="n"/>
      <c r="AC172" s="4" t="n">
        <v>2599</v>
      </c>
      <c r="AD172" s="45" t="n"/>
    </row>
    <row r="173" ht="15.6" customHeight="1">
      <c r="A173" s="23" t="inlineStr">
        <is>
          <t>Block 2: All New, Relapse and previous treatment history unknown Cases registered during the period by Age Group and Gender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5" t="n"/>
    </row>
    <row r="174" ht="21.75" customHeight="1">
      <c r="A174" s="186" t="n"/>
      <c r="B174" s="178" t="n"/>
      <c r="C174" s="178" t="n"/>
      <c r="D174" s="178" t="n"/>
      <c r="E174" s="178" t="n"/>
      <c r="F174" s="178" t="n"/>
      <c r="G174" s="178" t="n"/>
      <c r="H174" s="178" t="n"/>
      <c r="I174" s="178" t="n"/>
      <c r="J174" s="178" t="n"/>
      <c r="K174" s="179" t="n"/>
      <c r="L174" s="67" t="inlineStr">
        <is>
          <t>0-4</t>
        </is>
      </c>
      <c r="M174" s="45" t="n"/>
      <c r="N174" s="187" t="inlineStr">
        <is>
          <t>5-14</t>
        </is>
      </c>
      <c r="O174" s="45" t="n"/>
      <c r="P174" s="188" t="inlineStr">
        <is>
          <t>15-24</t>
        </is>
      </c>
      <c r="Q174" s="45" t="n"/>
      <c r="R174" s="188" t="inlineStr">
        <is>
          <t>25-34</t>
        </is>
      </c>
      <c r="S174" s="45" t="n"/>
      <c r="T174" s="188" t="inlineStr">
        <is>
          <t>35-44</t>
        </is>
      </c>
      <c r="U174" s="45" t="n"/>
      <c r="V174" s="188" t="inlineStr">
        <is>
          <t>45-54</t>
        </is>
      </c>
      <c r="W174" s="45" t="n"/>
      <c r="X174" s="188" t="inlineStr">
        <is>
          <t>55-64</t>
        </is>
      </c>
      <c r="Y174" s="45" t="n"/>
      <c r="Z174" s="188" t="inlineStr">
        <is>
          <t>65 &amp; Above</t>
        </is>
      </c>
      <c r="AA174" s="45" t="n"/>
      <c r="AB174" s="188" t="inlineStr">
        <is>
          <t>Total</t>
        </is>
      </c>
      <c r="AC174" s="45" t="n"/>
      <c r="AD174" s="189" t="inlineStr">
        <is>
          <t>Grand
Total</t>
        </is>
      </c>
    </row>
    <row r="175">
      <c r="A175" s="183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184" t="n"/>
      <c r="L175" s="67" t="inlineStr">
        <is>
          <t>M</t>
        </is>
      </c>
      <c r="M175" s="67" t="inlineStr">
        <is>
          <t>F</t>
        </is>
      </c>
      <c r="N175" s="67" t="inlineStr">
        <is>
          <t>M</t>
        </is>
      </c>
      <c r="O175" s="67" t="inlineStr">
        <is>
          <t>F</t>
        </is>
      </c>
      <c r="P175" s="67" t="inlineStr">
        <is>
          <t>M</t>
        </is>
      </c>
      <c r="Q175" s="67" t="inlineStr">
        <is>
          <t>F</t>
        </is>
      </c>
      <c r="R175" s="67" t="inlineStr">
        <is>
          <t>M</t>
        </is>
      </c>
      <c r="S175" s="67" t="inlineStr">
        <is>
          <t>F</t>
        </is>
      </c>
      <c r="T175" s="67" t="inlineStr">
        <is>
          <t>M</t>
        </is>
      </c>
      <c r="U175" s="67" t="inlineStr">
        <is>
          <t>F</t>
        </is>
      </c>
      <c r="V175" s="67" t="inlineStr">
        <is>
          <t>M</t>
        </is>
      </c>
      <c r="W175" s="67" t="inlineStr">
        <is>
          <t>F</t>
        </is>
      </c>
      <c r="X175" s="67" t="inlineStr">
        <is>
          <t>M</t>
        </is>
      </c>
      <c r="Y175" s="67" t="inlineStr">
        <is>
          <t>F</t>
        </is>
      </c>
      <c r="Z175" s="67" t="inlineStr">
        <is>
          <t>M</t>
        </is>
      </c>
      <c r="AA175" s="67" t="inlineStr">
        <is>
          <t>F</t>
        </is>
      </c>
      <c r="AB175" s="67" t="inlineStr">
        <is>
          <t>M</t>
        </is>
      </c>
      <c r="AC175" s="67" t="inlineStr">
        <is>
          <t>F</t>
        </is>
      </c>
      <c r="AD175" s="190" t="n"/>
    </row>
    <row r="176" ht="18" customHeight="1">
      <c r="A176" s="185" t="inlineStr">
        <is>
          <t>Pulmonary, Bacteriologically Confermid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4" t="n">
        <v>0</v>
      </c>
      <c r="M176" s="4" t="n">
        <v>0</v>
      </c>
      <c r="N176" s="4" t="n">
        <v>7</v>
      </c>
      <c r="O176" s="4" t="n">
        <v>6</v>
      </c>
      <c r="P176" s="4" t="n">
        <v>24</v>
      </c>
      <c r="Q176" s="4" t="n">
        <v>46</v>
      </c>
      <c r="R176" s="4" t="n">
        <v>31</v>
      </c>
      <c r="S176" s="4" t="n">
        <v>27</v>
      </c>
      <c r="T176" s="4" t="n">
        <v>11</v>
      </c>
      <c r="U176" s="4" t="n">
        <v>20</v>
      </c>
      <c r="V176" s="4" t="n">
        <v>9</v>
      </c>
      <c r="W176" s="4" t="n">
        <v>15</v>
      </c>
      <c r="X176" s="4" t="n">
        <v>15</v>
      </c>
      <c r="Y176" s="4" t="n">
        <v>17</v>
      </c>
      <c r="Z176" s="4" t="n">
        <v>29</v>
      </c>
      <c r="AA176" s="4" t="n">
        <v>24</v>
      </c>
      <c r="AB176" s="4" t="n">
        <v>126</v>
      </c>
      <c r="AC176" s="4" t="n">
        <v>155</v>
      </c>
      <c r="AD176" s="4" t="n">
        <v>281</v>
      </c>
    </row>
    <row r="177" ht="18" customHeight="1">
      <c r="A177" s="185" t="inlineStr">
        <is>
          <t>Pulmonary , Clinically Diagnosed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4" t="n">
        <v>476</v>
      </c>
      <c r="M177" s="4" t="n">
        <v>383</v>
      </c>
      <c r="N177" s="4" t="n">
        <v>137</v>
      </c>
      <c r="O177" s="4" t="n">
        <v>105</v>
      </c>
      <c r="P177" s="4" t="n">
        <v>58</v>
      </c>
      <c r="Q177" s="4" t="n">
        <v>72</v>
      </c>
      <c r="R177" s="4" t="n">
        <v>43</v>
      </c>
      <c r="S177" s="4" t="n">
        <v>72</v>
      </c>
      <c r="T177" s="4" t="n">
        <v>39</v>
      </c>
      <c r="U177" s="4" t="n">
        <v>40</v>
      </c>
      <c r="V177" s="4" t="n">
        <v>24</v>
      </c>
      <c r="W177" s="4" t="n">
        <v>38</v>
      </c>
      <c r="X177" s="4" t="n">
        <v>19</v>
      </c>
      <c r="Y177" s="4" t="n">
        <v>17</v>
      </c>
      <c r="Z177" s="4" t="n">
        <v>32</v>
      </c>
      <c r="AA177" s="4" t="n">
        <v>19</v>
      </c>
      <c r="AB177" s="4" t="n">
        <v>828</v>
      </c>
      <c r="AC177" s="4" t="n">
        <v>746</v>
      </c>
      <c r="AD177" s="4" t="n">
        <v>1574</v>
      </c>
    </row>
    <row r="178" ht="18" customHeight="1">
      <c r="A178" s="185" t="inlineStr">
        <is>
          <t>Extra Pulmonary, Bacteriologically Confermid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1</v>
      </c>
      <c r="T178" s="4" t="n">
        <v>0</v>
      </c>
      <c r="U178" s="4" t="n">
        <v>0</v>
      </c>
      <c r="V178" s="4" t="n">
        <v>0</v>
      </c>
      <c r="W178" s="4" t="n">
        <v>1</v>
      </c>
      <c r="X178" s="4" t="n">
        <v>0</v>
      </c>
      <c r="Y178" s="4" t="n">
        <v>1</v>
      </c>
      <c r="Z178" s="4" t="n">
        <v>0</v>
      </c>
      <c r="AA178" s="4" t="n">
        <v>0</v>
      </c>
      <c r="AB178" s="4" t="n">
        <v>2</v>
      </c>
      <c r="AC178" s="4" t="n">
        <v>3</v>
      </c>
      <c r="AD178" s="4" t="n">
        <v>5</v>
      </c>
    </row>
    <row r="179" ht="18" customHeight="1">
      <c r="A179" s="185" t="inlineStr">
        <is>
          <t>Extra Pulmonary , Clinically Diagnosed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4" t="n">
        <v>197</v>
      </c>
      <c r="M179" s="4" t="n">
        <v>165</v>
      </c>
      <c r="N179" s="4" t="n">
        <v>56</v>
      </c>
      <c r="O179" s="4" t="n">
        <v>42</v>
      </c>
      <c r="P179" s="4" t="n">
        <v>43</v>
      </c>
      <c r="Q179" s="4" t="n">
        <v>38</v>
      </c>
      <c r="R179" s="4" t="n">
        <v>34</v>
      </c>
      <c r="S179" s="4" t="n">
        <v>23</v>
      </c>
      <c r="T179" s="4" t="n">
        <v>17</v>
      </c>
      <c r="U179" s="4" t="n">
        <v>21</v>
      </c>
      <c r="V179" s="4" t="n">
        <v>17</v>
      </c>
      <c r="W179" s="4" t="n">
        <v>18</v>
      </c>
      <c r="X179" s="4" t="n">
        <v>23</v>
      </c>
      <c r="Y179" s="4" t="n">
        <v>15</v>
      </c>
      <c r="Z179" s="4" t="n">
        <v>19</v>
      </c>
      <c r="AA179" s="4" t="n">
        <v>11</v>
      </c>
      <c r="AB179" s="4" t="n">
        <v>406</v>
      </c>
      <c r="AC179" s="4" t="n">
        <v>333</v>
      </c>
      <c r="AD179" s="4" t="n">
        <v>739</v>
      </c>
    </row>
    <row r="180" ht="18" customHeight="1">
      <c r="A180" s="67" t="inlineStr">
        <is>
          <t>Total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45" t="n"/>
      <c r="L180" s="4" t="n">
        <v>673</v>
      </c>
      <c r="M180" s="4" t="n">
        <v>548</v>
      </c>
      <c r="N180" s="4" t="n">
        <v>200</v>
      </c>
      <c r="O180" s="4" t="n">
        <v>153</v>
      </c>
      <c r="P180" s="4" t="n">
        <v>126</v>
      </c>
      <c r="Q180" s="4" t="n">
        <v>156</v>
      </c>
      <c r="R180" s="4" t="n">
        <v>109</v>
      </c>
      <c r="S180" s="4" t="n">
        <v>123</v>
      </c>
      <c r="T180" s="4" t="n">
        <v>67</v>
      </c>
      <c r="U180" s="4" t="n">
        <v>81</v>
      </c>
      <c r="V180" s="4" t="n">
        <v>50</v>
      </c>
      <c r="W180" s="4" t="n">
        <v>72</v>
      </c>
      <c r="X180" s="4" t="n">
        <v>57</v>
      </c>
      <c r="Y180" s="4" t="n">
        <v>50</v>
      </c>
      <c r="Z180" s="4" t="n">
        <v>80</v>
      </c>
      <c r="AA180" s="4" t="n">
        <v>54</v>
      </c>
      <c r="AB180" s="4" t="n">
        <v>1362</v>
      </c>
      <c r="AC180" s="4" t="n">
        <v>1237</v>
      </c>
      <c r="AD180" s="4" t="n">
        <v>2599</v>
      </c>
    </row>
    <row r="181" ht="6.75" customHeight="1">
      <c r="A181" s="27" t="n"/>
      <c r="B181" s="28" t="n"/>
      <c r="C181" s="28" t="n"/>
      <c r="D181" s="28" t="n"/>
      <c r="E181" s="28" t="n"/>
      <c r="F181" s="29" t="n"/>
      <c r="G181" s="29" t="n"/>
      <c r="H181" s="30" t="n"/>
      <c r="I181" s="30" t="n"/>
      <c r="J181" s="30" t="n"/>
      <c r="K181" s="30" t="n"/>
      <c r="L181" s="30" t="n"/>
      <c r="M181" s="30" t="n"/>
      <c r="N181" s="31" t="n"/>
      <c r="O181" s="30" t="n"/>
      <c r="P181" s="87" t="n"/>
      <c r="Q181" s="45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3" t="n"/>
    </row>
    <row r="182" ht="18" customHeight="1">
      <c r="A182" s="34" t="inlineStr">
        <is>
          <t>Block 3: Presumptive TB Cases Identified Laboratory Diagnosis and use of WRD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6" t="n"/>
      <c r="N182" s="37" t="n"/>
      <c r="O182" s="34" t="inlineStr">
        <is>
          <t>Block 4 :  TB HIV  Activities</t>
        </is>
      </c>
      <c r="P182" s="35" t="n"/>
      <c r="Q182" s="35" t="n"/>
      <c r="R182" s="35" t="n"/>
      <c r="S182" s="35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25" t="n"/>
    </row>
    <row r="183" ht="45" customHeight="1">
      <c r="A183" s="6" t="inlineStr">
        <is>
          <t>Total
New OPD in Quarter</t>
        </is>
      </c>
      <c r="B183" s="88" t="inlineStr">
        <is>
          <t>No. of presumptive TB cases identified</t>
        </is>
      </c>
      <c r="C183" s="179" t="n"/>
      <c r="D183" s="6" t="inlineStr">
        <is>
          <t>No. of Presumptive TB
Patients tested 
Using</t>
        </is>
      </c>
      <c r="E183" s="33" t="n"/>
      <c r="F183" s="33" t="n"/>
      <c r="G183" s="45" t="n"/>
      <c r="H183" s="6" t="inlineStr">
        <is>
          <t>Among Presumptive 
TB cases tested  number reported B+</t>
        </is>
      </c>
      <c r="I183" s="33" t="n"/>
      <c r="J183" s="33" t="n"/>
      <c r="K183" s="45" t="n"/>
      <c r="L183" s="6" t="inlineStr">
        <is>
          <t>Among all
registered
number of
B+ TB
Cases</t>
        </is>
      </c>
      <c r="M183" s="6" t="inlineStr">
        <is>
          <t>Amoung All
(N+R+UK)
number tested
by Gene Xpert</t>
        </is>
      </c>
      <c r="N183" s="5" t="n"/>
      <c r="O183" s="165" t="inlineStr">
        <is>
          <t>No. of TB patients
tested for HIV</t>
        </is>
      </c>
      <c r="P183" s="33" t="n"/>
      <c r="Q183" s="33" t="n"/>
      <c r="R183" s="45" t="n"/>
      <c r="S183" s="165" t="inlineStr">
        <is>
          <t>HIV Reactive</t>
        </is>
      </c>
      <c r="T183" s="33" t="n"/>
      <c r="U183" s="33" t="n"/>
      <c r="V183" s="45" t="n"/>
      <c r="W183" s="165" t="inlineStr">
        <is>
          <t>TB Patients confirmed
positive for HIV</t>
        </is>
      </c>
      <c r="X183" s="33" t="n"/>
      <c r="Y183" s="33" t="n"/>
      <c r="Z183" s="45" t="n"/>
      <c r="AA183" s="165" t="inlineStr">
        <is>
          <t>HIV positive TB Patients put on ART</t>
        </is>
      </c>
      <c r="AB183" s="33" t="n"/>
      <c r="AC183" s="33" t="n"/>
      <c r="AD183" s="45" t="n"/>
    </row>
    <row r="184" ht="48" customHeight="1">
      <c r="A184" s="190" t="n"/>
      <c r="B184" s="6" t="inlineStr">
        <is>
          <t>Total</t>
        </is>
      </c>
      <c r="C184" s="88" t="inlineStr">
        <is>
          <t>Through
Community
Referrals (LHWs)</t>
        </is>
      </c>
      <c r="D184" s="88" t="inlineStr">
        <is>
          <t>AFB</t>
        </is>
      </c>
      <c r="E184" s="88" t="inlineStr">
        <is>
          <t>Xp &amp;
AFB</t>
        </is>
      </c>
      <c r="F184" s="88" t="inlineStr">
        <is>
          <t>XP</t>
        </is>
      </c>
      <c r="G184" s="7" t="inlineStr">
        <is>
          <t>G.Tot</t>
        </is>
      </c>
      <c r="H184" s="7" t="inlineStr">
        <is>
          <t>AFB</t>
        </is>
      </c>
      <c r="I184" s="88" t="inlineStr">
        <is>
          <t>AFB +
Xpert</t>
        </is>
      </c>
      <c r="J184" s="7" t="inlineStr">
        <is>
          <t>Xpert</t>
        </is>
      </c>
      <c r="K184" s="7" t="inlineStr">
        <is>
          <t>G.Tot</t>
        </is>
      </c>
      <c r="L184" s="190" t="n"/>
      <c r="M184" s="190" t="n"/>
      <c r="N184" s="5" t="n"/>
      <c r="O184" s="93" t="n">
        <v>849</v>
      </c>
      <c r="P184" s="33" t="n"/>
      <c r="Q184" s="33" t="n"/>
      <c r="R184" s="33" t="n"/>
      <c r="S184" s="93" t="n">
        <v>5</v>
      </c>
      <c r="T184" s="33" t="n"/>
      <c r="U184" s="33" t="n"/>
      <c r="V184" s="33" t="n"/>
      <c r="W184" s="93" t="n">
        <v>1</v>
      </c>
      <c r="X184" s="33" t="n"/>
      <c r="Y184" s="33" t="n"/>
      <c r="Z184" s="33" t="n"/>
      <c r="AA184" s="93" t="n">
        <v>1</v>
      </c>
      <c r="AB184" s="33" t="n"/>
      <c r="AC184" s="33" t="n"/>
      <c r="AD184" s="33" t="n"/>
    </row>
    <row r="185" ht="38.25" customHeight="1">
      <c r="A185" s="193" t="n">
        <v>654317</v>
      </c>
      <c r="B185" s="193" t="n">
        <v>7868</v>
      </c>
      <c r="C185" s="193" t="n">
        <v>750</v>
      </c>
      <c r="D185" s="193" t="n">
        <v>1703</v>
      </c>
      <c r="E185" s="193" t="n">
        <v>251</v>
      </c>
      <c r="F185" s="193" t="n">
        <v>4590</v>
      </c>
      <c r="G185" s="193" t="n">
        <v>6544</v>
      </c>
      <c r="H185" s="193" t="n">
        <v>38</v>
      </c>
      <c r="I185" s="193" t="n">
        <v>21</v>
      </c>
      <c r="J185" s="193" t="n">
        <v>259</v>
      </c>
      <c r="K185" s="193" t="n">
        <v>318</v>
      </c>
      <c r="L185" s="193" t="n">
        <v>274</v>
      </c>
      <c r="M185" s="193" t="n">
        <v>301</v>
      </c>
      <c r="N185" s="5" t="n"/>
      <c r="O185" s="165" t="inlineStr">
        <is>
          <t xml:space="preserve">HIV patient tested for TB </t>
        </is>
      </c>
      <c r="P185" s="33" t="n"/>
      <c r="Q185" s="33" t="n"/>
      <c r="R185" s="45" t="n"/>
      <c r="S185" s="165" t="inlineStr">
        <is>
          <t>HIV patients 
diagnosed  for TB</t>
        </is>
      </c>
      <c r="T185" s="33" t="n"/>
      <c r="U185" s="33" t="n"/>
      <c r="V185" s="45" t="n"/>
      <c r="W185" s="165" t="inlineStr">
        <is>
          <t>TB HIV patients put on
 TB Tx</t>
        </is>
      </c>
      <c r="X185" s="33" t="n"/>
      <c r="Y185" s="33" t="n"/>
      <c r="Z185" s="45" t="n"/>
      <c r="AA185" s="165" t="inlineStr">
        <is>
          <t>HIV positive TB negative
patients on TPT</t>
        </is>
      </c>
      <c r="AB185" s="33" t="n"/>
      <c r="AC185" s="33" t="n"/>
      <c r="AD185" s="45" t="n"/>
    </row>
    <row r="186" ht="19.5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65" t="n">
        <v>35</v>
      </c>
      <c r="P186" s="178" t="n"/>
      <c r="Q186" s="178" t="n"/>
      <c r="R186" s="179" t="n"/>
      <c r="S186" s="165" t="n">
        <v>0</v>
      </c>
      <c r="T186" s="178" t="n"/>
      <c r="U186" s="178" t="n"/>
      <c r="V186" s="179" t="n"/>
      <c r="W186" s="165" t="n">
        <v>0</v>
      </c>
      <c r="X186" s="178" t="n"/>
      <c r="Y186" s="178" t="n"/>
      <c r="Z186" s="179" t="n"/>
      <c r="AA186" s="8" t="n"/>
      <c r="AB186" s="8" t="inlineStr">
        <is>
          <t>0-4</t>
        </is>
      </c>
      <c r="AC186" s="9" t="inlineStr">
        <is>
          <t>5-14</t>
        </is>
      </c>
      <c r="AD186" s="40" t="inlineStr">
        <is>
          <t>15 +</t>
        </is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6H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1" t="n"/>
      <c r="B188" s="191" t="n"/>
      <c r="C188" s="191" t="n"/>
      <c r="D188" s="191" t="n"/>
      <c r="E188" s="191" t="n"/>
      <c r="F188" s="191" t="n"/>
      <c r="G188" s="191" t="n"/>
      <c r="H188" s="191" t="n"/>
      <c r="I188" s="191" t="n"/>
      <c r="J188" s="191" t="n"/>
      <c r="K188" s="191" t="n"/>
      <c r="L188" s="191" t="n"/>
      <c r="M188" s="191" t="n"/>
      <c r="N188" s="39" t="n"/>
      <c r="O188" s="182" t="n"/>
      <c r="R188" s="181" t="n"/>
      <c r="S188" s="182" t="n"/>
      <c r="V188" s="181" t="n"/>
      <c r="W188" s="182" t="n"/>
      <c r="Z188" s="181" t="n"/>
      <c r="AA188" s="10" t="inlineStr">
        <is>
          <t>3HR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190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39" t="n"/>
      <c r="O189" s="183" t="n"/>
      <c r="P189" s="22" t="n"/>
      <c r="Q189" s="22" t="n"/>
      <c r="R189" s="184" t="n"/>
      <c r="S189" s="183" t="n"/>
      <c r="T189" s="22" t="n"/>
      <c r="U189" s="22" t="n"/>
      <c r="V189" s="184" t="n"/>
      <c r="W189" s="183" t="n"/>
      <c r="X189" s="22" t="n"/>
      <c r="Y189" s="22" t="n"/>
      <c r="Z189" s="184" t="n"/>
      <c r="AA189" s="10" t="inlineStr">
        <is>
          <t>3 HP</t>
        </is>
      </c>
      <c r="AB189" s="67" t="n">
        <v>0</v>
      </c>
      <c r="AC189" s="67" t="n">
        <v>0</v>
      </c>
      <c r="AD189" s="67" t="n">
        <v>0</v>
      </c>
    </row>
    <row r="190" ht="8.25" customHeight="1">
      <c r="A190" s="11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4" t="n"/>
      <c r="O190" s="43" t="n"/>
      <c r="P190" s="43" t="n"/>
      <c r="Q190" s="43" t="n"/>
      <c r="R190" s="43" t="n"/>
      <c r="S190" s="43" t="n"/>
      <c r="T190" s="43" t="n"/>
      <c r="U190" s="43" t="n"/>
      <c r="V190" s="12" t="n"/>
      <c r="W190" s="12" t="n"/>
      <c r="X190" s="12" t="n"/>
      <c r="Y190" s="12" t="n"/>
      <c r="Z190" s="12" t="n"/>
      <c r="AA190" s="12" t="n"/>
      <c r="AB190" s="43" t="n"/>
      <c r="AC190" s="43" t="n"/>
      <c r="AD190" s="45" t="n"/>
    </row>
    <row r="191" ht="18" customHeight="1">
      <c r="A191" s="34" t="inlineStr">
        <is>
          <t>Block 5 :  Bacteriologically Confermid TB Cases with DST Result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6" t="n"/>
      <c r="N191" s="46" t="n"/>
      <c r="O191" s="34" t="inlineStr">
        <is>
          <t>Block 6 :  Contact Tracing HH *</t>
        </is>
      </c>
      <c r="P191" s="36" t="n"/>
      <c r="Q191" s="35" t="n"/>
      <c r="R191" s="4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8" t="n"/>
      <c r="AC191" s="38" t="n"/>
      <c r="AD191" s="48" t="n"/>
    </row>
    <row r="192" ht="18" customHeight="1">
      <c r="A192" s="80" t="inlineStr">
        <is>
          <t>Sensitive =S
Resistance = R</t>
        </is>
      </c>
      <c r="B192" s="81" t="inlineStr">
        <is>
          <t>PTB</t>
        </is>
      </c>
      <c r="C192" s="33" t="n"/>
      <c r="D192" s="33" t="n"/>
      <c r="E192" s="33" t="n"/>
      <c r="F192" s="33" t="n"/>
      <c r="G192" s="45" t="n"/>
      <c r="H192" s="81" t="inlineStr">
        <is>
          <t>EPTB</t>
        </is>
      </c>
      <c r="I192" s="33" t="n"/>
      <c r="J192" s="33" t="n"/>
      <c r="K192" s="33" t="n"/>
      <c r="L192" s="33" t="n"/>
      <c r="M192" s="45" t="n"/>
      <c r="N192" s="49" t="n"/>
      <c r="O192" s="6" t="inlineStr">
        <is>
          <t>Total No. of HH
of B+ PTB</t>
        </is>
      </c>
      <c r="P192" s="178" t="n"/>
      <c r="Q192" s="179" t="n"/>
      <c r="R192" s="6" t="inlineStr">
        <is>
          <t>No. of HH contacts of
B+ PTB Cases
Screened</t>
        </is>
      </c>
      <c r="S192" s="178" t="n"/>
      <c r="T192" s="179" t="n"/>
      <c r="U192" s="6" t="inlineStr">
        <is>
          <t>No. of TB 
Cases diagnosed Amoung HH
contact
screened</t>
        </is>
      </c>
      <c r="V192" s="178" t="n"/>
      <c r="W192" s="179" t="n"/>
      <c r="X192" s="6" t="inlineStr">
        <is>
          <t>No. of HH Contacts 
Initiated on TPT</t>
        </is>
      </c>
      <c r="Y192" s="178" t="n"/>
      <c r="Z192" s="178" t="n"/>
      <c r="AA192" s="179" t="n"/>
      <c r="AB192" s="6" t="inlineStr">
        <is>
          <t>HIV negative 
Immuno - compromised on 
TPT</t>
        </is>
      </c>
      <c r="AC192" s="178" t="n"/>
      <c r="AD192" s="179" t="n"/>
    </row>
    <row r="193" ht="20.25" customHeight="1">
      <c r="A193" s="191" t="n"/>
      <c r="B193" s="67" t="inlineStr">
        <is>
          <t>Rifampicin</t>
        </is>
      </c>
      <c r="C193" s="45" t="n"/>
      <c r="D193" s="67" t="inlineStr">
        <is>
          <t>Isoniazid</t>
        </is>
      </c>
      <c r="E193" s="45" t="n"/>
      <c r="F193" s="67" t="inlineStr">
        <is>
          <t>Fluoroquninolone</t>
        </is>
      </c>
      <c r="G193" s="45" t="n"/>
      <c r="H193" s="67" t="inlineStr">
        <is>
          <t>Rifampicin</t>
        </is>
      </c>
      <c r="I193" s="45" t="n"/>
      <c r="J193" s="67" t="inlineStr">
        <is>
          <t>Isoniazid</t>
        </is>
      </c>
      <c r="K193" s="45" t="n"/>
      <c r="L193" s="67" t="inlineStr">
        <is>
          <t>Fluoroquninolone</t>
        </is>
      </c>
      <c r="M193" s="45" t="n"/>
      <c r="N193" s="50" t="n"/>
      <c r="O193" s="182" t="n"/>
      <c r="Q193" s="181" t="n"/>
      <c r="R193" s="182" t="n"/>
      <c r="T193" s="181" t="n"/>
      <c r="U193" s="182" t="n"/>
      <c r="W193" s="181" t="n"/>
      <c r="X193" s="182" t="n"/>
      <c r="AA193" s="181" t="n"/>
      <c r="AB193" s="182" t="n"/>
      <c r="AD193" s="181" t="n"/>
    </row>
    <row r="194" ht="16.5" customHeight="1">
      <c r="A194" s="190" t="n"/>
      <c r="B194" s="67" t="inlineStr">
        <is>
          <t>S</t>
        </is>
      </c>
      <c r="C194" s="67" t="inlineStr">
        <is>
          <t>R</t>
        </is>
      </c>
      <c r="D194" s="67" t="inlineStr">
        <is>
          <t>S</t>
        </is>
      </c>
      <c r="E194" s="67" t="inlineStr">
        <is>
          <t>R</t>
        </is>
      </c>
      <c r="F194" s="67" t="inlineStr">
        <is>
          <t>S</t>
        </is>
      </c>
      <c r="G194" s="67" t="inlineStr">
        <is>
          <t>R</t>
        </is>
      </c>
      <c r="H194" s="67" t="inlineStr">
        <is>
          <t>S</t>
        </is>
      </c>
      <c r="I194" s="67" t="inlineStr">
        <is>
          <t>R</t>
        </is>
      </c>
      <c r="J194" s="67" t="inlineStr">
        <is>
          <t>S</t>
        </is>
      </c>
      <c r="K194" s="67" t="inlineStr">
        <is>
          <t>R</t>
        </is>
      </c>
      <c r="L194" s="67" t="inlineStr">
        <is>
          <t>S</t>
        </is>
      </c>
      <c r="M194" s="67" t="inlineStr">
        <is>
          <t>R</t>
        </is>
      </c>
      <c r="N194" s="51" t="n"/>
      <c r="O194" s="182" t="n"/>
      <c r="Q194" s="181" t="n"/>
      <c r="R194" s="182" t="n"/>
      <c r="T194" s="181" t="n"/>
      <c r="U194" s="182" t="n"/>
      <c r="W194" s="181" t="n"/>
      <c r="X194" s="183" t="n"/>
      <c r="Y194" s="22" t="n"/>
      <c r="Z194" s="22" t="n"/>
      <c r="AA194" s="184" t="n"/>
      <c r="AB194" s="183" t="n"/>
      <c r="AC194" s="22" t="n"/>
      <c r="AD194" s="184" t="n"/>
    </row>
    <row r="195" ht="24.9" customHeight="1">
      <c r="A195" s="67" t="inlineStr">
        <is>
          <t>New + UK</t>
        </is>
      </c>
      <c r="B195" s="67" t="n">
        <v>283</v>
      </c>
      <c r="C195" s="67" t="n">
        <v>1</v>
      </c>
      <c r="D195" s="67" t="n">
        <v>0</v>
      </c>
      <c r="E195" s="67" t="n">
        <v>0</v>
      </c>
      <c r="F195" s="67" t="n">
        <v>0</v>
      </c>
      <c r="G195" s="67" t="n">
        <v>0</v>
      </c>
      <c r="H195" s="67" t="n">
        <v>0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183" t="n"/>
      <c r="P195" s="22" t="n"/>
      <c r="Q195" s="184" t="n"/>
      <c r="R195" s="183" t="n"/>
      <c r="S195" s="22" t="n"/>
      <c r="T195" s="184" t="n"/>
      <c r="U195" s="183" t="n"/>
      <c r="V195" s="22" t="n"/>
      <c r="W195" s="184" t="n"/>
      <c r="X195" s="17" t="n"/>
      <c r="Y195" s="13" t="inlineStr">
        <is>
          <t>0-4</t>
        </is>
      </c>
      <c r="Z195" s="15" t="inlineStr">
        <is>
          <t>5-14</t>
        </is>
      </c>
      <c r="AA195" s="16" t="inlineStr">
        <is>
          <t>15+</t>
        </is>
      </c>
      <c r="AB195" s="13" t="inlineStr">
        <is>
          <t>0-4</t>
        </is>
      </c>
      <c r="AC195" s="15" t="inlineStr">
        <is>
          <t>5-14</t>
        </is>
      </c>
      <c r="AD195" s="16" t="inlineStr">
        <is>
          <t>15+</t>
        </is>
      </c>
    </row>
    <row r="196" ht="24.9" customHeight="1">
      <c r="A196" s="67" t="inlineStr">
        <is>
          <t>Relapse</t>
        </is>
      </c>
      <c r="B196" s="67" t="n">
        <v>2</v>
      </c>
      <c r="C196" s="67" t="n">
        <v>0</v>
      </c>
      <c r="D196" s="67" t="n">
        <v>0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7" t="inlineStr">
        <is>
          <t>0-4</t>
        </is>
      </c>
      <c r="P196" s="52" t="inlineStr">
        <is>
          <t>5-14</t>
        </is>
      </c>
      <c r="Q196" s="14" t="inlineStr">
        <is>
          <t>15 +</t>
        </is>
      </c>
      <c r="R196" s="13" t="inlineStr">
        <is>
          <t>0-4</t>
        </is>
      </c>
      <c r="S196" s="14" t="inlineStr">
        <is>
          <t>5-14</t>
        </is>
      </c>
      <c r="T196" s="14" t="inlineStr">
        <is>
          <t>15 +</t>
        </is>
      </c>
      <c r="U196" s="13" t="inlineStr">
        <is>
          <t>0-4</t>
        </is>
      </c>
      <c r="V196" s="14" t="inlineStr">
        <is>
          <t>5-14</t>
        </is>
      </c>
      <c r="W196" s="14" t="inlineStr">
        <is>
          <t>15 +</t>
        </is>
      </c>
      <c r="X196" s="17" t="inlineStr">
        <is>
          <t>6H</t>
        </is>
      </c>
      <c r="Y196" s="67" t="n">
        <v>7</v>
      </c>
      <c r="Z196" s="67" t="n">
        <v>0</v>
      </c>
      <c r="AA196" s="67" t="n">
        <v>0</v>
      </c>
      <c r="AB196" s="67" t="n">
        <v>0</v>
      </c>
      <c r="AC196" s="67" t="n">
        <v>0</v>
      </c>
      <c r="AD196" s="67" t="n">
        <v>0</v>
      </c>
    </row>
    <row r="197" ht="24.9" customHeight="1">
      <c r="A197" s="165" t="inlineStr">
        <is>
          <t>Previously treated</t>
        </is>
      </c>
      <c r="B197" s="67" t="n">
        <v>1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51" t="n"/>
      <c r="O197" s="4" t="n">
        <v>58</v>
      </c>
      <c r="P197" s="4" t="n">
        <v>285</v>
      </c>
      <c r="Q197" s="4" t="n">
        <v>890</v>
      </c>
      <c r="R197" s="4" t="n">
        <v>41</v>
      </c>
      <c r="S197" s="4" t="n">
        <v>235</v>
      </c>
      <c r="T197" s="4" t="n">
        <v>499</v>
      </c>
      <c r="U197" s="4" t="n">
        <v>0</v>
      </c>
      <c r="V197" s="4" t="n">
        <v>6</v>
      </c>
      <c r="W197" s="4" t="n">
        <v>11</v>
      </c>
      <c r="X197" s="17" t="inlineStr">
        <is>
          <t>3HR</t>
        </is>
      </c>
      <c r="Y197" s="67" t="n">
        <v>0</v>
      </c>
      <c r="Z197" s="67" t="n">
        <v>0</v>
      </c>
      <c r="AA197" s="67" t="n">
        <v>10</v>
      </c>
      <c r="AB197" s="67" t="n">
        <v>0</v>
      </c>
      <c r="AC197" s="67" t="n">
        <v>0</v>
      </c>
      <c r="AD197" s="67" t="n">
        <v>0</v>
      </c>
    </row>
    <row r="198" ht="24.9" customHeight="1">
      <c r="A198" s="67" t="inlineStr">
        <is>
          <t>Total</t>
        </is>
      </c>
      <c r="B198" s="67" t="n">
        <v>286</v>
      </c>
      <c r="C198" s="67" t="n">
        <v>1</v>
      </c>
      <c r="D198" s="67" t="n">
        <v>0</v>
      </c>
      <c r="E198" s="67" t="n">
        <v>0</v>
      </c>
      <c r="F198" s="67" t="n">
        <v>0</v>
      </c>
      <c r="G198" s="67" t="n">
        <v>0</v>
      </c>
      <c r="H198" s="67" t="n">
        <v>0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51" t="n"/>
      <c r="O198" s="190" t="n"/>
      <c r="P198" s="190" t="n"/>
      <c r="Q198" s="190" t="n"/>
      <c r="R198" s="190" t="n"/>
      <c r="S198" s="190" t="n"/>
      <c r="T198" s="190" t="n"/>
      <c r="U198" s="190" t="n"/>
      <c r="V198" s="190" t="n"/>
      <c r="W198" s="190" t="n"/>
      <c r="X198" s="53" t="inlineStr">
        <is>
          <t>3 HP</t>
        </is>
      </c>
      <c r="Y198" s="67" t="n">
        <v>0</v>
      </c>
      <c r="Z198" s="67" t="n">
        <v>23</v>
      </c>
      <c r="AA198" s="67" t="n">
        <v>78</v>
      </c>
      <c r="AB198" s="67" t="n">
        <v>0</v>
      </c>
      <c r="AC198" s="67" t="n">
        <v>0</v>
      </c>
      <c r="AD198" s="67" t="n">
        <v>0</v>
      </c>
    </row>
  </sheetData>
  <mergeCells count="727">
    <mergeCell ref="A176:K176"/>
    <mergeCell ref="S14:U14"/>
    <mergeCell ref="U158:U159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A44:D44"/>
    <mergeCell ref="R80:R81"/>
    <mergeCell ref="AC161:AD162"/>
    <mergeCell ref="T80:T81"/>
    <mergeCell ref="B68:B72"/>
    <mergeCell ref="S15:U15"/>
    <mergeCell ref="S144:V144"/>
    <mergeCell ref="AA106:AD106"/>
    <mergeCell ref="AD174:AD175"/>
    <mergeCell ref="V168:X168"/>
    <mergeCell ref="N169:O169"/>
    <mergeCell ref="S172:U172"/>
    <mergeCell ref="Y129:Z129"/>
    <mergeCell ref="AA105:AD105"/>
    <mergeCell ref="P165:R167"/>
    <mergeCell ref="I46:O46"/>
    <mergeCell ref="P12:R12"/>
    <mergeCell ref="V8:AB8"/>
    <mergeCell ref="R135:S135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D185:D189"/>
    <mergeCell ref="N168:O168"/>
    <mergeCell ref="S93:U93"/>
    <mergeCell ref="A82:X82"/>
    <mergeCell ref="P24:Q24"/>
    <mergeCell ref="O114:Q117"/>
    <mergeCell ref="AA11:AB11"/>
    <mergeCell ref="H154:I154"/>
    <mergeCell ref="AC11:AD11"/>
    <mergeCell ref="V94:X94"/>
    <mergeCell ref="J154:K154"/>
    <mergeCell ref="B154:C154"/>
    <mergeCell ref="S170:U170"/>
    <mergeCell ref="G146:G150"/>
    <mergeCell ref="AA92:AB92"/>
    <mergeCell ref="I146:I150"/>
    <mergeCell ref="R197:R198"/>
    <mergeCell ref="P90:R90"/>
    <mergeCell ref="L66:L67"/>
    <mergeCell ref="T197:T198"/>
    <mergeCell ref="A135:K136"/>
    <mergeCell ref="H105:K105"/>
    <mergeCell ref="A59:K59"/>
    <mergeCell ref="L57:M57"/>
    <mergeCell ref="D68:D72"/>
    <mergeCell ref="W67:Z67"/>
    <mergeCell ref="T40:T41"/>
    <mergeCell ref="A61:K61"/>
    <mergeCell ref="N171:O171"/>
    <mergeCell ref="V40:V41"/>
    <mergeCell ref="A124:H124"/>
    <mergeCell ref="L87:M89"/>
    <mergeCell ref="Z43:AA43"/>
    <mergeCell ref="Y169:Z169"/>
    <mergeCell ref="A114:A116"/>
    <mergeCell ref="O69:R72"/>
    <mergeCell ref="A160:X160"/>
    <mergeCell ref="F107:F111"/>
    <mergeCell ref="A90:K90"/>
    <mergeCell ref="O161:R161"/>
    <mergeCell ref="H107:H111"/>
    <mergeCell ref="N52:O52"/>
    <mergeCell ref="Z3:AA3"/>
    <mergeCell ref="U44:Y45"/>
    <mergeCell ref="U85:Z85"/>
    <mergeCell ref="S197:S198"/>
    <mergeCell ref="A129:K129"/>
    <mergeCell ref="M66:M67"/>
    <mergeCell ref="U197:U198"/>
    <mergeCell ref="V87:AB87"/>
    <mergeCell ref="V49:X50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AC172:AD172"/>
    <mergeCell ref="F185:F189"/>
    <mergeCell ref="B144:C144"/>
    <mergeCell ref="T57:U57"/>
    <mergeCell ref="Y53:Z53"/>
    <mergeCell ref="Y130:Z130"/>
    <mergeCell ref="O186:R189"/>
    <mergeCell ref="AA130:AB130"/>
    <mergeCell ref="O153:Q156"/>
    <mergeCell ref="Y55:Z55"/>
    <mergeCell ref="F28:F32"/>
    <mergeCell ref="H28:H32"/>
    <mergeCell ref="N96:O96"/>
    <mergeCell ref="U161:Y162"/>
    <mergeCell ref="P96:Q96"/>
    <mergeCell ref="X75:AA77"/>
    <mergeCell ref="H75:M75"/>
    <mergeCell ref="S184:V184"/>
    <mergeCell ref="S171:U171"/>
    <mergeCell ref="K44:L44"/>
    <mergeCell ref="V126:AB126"/>
    <mergeCell ref="M183:M184"/>
    <mergeCell ref="S92:U92"/>
    <mergeCell ref="R153:T156"/>
    <mergeCell ref="AC126:AD128"/>
    <mergeCell ref="AA28:AD28"/>
    <mergeCell ref="L26:L27"/>
    <mergeCell ref="C185:C189"/>
    <mergeCell ref="E185:E189"/>
    <mergeCell ref="P93:R93"/>
    <mergeCell ref="S94:U94"/>
    <mergeCell ref="G185:G189"/>
    <mergeCell ref="L129:M129"/>
    <mergeCell ref="Z17:AA17"/>
    <mergeCell ref="Z82:AA82"/>
    <mergeCell ref="AB57:AC57"/>
    <mergeCell ref="F146:F150"/>
    <mergeCell ref="Z161:AB162"/>
    <mergeCell ref="H146:H150"/>
    <mergeCell ref="L52:M52"/>
    <mergeCell ref="O4:R4"/>
    <mergeCell ref="B76:C76"/>
    <mergeCell ref="A192:A194"/>
    <mergeCell ref="W69:Z72"/>
    <mergeCell ref="U40:U41"/>
    <mergeCell ref="S8:U10"/>
    <mergeCell ref="W40:W41"/>
    <mergeCell ref="P130:R130"/>
    <mergeCell ref="Z44:AB45"/>
    <mergeCell ref="S131:U131"/>
    <mergeCell ref="Z160:AA160"/>
    <mergeCell ref="F193:G193"/>
    <mergeCell ref="H193:I193"/>
    <mergeCell ref="O29:R32"/>
    <mergeCell ref="L13:M13"/>
    <mergeCell ref="A66:A67"/>
    <mergeCell ref="Z135:AA135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172:M172"/>
    <mergeCell ref="L55:M55"/>
    <mergeCell ref="A9:K10"/>
    <mergeCell ref="S27:V27"/>
    <mergeCell ref="L171:M171"/>
    <mergeCell ref="K68:K72"/>
    <mergeCell ref="W186:Z189"/>
    <mergeCell ref="AA133:AB133"/>
    <mergeCell ref="L36:M36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AB192:AD194"/>
    <mergeCell ref="G28:G32"/>
    <mergeCell ref="H114:M114"/>
    <mergeCell ref="U163:Z163"/>
    <mergeCell ref="I28:I32"/>
    <mergeCell ref="AA124:AD124"/>
    <mergeCell ref="M161:N161"/>
    <mergeCell ref="AC122:AD123"/>
    <mergeCell ref="A122:D122"/>
    <mergeCell ref="L183:L184"/>
    <mergeCell ref="B115:C115"/>
    <mergeCell ref="AA13:AB13"/>
    <mergeCell ref="AC13:AD13"/>
    <mergeCell ref="L53:M53"/>
    <mergeCell ref="A161:D161"/>
    <mergeCell ref="N53:O53"/>
    <mergeCell ref="O185:R185"/>
    <mergeCell ref="A6:H6"/>
    <mergeCell ref="O106:R106"/>
    <mergeCell ref="L130:M130"/>
    <mergeCell ref="AA15:AB15"/>
    <mergeCell ref="N130:O130"/>
    <mergeCell ref="AC15:AD15"/>
    <mergeCell ref="H26:K26"/>
    <mergeCell ref="A172:K172"/>
    <mergeCell ref="O105:R105"/>
    <mergeCell ref="S87:U89"/>
    <mergeCell ref="A99:K99"/>
    <mergeCell ref="L132:M132"/>
    <mergeCell ref="V53:X53"/>
    <mergeCell ref="M68:M72"/>
    <mergeCell ref="O107:R107"/>
    <mergeCell ref="V48:AB48"/>
    <mergeCell ref="A101:K101"/>
    <mergeCell ref="P133:R133"/>
    <mergeCell ref="P54:R54"/>
    <mergeCell ref="I83:J83"/>
    <mergeCell ref="H35:M35"/>
    <mergeCell ref="M107:M111"/>
    <mergeCell ref="AA26:AD26"/>
    <mergeCell ref="H144:K144"/>
    <mergeCell ref="Z122:AB123"/>
    <mergeCell ref="AD17:AD18"/>
    <mergeCell ref="O183:R183"/>
    <mergeCell ref="B26:C26"/>
    <mergeCell ref="AA68:AD68"/>
    <mergeCell ref="X96:Y96"/>
    <mergeCell ref="AA166:AB167"/>
    <mergeCell ref="D115:E115"/>
    <mergeCell ref="M44:N44"/>
    <mergeCell ref="L174:M174"/>
    <mergeCell ref="N174:O174"/>
    <mergeCell ref="N51:O51"/>
    <mergeCell ref="H153:M153"/>
    <mergeCell ref="M185:M189"/>
    <mergeCell ref="W28:Z28"/>
    <mergeCell ref="AC92:AD92"/>
    <mergeCell ref="V54:X54"/>
    <mergeCell ref="S53:U53"/>
    <mergeCell ref="AA144:AD144"/>
    <mergeCell ref="P171:R171"/>
    <mergeCell ref="O68:R68"/>
    <mergeCell ref="H36:I36"/>
    <mergeCell ref="J36:K36"/>
    <mergeCell ref="S55:U55"/>
    <mergeCell ref="B192:G192"/>
    <mergeCell ref="L92:M92"/>
    <mergeCell ref="N92:O92"/>
    <mergeCell ref="T119:T120"/>
    <mergeCell ref="S158:S159"/>
    <mergeCell ref="V119:V120"/>
    <mergeCell ref="AD135:AD136"/>
    <mergeCell ref="AA54:AB54"/>
    <mergeCell ref="E4:H4"/>
    <mergeCell ref="Y90:Z90"/>
    <mergeCell ref="W183:Z183"/>
    <mergeCell ref="A85:H85"/>
    <mergeCell ref="L94:M94"/>
    <mergeCell ref="AC54:AD54"/>
    <mergeCell ref="V130:X130"/>
    <mergeCell ref="A8:K8"/>
    <mergeCell ref="O184:R184"/>
    <mergeCell ref="W185:Z185"/>
    <mergeCell ref="A100:K100"/>
    <mergeCell ref="A171:K171"/>
    <mergeCell ref="W106:Z106"/>
    <mergeCell ref="A165:K165"/>
    <mergeCell ref="L185:L189"/>
    <mergeCell ref="N133:O133"/>
    <mergeCell ref="V166:X167"/>
    <mergeCell ref="L169:M169"/>
    <mergeCell ref="W105:Z105"/>
    <mergeCell ref="A102:K102"/>
    <mergeCell ref="Y131:Z131"/>
    <mergeCell ref="S126:U128"/>
    <mergeCell ref="AA131:AB131"/>
    <mergeCell ref="N135:O135"/>
    <mergeCell ref="U192:W195"/>
    <mergeCell ref="U122:Y123"/>
    <mergeCell ref="P64:Q64"/>
    <mergeCell ref="P135:Q135"/>
    <mergeCell ref="AA163:AD163"/>
    <mergeCell ref="R57:S57"/>
    <mergeCell ref="L48:M50"/>
    <mergeCell ref="X192:AA194"/>
    <mergeCell ref="A168:K168"/>
    <mergeCell ref="A183:A184"/>
    <mergeCell ref="Y14:Z14"/>
    <mergeCell ref="Y11:Z11"/>
    <mergeCell ref="F154:G154"/>
    <mergeCell ref="O28:R28"/>
    <mergeCell ref="E146:E150"/>
    <mergeCell ref="N17:O17"/>
    <mergeCell ref="P197:P198"/>
    <mergeCell ref="P17:Q17"/>
    <mergeCell ref="I163:O163"/>
    <mergeCell ref="A21:K21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P181:Q181"/>
    <mergeCell ref="O44:R44"/>
    <mergeCell ref="U124:Z124"/>
    <mergeCell ref="J115:K115"/>
    <mergeCell ref="L115:M115"/>
    <mergeCell ref="P131:R131"/>
    <mergeCell ref="B107:B111"/>
    <mergeCell ref="A52:K52"/>
    <mergeCell ref="M122:N122"/>
    <mergeCell ref="D107:D111"/>
    <mergeCell ref="Y91:Z91"/>
    <mergeCell ref="H66:K66"/>
    <mergeCell ref="AA46:AD46"/>
    <mergeCell ref="AA91:AB91"/>
    <mergeCell ref="L131:M131"/>
    <mergeCell ref="O197:O198"/>
    <mergeCell ref="X153:AA155"/>
    <mergeCell ref="Q197:Q198"/>
    <mergeCell ref="Y93:Z93"/>
    <mergeCell ref="AA93:AB93"/>
    <mergeCell ref="W107:Z107"/>
    <mergeCell ref="P158:P159"/>
    <mergeCell ref="V11:X11"/>
    <mergeCell ref="R158:R159"/>
    <mergeCell ref="AC87:AD89"/>
    <mergeCell ref="A68:A72"/>
    <mergeCell ref="AA170:AB170"/>
    <mergeCell ref="V169:X169"/>
    <mergeCell ref="V96:W96"/>
    <mergeCell ref="AA184:AD184"/>
    <mergeCell ref="P13:R13"/>
    <mergeCell ref="Y172:Z172"/>
    <mergeCell ref="A42:AD42"/>
    <mergeCell ref="B185:B189"/>
    <mergeCell ref="O80:O81"/>
    <mergeCell ref="P15:R15"/>
    <mergeCell ref="E83:H83"/>
    <mergeCell ref="A55:K55"/>
    <mergeCell ref="S168:U168"/>
    <mergeCell ref="S51:U51"/>
    <mergeCell ref="R192:T195"/>
    <mergeCell ref="L96:M96"/>
    <mergeCell ref="Y12:Z12"/>
    <mergeCell ref="I4:J4"/>
    <mergeCell ref="A88:K89"/>
    <mergeCell ref="AA12:AB12"/>
    <mergeCell ref="L90:M90"/>
    <mergeCell ref="N90:O90"/>
    <mergeCell ref="T174:U174"/>
    <mergeCell ref="O35:Q38"/>
    <mergeCell ref="V174:W174"/>
    <mergeCell ref="H76:I76"/>
    <mergeCell ref="S169:U169"/>
    <mergeCell ref="J76:K76"/>
    <mergeCell ref="AC52:AD52"/>
    <mergeCell ref="L154:M154"/>
    <mergeCell ref="AA14:AB14"/>
    <mergeCell ref="AB153:AD155"/>
    <mergeCell ref="AC4:AD5"/>
    <mergeCell ref="A185:A189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B146:B150"/>
    <mergeCell ref="D36:E36"/>
    <mergeCell ref="V132:X132"/>
    <mergeCell ref="D146:D150"/>
    <mergeCell ref="AA67:AD67"/>
    <mergeCell ref="P172:R172"/>
    <mergeCell ref="S69:V72"/>
    <mergeCell ref="O40:O41"/>
    <mergeCell ref="Q40:Q41"/>
    <mergeCell ref="S40:S41"/>
    <mergeCell ref="AB174:AC174"/>
    <mergeCell ref="AA27:AD27"/>
    <mergeCell ref="AA172:AB172"/>
    <mergeCell ref="A107:A111"/>
    <mergeCell ref="J193:K193"/>
    <mergeCell ref="C107:C111"/>
    <mergeCell ref="A49:K50"/>
    <mergeCell ref="L193:M193"/>
    <mergeCell ref="V12:X12"/>
    <mergeCell ref="D193:E193"/>
    <mergeCell ref="A126:K126"/>
    <mergeCell ref="I44:J44"/>
    <mergeCell ref="O26:R26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A48:K48"/>
    <mergeCell ref="P170:R170"/>
    <mergeCell ref="AA127:AB128"/>
    <mergeCell ref="G68:G72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M105:M106"/>
    <mergeCell ref="Y51:Z51"/>
    <mergeCell ref="A28:A32"/>
    <mergeCell ref="A137:K137"/>
    <mergeCell ref="C28:C32"/>
    <mergeCell ref="I124:O124"/>
    <mergeCell ref="N170:O170"/>
    <mergeCell ref="AC55:AD55"/>
    <mergeCell ref="L8:M10"/>
    <mergeCell ref="O145:R145"/>
    <mergeCell ref="AA171:AB171"/>
    <mergeCell ref="A139:K139"/>
    <mergeCell ref="AC171:AD171"/>
    <mergeCell ref="V133:X133"/>
    <mergeCell ref="N172:O172"/>
    <mergeCell ref="P92:R92"/>
    <mergeCell ref="AA6:AD6"/>
    <mergeCell ref="S108:V111"/>
    <mergeCell ref="Z83:AB84"/>
    <mergeCell ref="J146:J150"/>
    <mergeCell ref="L146:L150"/>
    <mergeCell ref="S90:U90"/>
    <mergeCell ref="U6:Z6"/>
    <mergeCell ref="W197:W198"/>
    <mergeCell ref="P94:R94"/>
    <mergeCell ref="A140:K140"/>
    <mergeCell ref="A63:K63"/>
    <mergeCell ref="A146:A150"/>
    <mergeCell ref="C146:C150"/>
    <mergeCell ref="I68:I72"/>
    <mergeCell ref="A92:K92"/>
    <mergeCell ref="N54:O54"/>
    <mergeCell ref="H183:K183"/>
    <mergeCell ref="I107:I111"/>
    <mergeCell ref="P40:P41"/>
    <mergeCell ref="K107:K111"/>
    <mergeCell ref="A94:K94"/>
    <mergeCell ref="R40:R41"/>
    <mergeCell ref="P8:R10"/>
    <mergeCell ref="V15:X15"/>
    <mergeCell ref="V51:X51"/>
    <mergeCell ref="AC130:AD130"/>
    <mergeCell ref="O66:R66"/>
    <mergeCell ref="A83:D83"/>
    <mergeCell ref="D144:G144"/>
    <mergeCell ref="A87:K87"/>
    <mergeCell ref="U153:W156"/>
    <mergeCell ref="V197:V198"/>
    <mergeCell ref="A144:A145"/>
    <mergeCell ref="A133:K133"/>
    <mergeCell ref="W68:Z68"/>
    <mergeCell ref="AA168:AB168"/>
    <mergeCell ref="P87:R89"/>
    <mergeCell ref="AC168:AD168"/>
    <mergeCell ref="L144:L145"/>
    <mergeCell ref="Y166:Z167"/>
    <mergeCell ref="L76:M76"/>
    <mergeCell ref="N132:O132"/>
    <mergeCell ref="B153:G153"/>
    <mergeCell ref="U75:W78"/>
    <mergeCell ref="L168:M168"/>
    <mergeCell ref="I185:I189"/>
    <mergeCell ref="K185:K189"/>
    <mergeCell ref="V80:V81"/>
    <mergeCell ref="S28:V28"/>
    <mergeCell ref="F68:F72"/>
    <mergeCell ref="W144:Z144"/>
    <mergeCell ref="Y88:Z89"/>
    <mergeCell ref="L11:M11"/>
    <mergeCell ref="AA129:AB129"/>
    <mergeCell ref="AB35:AD37"/>
    <mergeCell ref="H192:M192"/>
    <mergeCell ref="P119:P120"/>
    <mergeCell ref="R119:R120"/>
    <mergeCell ref="AC48:AD50"/>
    <mergeCell ref="V135:W135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AA185:AD185"/>
    <mergeCell ref="O147:R150"/>
    <mergeCell ref="S106:V106"/>
    <mergeCell ref="H185:H189"/>
    <mergeCell ref="AC91:AD91"/>
    <mergeCell ref="P168:R168"/>
    <mergeCell ref="L133:M133"/>
    <mergeCell ref="S105:V105"/>
    <mergeCell ref="L165:M167"/>
    <mergeCell ref="D154:E154"/>
    <mergeCell ref="K146:K150"/>
    <mergeCell ref="N8:O10"/>
    <mergeCell ref="M146:M150"/>
    <mergeCell ref="V90:X90"/>
    <mergeCell ref="A127:K128"/>
    <mergeCell ref="L51:M51"/>
    <mergeCell ref="E44:H44"/>
    <mergeCell ref="AC94:AD94"/>
    <mergeCell ref="N57:O57"/>
    <mergeCell ref="P57:Q57"/>
    <mergeCell ref="H68:H72"/>
    <mergeCell ref="V129:X129"/>
    <mergeCell ref="A166:K167"/>
    <mergeCell ref="N87:O89"/>
    <mergeCell ref="AA55:AB55"/>
    <mergeCell ref="AA169:AB169"/>
    <mergeCell ref="O75:Q78"/>
    <mergeCell ref="AC169:AD169"/>
    <mergeCell ref="V131:X131"/>
    <mergeCell ref="J107:J111"/>
    <mergeCell ref="AA88:AB89"/>
    <mergeCell ref="P52:R52"/>
    <mergeCell ref="L17:M17"/>
    <mergeCell ref="N11:O11"/>
    <mergeCell ref="M28:M32"/>
    <mergeCell ref="B193:C193"/>
    <mergeCell ref="Y15:Z15"/>
    <mergeCell ref="A105:A106"/>
    <mergeCell ref="O67:R67"/>
    <mergeCell ref="P91:R91"/>
    <mergeCell ref="AC131:AD131"/>
    <mergeCell ref="A57:K58"/>
    <mergeCell ref="A3:X3"/>
    <mergeCell ref="L12:M12"/>
    <mergeCell ref="N12:O12"/>
    <mergeCell ref="N165:O167"/>
    <mergeCell ref="A54:K54"/>
    <mergeCell ref="U4:Y5"/>
    <mergeCell ref="I122:J122"/>
    <mergeCell ref="I6:O6"/>
    <mergeCell ref="L14:M14"/>
    <mergeCell ref="N14:O14"/>
    <mergeCell ref="J185:J189"/>
    <mergeCell ref="AA53:AB53"/>
    <mergeCell ref="S54:U54"/>
    <mergeCell ref="P103:Q103"/>
    <mergeCell ref="W26:Z26"/>
    <mergeCell ref="S186:V189"/>
    <mergeCell ref="AC90:AD90"/>
    <mergeCell ref="P55:R55"/>
    <mergeCell ref="J28:J32"/>
    <mergeCell ref="S107:V107"/>
    <mergeCell ref="L28:L32"/>
    <mergeCell ref="O119:O120"/>
    <mergeCell ref="Y9:Z10"/>
    <mergeCell ref="P169:R169"/>
    <mergeCell ref="B183:C183"/>
    <mergeCell ref="Q119:Q120"/>
    <mergeCell ref="A22:K22"/>
    <mergeCell ref="AA9:AB10"/>
    <mergeCell ref="R96:S96"/>
    <mergeCell ref="T96:U96"/>
    <mergeCell ref="AA146:AD146"/>
    <mergeCell ref="W184:Z184"/>
    <mergeCell ref="S130:U130"/>
    <mergeCell ref="A174:K175"/>
    <mergeCell ref="AA66:AD66"/>
    <mergeCell ref="N129:O129"/>
    <mergeCell ref="S132:U132"/>
    <mergeCell ref="M144:M145"/>
    <mergeCell ref="A11:K11"/>
    <mergeCell ref="B66:C66"/>
    <mergeCell ref="A98:K98"/>
    <mergeCell ref="AC44:AD45"/>
    <mergeCell ref="A169:K169"/>
    <mergeCell ref="V170:X170"/>
    <mergeCell ref="N131:O131"/>
    <mergeCell ref="AC12:AD12"/>
    <mergeCell ref="X57:Y57"/>
    <mergeCell ref="Z57:AA57"/>
    <mergeCell ref="X174:Y174"/>
    <mergeCell ref="D26:G26"/>
    <mergeCell ref="K122:L122"/>
    <mergeCell ref="P174:Q174"/>
    <mergeCell ref="Z174:AA174"/>
    <mergeCell ref="U35:W38"/>
    <mergeCell ref="R174:S174"/>
    <mergeCell ref="A96:K97"/>
    <mergeCell ref="L126:M128"/>
    <mergeCell ref="D76:E76"/>
    <mergeCell ref="A26:A27"/>
    <mergeCell ref="F76:G76"/>
    <mergeCell ref="V172:X172"/>
    <mergeCell ref="S133:U133"/>
    <mergeCell ref="AC14:AD14"/>
    <mergeCell ref="P53:R53"/>
    <mergeCell ref="A177:K177"/>
    <mergeCell ref="E122:H122"/>
    <mergeCell ref="A163:H163"/>
    <mergeCell ref="B114:G114"/>
    <mergeCell ref="A179:K179"/>
    <mergeCell ref="A153:A155"/>
    <mergeCell ref="V9:X10"/>
    <mergeCell ref="Q80:Q81"/>
    <mergeCell ref="B35:G35"/>
    <mergeCell ref="P132:R132"/>
    <mergeCell ref="A121:X121"/>
    <mergeCell ref="S80:S81"/>
    <mergeCell ref="Y170:Z170"/>
    <mergeCell ref="N13:O13"/>
    <mergeCell ref="S29:V32"/>
    <mergeCell ref="A91:K91"/>
    <mergeCell ref="V52:X52"/>
    <mergeCell ref="U46:Z46"/>
    <mergeCell ref="A180:K180"/>
    <mergeCell ref="R35:T38"/>
    <mergeCell ref="P142:Q142"/>
    <mergeCell ref="AC132:AD132"/>
    <mergeCell ref="A93:K93"/>
    <mergeCell ref="W147:Z150"/>
    <mergeCell ref="Z4:AB5"/>
    <mergeCell ref="N55:O55"/>
    <mergeCell ref="K83:L83"/>
    <mergeCell ref="W27:Z27"/>
    <mergeCell ref="M83:N83"/>
    <mergeCell ref="AB75:AD77"/>
    <mergeCell ref="U114:W117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O158:O159"/>
    <mergeCell ref="A12:K12"/>
    <mergeCell ref="Z121:AA121"/>
    <mergeCell ref="O83:R83"/>
    <mergeCell ref="I161:J161"/>
    <mergeCell ref="C68:C72"/>
    <mergeCell ref="K161:L161"/>
    <mergeCell ref="E68:E72"/>
    <mergeCell ref="Y168:Z168"/>
    <mergeCell ref="F115:G115"/>
    <mergeCell ref="I85:O85"/>
    <mergeCell ref="L107:L111"/>
    <mergeCell ref="R17:S17"/>
    <mergeCell ref="A14:K14"/>
    <mergeCell ref="T17:U17"/>
    <mergeCell ref="Y13:Z13"/>
    <mergeCell ref="E161:H161"/>
    <mergeCell ref="S185:V185"/>
    <mergeCell ref="M26:M27"/>
    <mergeCell ref="S165:U167"/>
    <mergeCell ref="S12:U12"/>
    <mergeCell ref="AA51:AB51"/>
    <mergeCell ref="D66:G66"/>
    <mergeCell ref="AC51:AD51"/>
    <mergeCell ref="A170:K170"/>
    <mergeCell ref="W29:Z32"/>
    <mergeCell ref="O192:Q195"/>
    <mergeCell ref="L170:M170"/>
    <mergeCell ref="L135:M135"/>
    <mergeCell ref="P11:R11"/>
    <mergeCell ref="Y171:Z171"/>
    <mergeCell ref="A130:K130"/>
    <mergeCell ref="X35:AA37"/>
    <mergeCell ref="W108:Z111"/>
    <mergeCell ref="Y49:Z50"/>
    <mergeCell ref="A138:K138"/>
    <mergeCell ref="O108:R111"/>
    <mergeCell ref="A132:K132"/>
    <mergeCell ref="N126:O128"/>
    <mergeCell ref="A17:K18"/>
    <mergeCell ref="P80:P81"/>
    <mergeCell ref="V127:X128"/>
    <mergeCell ref="Z96:AA96"/>
    <mergeCell ref="V165:AB165"/>
    <mergeCell ref="AC8:AD10"/>
    <mergeCell ref="S129:U129"/>
    <mergeCell ref="AB96:AC96"/>
    <mergeCell ref="N48:O50"/>
    <mergeCell ref="H115:I115"/>
    <mergeCell ref="A43:X43"/>
    <mergeCell ref="AC165:AD167"/>
    <mergeCell ref="D183:G183"/>
    <mergeCell ref="AD57:AD58"/>
    <mergeCell ref="L54:M54"/>
    <mergeCell ref="B75:G75"/>
    <mergeCell ref="E107:E111"/>
    <mergeCell ref="G107:G111"/>
    <mergeCell ref="P51:R51"/>
    <mergeCell ref="Y127:Z128"/>
    <mergeCell ref="S66:V66"/>
    <mergeCell ref="A75:A77"/>
    <mergeCell ref="AD96:AD97"/>
    <mergeCell ref="W66:Z66"/>
    <mergeCell ref="A20:K20"/>
    <mergeCell ref="R114:T117"/>
    <mergeCell ref="S68:V68"/>
    <mergeCell ref="A13:K13"/>
    <mergeCell ref="K4:L4"/>
    <mergeCell ref="M4:N4"/>
  </mergeCells>
  <printOptions horizontalCentered="1"/>
  <pageMargins left="0.25" right="0.25" top="0.25" bottom="0.25" header="0.25" footer="0.25"/>
  <pageSetup orientation="landscape" paperSize="9" scale="63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8000"/>
    <outlinePr summaryBelow="1" summaryRight="1"/>
    <pageSetUpPr/>
  </sheetPr>
  <dimension ref="A2:AD198"/>
  <sheetViews>
    <sheetView view="pageBreakPreview" topLeftCell="A160" zoomScale="85" zoomScaleNormal="85" zoomScaleSheetLayoutView="85" workbookViewId="0">
      <selection activeCell="A174" sqref="A1:XFD1048576"/>
    </sheetView>
  </sheetViews>
  <sheetFormatPr baseColWidth="8" defaultRowHeight="13.8"/>
  <cols>
    <col width="11.6640625" customWidth="1" min="1" max="1"/>
    <col width="8.88671875" customWidth="1" min="2" max="2"/>
    <col width="11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8.88671875" customWidth="1" min="13" max="13"/>
    <col width="7.33203125" customWidth="1" min="14" max="14"/>
    <col width="6.33203125" customWidth="1" min="15" max="16"/>
    <col width="7.5546875" customWidth="1" min="17" max="17"/>
    <col width="5.33203125" customWidth="1" min="18" max="18"/>
    <col width="6.109375" customWidth="1" min="19" max="19"/>
    <col width="6.88671875" customWidth="1" min="20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75" t="inlineStr">
        <is>
          <t>Consolidated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8" t="inlineStr">
        <is>
          <t>Azad Kashmir</t>
        </is>
      </c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145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4" t="n">
        <v>516</v>
      </c>
      <c r="M11" s="45" t="n"/>
      <c r="N11" s="4" t="n">
        <v>63</v>
      </c>
      <c r="O11" s="45" t="n"/>
      <c r="P11" s="194" t="n">
        <v>1</v>
      </c>
      <c r="Q11" s="33" t="n"/>
      <c r="R11" s="45" t="n"/>
      <c r="S11" s="4" t="n">
        <v>580</v>
      </c>
      <c r="T11" s="33" t="n"/>
      <c r="U11" s="45" t="n"/>
      <c r="V11" s="194" t="n">
        <v>0</v>
      </c>
      <c r="W11" s="33" t="n"/>
      <c r="X11" s="45" t="n"/>
      <c r="Y11" s="4" t="n">
        <v>0</v>
      </c>
      <c r="Z11" s="45" t="n"/>
      <c r="AA11" s="4" t="n">
        <v>0</v>
      </c>
      <c r="AB11" s="45" t="n"/>
      <c r="AC11" s="4" t="n">
        <v>580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4" t="n">
        <v>419</v>
      </c>
      <c r="M12" s="45" t="n"/>
      <c r="N12" s="4" t="n">
        <v>9</v>
      </c>
      <c r="O12" s="45" t="n"/>
      <c r="P12" s="194" t="n">
        <v>0</v>
      </c>
      <c r="Q12" s="33" t="n"/>
      <c r="R12" s="45" t="n"/>
      <c r="S12" s="4" t="n">
        <v>428</v>
      </c>
      <c r="T12" s="33" t="n"/>
      <c r="U12" s="45" t="n"/>
      <c r="V12" s="194" t="n">
        <v>0</v>
      </c>
      <c r="W12" s="33" t="n"/>
      <c r="X12" s="45" t="n"/>
      <c r="Y12" s="4" t="n">
        <v>0</v>
      </c>
      <c r="Z12" s="45" t="n"/>
      <c r="AA12" s="4" t="n">
        <v>0</v>
      </c>
      <c r="AB12" s="45" t="n"/>
      <c r="AC12" s="4" t="n">
        <v>428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4" t="n">
        <v>3</v>
      </c>
      <c r="M13" s="45" t="n"/>
      <c r="N13" s="4" t="n">
        <v>0</v>
      </c>
      <c r="O13" s="45" t="n"/>
      <c r="P13" s="194" t="n">
        <v>0</v>
      </c>
      <c r="Q13" s="33" t="n"/>
      <c r="R13" s="45" t="n"/>
      <c r="S13" s="4" t="n">
        <v>3</v>
      </c>
      <c r="T13" s="33" t="n"/>
      <c r="U13" s="45" t="n"/>
      <c r="V13" s="194" t="n">
        <v>0</v>
      </c>
      <c r="W13" s="33" t="n"/>
      <c r="X13" s="45" t="n"/>
      <c r="Y13" s="4" t="n">
        <v>0</v>
      </c>
      <c r="Z13" s="45" t="n"/>
      <c r="AA13" s="4" t="n">
        <v>0</v>
      </c>
      <c r="AB13" s="45" t="n"/>
      <c r="AC13" s="4" t="n">
        <v>3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4" t="n">
        <v>321</v>
      </c>
      <c r="M14" s="45" t="n"/>
      <c r="N14" s="4" t="n">
        <v>3</v>
      </c>
      <c r="O14" s="45" t="n"/>
      <c r="P14" s="194" t="n">
        <v>0</v>
      </c>
      <c r="Q14" s="33" t="n"/>
      <c r="R14" s="45" t="n"/>
      <c r="S14" s="4" t="n">
        <v>324</v>
      </c>
      <c r="T14" s="33" t="n"/>
      <c r="U14" s="45" t="n"/>
      <c r="V14" s="194" t="n">
        <v>0</v>
      </c>
      <c r="W14" s="33" t="n"/>
      <c r="X14" s="45" t="n"/>
      <c r="Y14" s="4" t="n">
        <v>0</v>
      </c>
      <c r="Z14" s="45" t="n"/>
      <c r="AA14" s="4" t="n">
        <v>0</v>
      </c>
      <c r="AB14" s="45" t="n"/>
      <c r="AC14" s="4" t="n">
        <v>324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4" t="n">
        <v>1259</v>
      </c>
      <c r="M15" s="45" t="n"/>
      <c r="N15" s="4" t="n">
        <v>75</v>
      </c>
      <c r="O15" s="45" t="n"/>
      <c r="P15" s="4" t="n">
        <v>1</v>
      </c>
      <c r="Q15" s="33" t="n"/>
      <c r="R15" s="45" t="n"/>
      <c r="S15" s="4" t="n">
        <v>1335</v>
      </c>
      <c r="T15" s="33" t="n"/>
      <c r="U15" s="45" t="n"/>
      <c r="V15" s="4" t="n">
        <v>0</v>
      </c>
      <c r="W15" s="33" t="n"/>
      <c r="X15" s="45" t="n"/>
      <c r="Y15" s="4" t="n">
        <v>0</v>
      </c>
      <c r="Z15" s="45" t="n"/>
      <c r="AA15" s="4" t="n">
        <v>0</v>
      </c>
      <c r="AB15" s="45" t="n"/>
      <c r="AC15" s="4" t="n">
        <v>1335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4" t="n">
        <v>0</v>
      </c>
      <c r="M19" s="4" t="n">
        <v>0</v>
      </c>
      <c r="N19" s="4" t="n">
        <v>5</v>
      </c>
      <c r="O19" s="4" t="n">
        <v>7</v>
      </c>
      <c r="P19" s="4" t="n">
        <v>31</v>
      </c>
      <c r="Q19" s="4" t="n">
        <v>50</v>
      </c>
      <c r="R19" s="4" t="n">
        <v>50</v>
      </c>
      <c r="S19" s="4" t="n">
        <v>37</v>
      </c>
      <c r="T19" s="4" t="n">
        <v>29</v>
      </c>
      <c r="U19" s="4" t="n">
        <v>29</v>
      </c>
      <c r="V19" s="4" t="n">
        <v>45</v>
      </c>
      <c r="W19" s="4" t="n">
        <v>34</v>
      </c>
      <c r="X19" s="4" t="n">
        <v>63</v>
      </c>
      <c r="Y19" s="4" t="n">
        <v>35</v>
      </c>
      <c r="Z19" s="4" t="n">
        <v>91</v>
      </c>
      <c r="AA19" s="4" t="n">
        <v>62</v>
      </c>
      <c r="AB19" s="4" t="n">
        <v>314</v>
      </c>
      <c r="AC19" s="4" t="n">
        <v>254</v>
      </c>
      <c r="AD19" s="4" t="n">
        <v>568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4" t="n">
        <v>4</v>
      </c>
      <c r="M20" s="4" t="n">
        <v>2</v>
      </c>
      <c r="N20" s="4" t="n">
        <v>7</v>
      </c>
      <c r="O20" s="4" t="n">
        <v>8</v>
      </c>
      <c r="P20" s="4" t="n">
        <v>35</v>
      </c>
      <c r="Q20" s="4" t="n">
        <v>23</v>
      </c>
      <c r="R20" s="4" t="n">
        <v>23</v>
      </c>
      <c r="S20" s="4" t="n">
        <v>28</v>
      </c>
      <c r="T20" s="4" t="n">
        <v>27</v>
      </c>
      <c r="U20" s="4" t="n">
        <v>20</v>
      </c>
      <c r="V20" s="4" t="n">
        <v>20</v>
      </c>
      <c r="W20" s="4" t="n">
        <v>18</v>
      </c>
      <c r="X20" s="4" t="n">
        <v>48</v>
      </c>
      <c r="Y20" s="4" t="n">
        <v>40</v>
      </c>
      <c r="Z20" s="4" t="n">
        <v>54</v>
      </c>
      <c r="AA20" s="4" t="n">
        <v>65</v>
      </c>
      <c r="AB20" s="4" t="n">
        <v>218</v>
      </c>
      <c r="AC20" s="4" t="n">
        <v>204</v>
      </c>
      <c r="AD20" s="4" t="n">
        <v>422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1</v>
      </c>
      <c r="R21" s="4" t="n">
        <v>1</v>
      </c>
      <c r="S21" s="4" t="n">
        <v>2</v>
      </c>
      <c r="T21" s="4" t="n">
        <v>0</v>
      </c>
      <c r="U21" s="4" t="n">
        <v>1</v>
      </c>
      <c r="V21" s="4" t="n">
        <v>2</v>
      </c>
      <c r="W21" s="4" t="n">
        <v>0</v>
      </c>
      <c r="X21" s="4" t="n">
        <v>1</v>
      </c>
      <c r="Y21" s="4" t="n">
        <v>0</v>
      </c>
      <c r="Z21" s="4" t="n">
        <v>1</v>
      </c>
      <c r="AA21" s="4" t="n">
        <v>2</v>
      </c>
      <c r="AB21" s="4" t="n">
        <v>5</v>
      </c>
      <c r="AC21" s="4" t="n">
        <v>6</v>
      </c>
      <c r="AD21" s="4" t="n">
        <v>11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4" t="n">
        <v>3</v>
      </c>
      <c r="M22" s="4" t="n">
        <v>2</v>
      </c>
      <c r="N22" s="4" t="n">
        <v>2</v>
      </c>
      <c r="O22" s="4" t="n">
        <v>10</v>
      </c>
      <c r="P22" s="4" t="n">
        <v>23</v>
      </c>
      <c r="Q22" s="4" t="n">
        <v>24</v>
      </c>
      <c r="R22" s="4" t="n">
        <v>34</v>
      </c>
      <c r="S22" s="4" t="n">
        <v>31</v>
      </c>
      <c r="T22" s="4" t="n">
        <v>22</v>
      </c>
      <c r="U22" s="4" t="n">
        <v>28</v>
      </c>
      <c r="V22" s="4" t="n">
        <v>35</v>
      </c>
      <c r="W22" s="4" t="n">
        <v>25</v>
      </c>
      <c r="X22" s="4" t="n">
        <v>29</v>
      </c>
      <c r="Y22" s="4" t="n">
        <v>26</v>
      </c>
      <c r="Z22" s="4" t="n">
        <v>35</v>
      </c>
      <c r="AA22" s="4" t="n">
        <v>29</v>
      </c>
      <c r="AB22" s="4" t="n">
        <v>183</v>
      </c>
      <c r="AC22" s="4" t="n">
        <v>175</v>
      </c>
      <c r="AD22" s="4" t="n">
        <v>358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4" t="n">
        <v>7</v>
      </c>
      <c r="M23" s="4" t="n">
        <v>4</v>
      </c>
      <c r="N23" s="4" t="n">
        <v>14</v>
      </c>
      <c r="O23" s="4" t="n">
        <v>25</v>
      </c>
      <c r="P23" s="4" t="n">
        <v>89</v>
      </c>
      <c r="Q23" s="4" t="n">
        <v>98</v>
      </c>
      <c r="R23" s="4" t="n">
        <v>108</v>
      </c>
      <c r="S23" s="4" t="n">
        <v>98</v>
      </c>
      <c r="T23" s="4" t="n">
        <v>78</v>
      </c>
      <c r="U23" s="4" t="n">
        <v>78</v>
      </c>
      <c r="V23" s="4" t="n">
        <v>102</v>
      </c>
      <c r="W23" s="4" t="n">
        <v>77</v>
      </c>
      <c r="X23" s="4" t="n">
        <v>141</v>
      </c>
      <c r="Y23" s="4" t="n">
        <v>101</v>
      </c>
      <c r="Z23" s="4" t="n">
        <v>181</v>
      </c>
      <c r="AA23" s="4" t="n">
        <v>158</v>
      </c>
      <c r="AB23" s="4" t="n">
        <v>720</v>
      </c>
      <c r="AC23" s="4" t="n">
        <v>639</v>
      </c>
      <c r="AD23" s="4" t="n">
        <v>1359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93" t="n">
        <v>496</v>
      </c>
      <c r="P27" s="33" t="n"/>
      <c r="Q27" s="33" t="n"/>
      <c r="R27" s="33" t="n"/>
      <c r="S27" s="93" t="n">
        <v>0</v>
      </c>
      <c r="T27" s="33" t="n"/>
      <c r="U27" s="33" t="n"/>
      <c r="V27" s="33" t="n"/>
      <c r="W27" s="93" t="n">
        <v>0</v>
      </c>
      <c r="X27" s="33" t="n"/>
      <c r="Y27" s="33" t="n"/>
      <c r="Z27" s="33" t="n"/>
      <c r="AA27" s="93" t="n">
        <v>0</v>
      </c>
      <c r="AB27" s="33" t="n"/>
      <c r="AC27" s="33" t="n"/>
      <c r="AD27" s="33" t="n"/>
    </row>
    <row r="28" ht="38.25" customHeight="1">
      <c r="A28" s="193" t="n">
        <v>271305</v>
      </c>
      <c r="B28" s="193" t="n">
        <v>9915</v>
      </c>
      <c r="C28" s="193" t="n">
        <v>889</v>
      </c>
      <c r="D28" s="193" t="n">
        <v>2099</v>
      </c>
      <c r="E28" s="193" t="n">
        <v>1206</v>
      </c>
      <c r="F28" s="193" t="n">
        <v>5177</v>
      </c>
      <c r="G28" s="193" t="n">
        <v>8482</v>
      </c>
      <c r="H28" s="193" t="n">
        <v>30</v>
      </c>
      <c r="I28" s="193" t="n">
        <v>235</v>
      </c>
      <c r="J28" s="193" t="n">
        <v>328</v>
      </c>
      <c r="K28" s="193" t="n">
        <v>593</v>
      </c>
      <c r="L28" s="193" t="n">
        <v>579</v>
      </c>
      <c r="M28" s="193" t="n">
        <v>814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65" t="n">
        <v>0</v>
      </c>
      <c r="P29" s="178" t="n"/>
      <c r="Q29" s="178" t="n"/>
      <c r="R29" s="179" t="n"/>
      <c r="S29" s="165" t="n">
        <v>0</v>
      </c>
      <c r="T29" s="178" t="n"/>
      <c r="U29" s="178" t="n"/>
      <c r="V29" s="179" t="n"/>
      <c r="W29" s="165" t="n">
        <v>0</v>
      </c>
      <c r="X29" s="178" t="n"/>
      <c r="Y29" s="178" t="n"/>
      <c r="Z29" s="179" t="n"/>
      <c r="AA29" s="8" t="n"/>
      <c r="AB29" s="165" t="inlineStr">
        <is>
          <t>0-4</t>
        </is>
      </c>
      <c r="AC29" s="9" t="inlineStr">
        <is>
          <t>5-14</t>
        </is>
      </c>
      <c r="AD29" s="93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9" t="n">
        <v>0</v>
      </c>
      <c r="AC30" s="9" t="n">
        <v>0</v>
      </c>
      <c r="AD30" s="9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9" t="n">
        <v>0</v>
      </c>
      <c r="AC31" s="9" t="n">
        <v>0</v>
      </c>
      <c r="AD31" s="9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9" t="n">
        <v>0</v>
      </c>
      <c r="AC32" s="9" t="n">
        <v>0</v>
      </c>
      <c r="AD32" s="9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9" t="n">
        <v>518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1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9" t="n">
        <v>43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</row>
    <row r="40" ht="24.9" customHeight="1">
      <c r="A40" s="165" t="inlineStr">
        <is>
          <t>Previously treated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51" t="n"/>
      <c r="O40" s="4" t="n">
        <v>320</v>
      </c>
      <c r="P40" s="4" t="n">
        <v>839</v>
      </c>
      <c r="Q40" s="4" t="n">
        <v>2428</v>
      </c>
      <c r="R40" s="4" t="n">
        <v>226</v>
      </c>
      <c r="S40" s="4" t="n">
        <v>717</v>
      </c>
      <c r="T40" s="4" t="n">
        <v>2270</v>
      </c>
      <c r="U40" s="4" t="n">
        <v>1</v>
      </c>
      <c r="V40" s="4" t="n">
        <v>3</v>
      </c>
      <c r="W40" s="4" t="n">
        <v>140</v>
      </c>
      <c r="X40" s="17" t="inlineStr">
        <is>
          <t>3HR</t>
        </is>
      </c>
      <c r="Y40" s="9" t="n">
        <v>0</v>
      </c>
      <c r="Z40" s="9" t="n">
        <v>0</v>
      </c>
      <c r="AA40" s="9" t="n">
        <v>28</v>
      </c>
      <c r="AB40" s="9" t="n">
        <v>0</v>
      </c>
      <c r="AC40" s="9" t="n">
        <v>0</v>
      </c>
      <c r="AD40" s="9" t="n">
        <v>0</v>
      </c>
    </row>
    <row r="41" ht="24.9" customHeight="1">
      <c r="A41" s="67" t="inlineStr">
        <is>
          <t>Total</t>
        </is>
      </c>
      <c r="B41" s="67" t="n">
        <v>561</v>
      </c>
      <c r="C41" s="67" t="n">
        <v>0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1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74" t="inlineStr">
        <is>
          <t>Consolidated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8" t="inlineStr">
        <is>
          <t>Azad Kashmir</t>
        </is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145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4" t="n">
        <v>555</v>
      </c>
      <c r="M51" s="45" t="n"/>
      <c r="N51" s="4" t="n">
        <v>23</v>
      </c>
      <c r="O51" s="45" t="n"/>
      <c r="P51" s="194" t="n">
        <v>0</v>
      </c>
      <c r="Q51" s="33" t="n"/>
      <c r="R51" s="45" t="n"/>
      <c r="S51" s="4" t="n">
        <v>578</v>
      </c>
      <c r="T51" s="33" t="n"/>
      <c r="U51" s="45" t="n"/>
      <c r="V51" s="194" t="n">
        <v>0</v>
      </c>
      <c r="W51" s="33" t="n"/>
      <c r="X51" s="45" t="n"/>
      <c r="Y51" s="4" t="n">
        <v>0</v>
      </c>
      <c r="Z51" s="45" t="n"/>
      <c r="AA51" s="4" t="n">
        <v>0</v>
      </c>
      <c r="AB51" s="45" t="n"/>
      <c r="AC51" s="4" t="n">
        <v>578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4" t="n">
        <v>476</v>
      </c>
      <c r="M52" s="45" t="n"/>
      <c r="N52" s="4" t="n">
        <v>11</v>
      </c>
      <c r="O52" s="45" t="n"/>
      <c r="P52" s="194" t="n">
        <v>0</v>
      </c>
      <c r="Q52" s="33" t="n"/>
      <c r="R52" s="45" t="n"/>
      <c r="S52" s="4" t="n">
        <v>487</v>
      </c>
      <c r="T52" s="33" t="n"/>
      <c r="U52" s="45" t="n"/>
      <c r="V52" s="194" t="n">
        <v>0</v>
      </c>
      <c r="W52" s="33" t="n"/>
      <c r="X52" s="45" t="n"/>
      <c r="Y52" s="4" t="n">
        <v>0</v>
      </c>
      <c r="Z52" s="45" t="n"/>
      <c r="AA52" s="4" t="n">
        <v>0</v>
      </c>
      <c r="AB52" s="45" t="n"/>
      <c r="AC52" s="4" t="n">
        <v>487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4" t="n">
        <v>1</v>
      </c>
      <c r="M53" s="45" t="n"/>
      <c r="N53" s="4" t="n">
        <v>0</v>
      </c>
      <c r="O53" s="45" t="n"/>
      <c r="P53" s="194" t="n">
        <v>0</v>
      </c>
      <c r="Q53" s="33" t="n"/>
      <c r="R53" s="45" t="n"/>
      <c r="S53" s="4" t="n">
        <v>1</v>
      </c>
      <c r="T53" s="33" t="n"/>
      <c r="U53" s="45" t="n"/>
      <c r="V53" s="194" t="n">
        <v>0</v>
      </c>
      <c r="W53" s="33" t="n"/>
      <c r="X53" s="45" t="n"/>
      <c r="Y53" s="4" t="n">
        <v>0</v>
      </c>
      <c r="Z53" s="45" t="n"/>
      <c r="AA53" s="4" t="n">
        <v>0</v>
      </c>
      <c r="AB53" s="45" t="n"/>
      <c r="AC53" s="4" t="n">
        <v>1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4" t="n">
        <v>349</v>
      </c>
      <c r="M54" s="45" t="n"/>
      <c r="N54" s="4" t="n">
        <v>7</v>
      </c>
      <c r="O54" s="45" t="n"/>
      <c r="P54" s="194" t="n">
        <v>0</v>
      </c>
      <c r="Q54" s="33" t="n"/>
      <c r="R54" s="45" t="n"/>
      <c r="S54" s="4" t="n">
        <v>356</v>
      </c>
      <c r="T54" s="33" t="n"/>
      <c r="U54" s="45" t="n"/>
      <c r="V54" s="194" t="n">
        <v>0</v>
      </c>
      <c r="W54" s="33" t="n"/>
      <c r="X54" s="45" t="n"/>
      <c r="Y54" s="4" t="n">
        <v>0</v>
      </c>
      <c r="Z54" s="45" t="n"/>
      <c r="AA54" s="4" t="n">
        <v>0</v>
      </c>
      <c r="AB54" s="45" t="n"/>
      <c r="AC54" s="4" t="n">
        <v>356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4" t="n">
        <v>1381</v>
      </c>
      <c r="M55" s="45" t="n"/>
      <c r="N55" s="4" t="n">
        <v>41</v>
      </c>
      <c r="O55" s="45" t="n"/>
      <c r="P55" s="4" t="n">
        <v>0</v>
      </c>
      <c r="Q55" s="33" t="n"/>
      <c r="R55" s="45" t="n"/>
      <c r="S55" s="4" t="n">
        <v>1422</v>
      </c>
      <c r="T55" s="33" t="n"/>
      <c r="U55" s="45" t="n"/>
      <c r="V55" s="4" t="n">
        <v>0</v>
      </c>
      <c r="W55" s="33" t="n"/>
      <c r="X55" s="45" t="n"/>
      <c r="Y55" s="4" t="n">
        <v>0</v>
      </c>
      <c r="Z55" s="45" t="n"/>
      <c r="AA55" s="4" t="n">
        <v>0</v>
      </c>
      <c r="AB55" s="45" t="n"/>
      <c r="AC55" s="4" t="n">
        <v>1422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4" t="n">
        <v>1</v>
      </c>
      <c r="M59" s="4" t="n">
        <v>2</v>
      </c>
      <c r="N59" s="4" t="n">
        <v>6</v>
      </c>
      <c r="O59" s="4" t="n">
        <v>16</v>
      </c>
      <c r="P59" s="4" t="n">
        <v>39</v>
      </c>
      <c r="Q59" s="4" t="n">
        <v>46</v>
      </c>
      <c r="R59" s="4" t="n">
        <v>38</v>
      </c>
      <c r="S59" s="4" t="n">
        <v>42</v>
      </c>
      <c r="T59" s="4" t="n">
        <v>33</v>
      </c>
      <c r="U59" s="4" t="n">
        <v>38</v>
      </c>
      <c r="V59" s="4" t="n">
        <v>39</v>
      </c>
      <c r="W59" s="4" t="n">
        <v>36</v>
      </c>
      <c r="X59" s="4" t="n">
        <v>51</v>
      </c>
      <c r="Y59" s="4" t="n">
        <v>52</v>
      </c>
      <c r="Z59" s="4" t="n">
        <v>61</v>
      </c>
      <c r="AA59" s="4" t="n">
        <v>78</v>
      </c>
      <c r="AB59" s="4" t="n">
        <v>268</v>
      </c>
      <c r="AC59" s="4" t="n">
        <v>310</v>
      </c>
      <c r="AD59" s="4" t="n">
        <v>578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4" t="n">
        <v>7</v>
      </c>
      <c r="M60" s="4" t="n">
        <v>2</v>
      </c>
      <c r="N60" s="4" t="n">
        <v>9</v>
      </c>
      <c r="O60" s="4" t="n">
        <v>12</v>
      </c>
      <c r="P60" s="4" t="n">
        <v>28</v>
      </c>
      <c r="Q60" s="4" t="n">
        <v>21</v>
      </c>
      <c r="R60" s="4" t="n">
        <v>29</v>
      </c>
      <c r="S60" s="4" t="n">
        <v>41</v>
      </c>
      <c r="T60" s="4" t="n">
        <v>27</v>
      </c>
      <c r="U60" s="4" t="n">
        <v>33</v>
      </c>
      <c r="V60" s="4" t="n">
        <v>29</v>
      </c>
      <c r="W60" s="4" t="n">
        <v>26</v>
      </c>
      <c r="X60" s="4" t="n">
        <v>45</v>
      </c>
      <c r="Y60" s="4" t="n">
        <v>40</v>
      </c>
      <c r="Z60" s="4" t="n">
        <v>73</v>
      </c>
      <c r="AA60" s="4" t="n">
        <v>65</v>
      </c>
      <c r="AB60" s="4" t="n">
        <v>247</v>
      </c>
      <c r="AC60" s="4" t="n">
        <v>240</v>
      </c>
      <c r="AD60" s="4" t="n">
        <v>487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1</v>
      </c>
      <c r="AC61" s="4" t="n">
        <v>0</v>
      </c>
      <c r="AD61" s="4" t="n">
        <v>1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4" t="n">
        <v>1</v>
      </c>
      <c r="M62" s="4" t="n">
        <v>2</v>
      </c>
      <c r="N62" s="4" t="n">
        <v>13</v>
      </c>
      <c r="O62" s="4" t="n">
        <v>10</v>
      </c>
      <c r="P62" s="4" t="n">
        <v>25</v>
      </c>
      <c r="Q62" s="4" t="n">
        <v>35</v>
      </c>
      <c r="R62" s="4" t="n">
        <v>28</v>
      </c>
      <c r="S62" s="4" t="n">
        <v>25</v>
      </c>
      <c r="T62" s="4" t="n">
        <v>19</v>
      </c>
      <c r="U62" s="4" t="n">
        <v>18</v>
      </c>
      <c r="V62" s="4" t="n">
        <v>30</v>
      </c>
      <c r="W62" s="4" t="n">
        <v>24</v>
      </c>
      <c r="X62" s="4" t="n">
        <v>33</v>
      </c>
      <c r="Y62" s="4" t="n">
        <v>23</v>
      </c>
      <c r="Z62" s="4" t="n">
        <v>42</v>
      </c>
      <c r="AA62" s="4" t="n">
        <v>28</v>
      </c>
      <c r="AB62" s="4" t="n">
        <v>191</v>
      </c>
      <c r="AC62" s="4" t="n">
        <v>165</v>
      </c>
      <c r="AD62" s="4" t="n">
        <v>356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4" t="n">
        <v>9</v>
      </c>
      <c r="M63" s="4" t="n">
        <v>6</v>
      </c>
      <c r="N63" s="4" t="n">
        <v>28</v>
      </c>
      <c r="O63" s="4" t="n">
        <v>38</v>
      </c>
      <c r="P63" s="4" t="n">
        <v>92</v>
      </c>
      <c r="Q63" s="4" t="n">
        <v>102</v>
      </c>
      <c r="R63" s="4" t="n">
        <v>96</v>
      </c>
      <c r="S63" s="4" t="n">
        <v>108</v>
      </c>
      <c r="T63" s="4" t="n">
        <v>79</v>
      </c>
      <c r="U63" s="4" t="n">
        <v>89</v>
      </c>
      <c r="V63" s="4" t="n">
        <v>98</v>
      </c>
      <c r="W63" s="4" t="n">
        <v>86</v>
      </c>
      <c r="X63" s="4" t="n">
        <v>129</v>
      </c>
      <c r="Y63" s="4" t="n">
        <v>115</v>
      </c>
      <c r="Z63" s="4" t="n">
        <v>176</v>
      </c>
      <c r="AA63" s="4" t="n">
        <v>171</v>
      </c>
      <c r="AB63" s="4" t="n">
        <v>707</v>
      </c>
      <c r="AC63" s="4" t="n">
        <v>715</v>
      </c>
      <c r="AD63" s="4" t="n">
        <v>1422</v>
      </c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93" t="n">
        <v>361</v>
      </c>
      <c r="P67" s="33" t="n"/>
      <c r="Q67" s="33" t="n"/>
      <c r="R67" s="33" t="n"/>
      <c r="S67" s="93" t="n">
        <v>2</v>
      </c>
      <c r="T67" s="33" t="n"/>
      <c r="U67" s="33" t="n"/>
      <c r="V67" s="33" t="n"/>
      <c r="W67" s="93" t="n">
        <v>2</v>
      </c>
      <c r="X67" s="33" t="n"/>
      <c r="Y67" s="33" t="n"/>
      <c r="Z67" s="33" t="n"/>
      <c r="AA67" s="93" t="n">
        <v>1</v>
      </c>
      <c r="AB67" s="33" t="n"/>
      <c r="AC67" s="33" t="n"/>
      <c r="AD67" s="33" t="n"/>
    </row>
    <row r="68" ht="38.25" customHeight="1">
      <c r="A68" s="193" t="n">
        <v>303789</v>
      </c>
      <c r="B68" s="193" t="n">
        <v>8129</v>
      </c>
      <c r="C68" s="193" t="n">
        <v>849</v>
      </c>
      <c r="D68" s="193" t="n">
        <v>3254</v>
      </c>
      <c r="E68" s="193" t="n">
        <v>1984</v>
      </c>
      <c r="F68" s="193" t="n">
        <v>2723</v>
      </c>
      <c r="G68" s="193" t="n">
        <v>7961</v>
      </c>
      <c r="H68" s="193" t="n">
        <v>61</v>
      </c>
      <c r="I68" s="193" t="n">
        <v>295</v>
      </c>
      <c r="J68" s="193" t="n">
        <v>219</v>
      </c>
      <c r="K68" s="193" t="n">
        <v>575</v>
      </c>
      <c r="L68" s="193" t="n">
        <v>582</v>
      </c>
      <c r="M68" s="193" t="n">
        <v>713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65" t="n">
        <v>1</v>
      </c>
      <c r="P69" s="178" t="n"/>
      <c r="Q69" s="178" t="n"/>
      <c r="R69" s="179" t="n"/>
      <c r="S69" s="165" t="n">
        <v>0</v>
      </c>
      <c r="T69" s="178" t="n"/>
      <c r="U69" s="178" t="n"/>
      <c r="V69" s="179" t="n"/>
      <c r="W69" s="165" t="n">
        <v>1</v>
      </c>
      <c r="X69" s="178" t="n"/>
      <c r="Y69" s="178" t="n"/>
      <c r="Z69" s="179" t="n"/>
      <c r="AA69" s="8" t="n"/>
      <c r="AB69" s="165" t="inlineStr">
        <is>
          <t>0-4</t>
        </is>
      </c>
      <c r="AC69" s="9" t="inlineStr">
        <is>
          <t>5-14</t>
        </is>
      </c>
      <c r="AD69" s="93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9" t="n">
        <v>0</v>
      </c>
      <c r="AC70" s="9" t="n">
        <v>0</v>
      </c>
      <c r="AD70" s="9" t="n"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9" t="n">
        <v>0</v>
      </c>
      <c r="AC71" s="9" t="n">
        <v>0</v>
      </c>
      <c r="AD71" s="9" t="n"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9" t="n">
        <v>0</v>
      </c>
      <c r="AC72" s="9" t="n">
        <v>0</v>
      </c>
      <c r="AD72" s="9" t="n"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9" t="n">
        <v>546</v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9" t="n">
        <v>23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9" t="n">
        <v>0</v>
      </c>
      <c r="Z79" s="9" t="n">
        <v>2</v>
      </c>
      <c r="AA79" s="9" t="n">
        <v>28</v>
      </c>
      <c r="AB79" s="9" t="n">
        <v>0</v>
      </c>
      <c r="AC79" s="9" t="n">
        <v>0</v>
      </c>
      <c r="AD79" s="9" t="n">
        <v>0</v>
      </c>
    </row>
    <row r="80" ht="24.9" customHeight="1">
      <c r="A80" s="165" t="inlineStr">
        <is>
          <t>Previously treated</t>
        </is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51" t="n"/>
      <c r="O80" s="4" t="n">
        <v>320</v>
      </c>
      <c r="P80" s="4" t="n">
        <v>879</v>
      </c>
      <c r="Q80" s="4" t="n">
        <v>2130</v>
      </c>
      <c r="R80" s="4" t="n">
        <v>213</v>
      </c>
      <c r="S80" s="4" t="n">
        <v>722</v>
      </c>
      <c r="T80" s="4" t="n">
        <v>1832</v>
      </c>
      <c r="U80" s="4" t="n">
        <v>2</v>
      </c>
      <c r="V80" s="4" t="n">
        <v>8</v>
      </c>
      <c r="W80" s="4" t="n">
        <v>120</v>
      </c>
      <c r="X80" s="17" t="inlineStr">
        <is>
          <t>3HR</t>
        </is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</row>
    <row r="81" ht="24.9" customHeight="1">
      <c r="A81" s="67" t="inlineStr">
        <is>
          <t>Total</t>
        </is>
      </c>
      <c r="B81" s="67" t="n">
        <v>569</v>
      </c>
      <c r="C81" s="67" t="n">
        <v>0</v>
      </c>
      <c r="D81" s="67" t="n">
        <v>0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9" t="n">
        <v>0</v>
      </c>
      <c r="Z81" s="9" t="n">
        <v>0</v>
      </c>
      <c r="AA81" s="9" t="n">
        <v>17</v>
      </c>
      <c r="AB81" s="9" t="n">
        <v>0</v>
      </c>
      <c r="AC81" s="9" t="n">
        <v>0</v>
      </c>
      <c r="AD81" s="9" t="n"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 s="174" t="inlineStr">
        <is>
          <t>Consolidated</t>
        </is>
      </c>
      <c r="I83" s="136" t="inlineStr">
        <is>
          <t xml:space="preserve">District : </t>
        </is>
      </c>
      <c r="K83" s="137" t="n">
        <v>0</v>
      </c>
      <c r="M83" s="136" t="inlineStr">
        <is>
          <t>Central :</t>
        </is>
      </c>
      <c r="O83" s="138" t="inlineStr">
        <is>
          <t>Azad Kashmir</t>
        </is>
      </c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145" t="inlineStr">
        <is>
          <t>of Year 2026</t>
        </is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4" t="n">
        <v>0</v>
      </c>
      <c r="M90" s="45" t="n"/>
      <c r="N90" s="4" t="n">
        <v>0</v>
      </c>
      <c r="O90" s="45" t="n"/>
      <c r="P90" s="194" t="n">
        <v>0</v>
      </c>
      <c r="Q90" s="33" t="n"/>
      <c r="R90" s="45" t="n"/>
      <c r="S90" s="4" t="n">
        <v>0</v>
      </c>
      <c r="T90" s="33" t="n"/>
      <c r="U90" s="45" t="n"/>
      <c r="V90" s="194" t="n">
        <v>0</v>
      </c>
      <c r="W90" s="33" t="n"/>
      <c r="X90" s="45" t="n"/>
      <c r="Y90" s="4" t="n">
        <v>0</v>
      </c>
      <c r="Z90" s="45" t="n"/>
      <c r="AA90" s="4" t="n">
        <v>0</v>
      </c>
      <c r="AB90" s="45" t="n"/>
      <c r="AC90" s="4" t="n"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4" t="n">
        <v>0</v>
      </c>
      <c r="M91" s="45" t="n"/>
      <c r="N91" s="4" t="n">
        <v>0</v>
      </c>
      <c r="O91" s="45" t="n"/>
      <c r="P91" s="194" t="n">
        <v>0</v>
      </c>
      <c r="Q91" s="33" t="n"/>
      <c r="R91" s="45" t="n"/>
      <c r="S91" s="4" t="n">
        <v>0</v>
      </c>
      <c r="T91" s="33" t="n"/>
      <c r="U91" s="45" t="n"/>
      <c r="V91" s="194" t="n">
        <v>0</v>
      </c>
      <c r="W91" s="33" t="n"/>
      <c r="X91" s="45" t="n"/>
      <c r="Y91" s="4" t="n">
        <v>0</v>
      </c>
      <c r="Z91" s="45" t="n"/>
      <c r="AA91" s="4" t="n">
        <v>0</v>
      </c>
      <c r="AB91" s="45" t="n"/>
      <c r="AC91" s="4" t="n"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4" t="n">
        <v>0</v>
      </c>
      <c r="M92" s="45" t="n"/>
      <c r="N92" s="4" t="n">
        <v>0</v>
      </c>
      <c r="O92" s="45" t="n"/>
      <c r="P92" s="194" t="n">
        <v>0</v>
      </c>
      <c r="Q92" s="33" t="n"/>
      <c r="R92" s="45" t="n"/>
      <c r="S92" s="4" t="n">
        <v>0</v>
      </c>
      <c r="T92" s="33" t="n"/>
      <c r="U92" s="45" t="n"/>
      <c r="V92" s="194" t="n">
        <v>0</v>
      </c>
      <c r="W92" s="33" t="n"/>
      <c r="X92" s="45" t="n"/>
      <c r="Y92" s="4" t="n">
        <v>0</v>
      </c>
      <c r="Z92" s="45" t="n"/>
      <c r="AA92" s="4" t="n">
        <v>0</v>
      </c>
      <c r="AB92" s="45" t="n"/>
      <c r="AC92" s="4" t="n"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4" t="n">
        <v>0</v>
      </c>
      <c r="M93" s="45" t="n"/>
      <c r="N93" s="4" t="n">
        <v>0</v>
      </c>
      <c r="O93" s="45" t="n"/>
      <c r="P93" s="194" t="n">
        <v>0</v>
      </c>
      <c r="Q93" s="33" t="n"/>
      <c r="R93" s="45" t="n"/>
      <c r="S93" s="4" t="n">
        <v>0</v>
      </c>
      <c r="T93" s="33" t="n"/>
      <c r="U93" s="45" t="n"/>
      <c r="V93" s="194" t="n">
        <v>0</v>
      </c>
      <c r="W93" s="33" t="n"/>
      <c r="X93" s="45" t="n"/>
      <c r="Y93" s="4" t="n">
        <v>0</v>
      </c>
      <c r="Z93" s="45" t="n"/>
      <c r="AA93" s="4" t="n">
        <v>0</v>
      </c>
      <c r="AB93" s="45" t="n"/>
      <c r="AC93" s="4" t="n"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4" t="n">
        <v>0</v>
      </c>
      <c r="M94" s="45" t="n"/>
      <c r="N94" s="4" t="n">
        <v>0</v>
      </c>
      <c r="O94" s="45" t="n"/>
      <c r="P94" s="4" t="n">
        <v>0</v>
      </c>
      <c r="Q94" s="33" t="n"/>
      <c r="R94" s="45" t="n"/>
      <c r="S94" s="4" t="n">
        <v>0</v>
      </c>
      <c r="T94" s="33" t="n"/>
      <c r="U94" s="45" t="n"/>
      <c r="V94" s="4" t="n">
        <v>0</v>
      </c>
      <c r="W94" s="33" t="n"/>
      <c r="X94" s="45" t="n"/>
      <c r="Y94" s="4" t="n">
        <v>0</v>
      </c>
      <c r="Z94" s="45" t="n"/>
      <c r="AA94" s="4" t="n">
        <v>0</v>
      </c>
      <c r="AB94" s="45" t="n"/>
      <c r="AC94" s="4" t="n"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93" t="n">
        <v>0</v>
      </c>
      <c r="P106" s="33" t="n"/>
      <c r="Q106" s="33" t="n"/>
      <c r="R106" s="33" t="n"/>
      <c r="S106" s="93" t="n">
        <v>0</v>
      </c>
      <c r="T106" s="33" t="n"/>
      <c r="U106" s="33" t="n"/>
      <c r="V106" s="33" t="n"/>
      <c r="W106" s="93" t="n">
        <v>0</v>
      </c>
      <c r="X106" s="33" t="n"/>
      <c r="Y106" s="33" t="n"/>
      <c r="Z106" s="33" t="n"/>
      <c r="AA106" s="93" t="n">
        <v>0</v>
      </c>
      <c r="AB106" s="33" t="n"/>
      <c r="AC106" s="33" t="n"/>
      <c r="AD106" s="33" t="n"/>
    </row>
    <row r="107" ht="38.25" customHeight="1">
      <c r="A107" s="193" t="n">
        <v>0</v>
      </c>
      <c r="B107" s="193" t="n">
        <v>0</v>
      </c>
      <c r="C107" s="193" t="n">
        <v>0</v>
      </c>
      <c r="D107" s="193" t="n">
        <v>0</v>
      </c>
      <c r="E107" s="193" t="n">
        <v>0</v>
      </c>
      <c r="F107" s="193" t="n">
        <v>0</v>
      </c>
      <c r="G107" s="193" t="n">
        <v>0</v>
      </c>
      <c r="H107" s="193" t="n">
        <v>0</v>
      </c>
      <c r="I107" s="193" t="n">
        <v>0</v>
      </c>
      <c r="J107" s="193" t="n">
        <v>0</v>
      </c>
      <c r="K107" s="193" t="n">
        <v>0</v>
      </c>
      <c r="L107" s="193" t="n">
        <v>0</v>
      </c>
      <c r="M107" s="193" t="n"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65" t="n">
        <v>0</v>
      </c>
      <c r="P108" s="178" t="n"/>
      <c r="Q108" s="178" t="n"/>
      <c r="R108" s="179" t="n"/>
      <c r="S108" s="165" t="n">
        <v>0</v>
      </c>
      <c r="T108" s="178" t="n"/>
      <c r="U108" s="178" t="n"/>
      <c r="V108" s="179" t="n"/>
      <c r="W108" s="165" t="n">
        <v>0</v>
      </c>
      <c r="X108" s="178" t="n"/>
      <c r="Y108" s="178" t="n"/>
      <c r="Z108" s="179" t="n"/>
      <c r="AA108" s="8" t="n"/>
      <c r="AB108" s="165" t="inlineStr">
        <is>
          <t>0-4</t>
        </is>
      </c>
      <c r="AC108" s="9" t="inlineStr">
        <is>
          <t>5-14</t>
        </is>
      </c>
      <c r="AD108" s="93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9" t="n">
        <v>0</v>
      </c>
      <c r="AC109" s="9" t="n">
        <v>0</v>
      </c>
      <c r="AD109" s="9" t="n"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9" t="n">
        <v>0</v>
      </c>
      <c r="AC110" s="9" t="n">
        <v>0</v>
      </c>
      <c r="AD110" s="9" t="n"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9" t="n">
        <v>0</v>
      </c>
      <c r="AC111" s="9" t="n">
        <v>0</v>
      </c>
      <c r="AD111" s="9" t="n"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9" t="n">
        <v>0</v>
      </c>
      <c r="Z118" s="9" t="n">
        <v>0</v>
      </c>
      <c r="AA118" s="9" t="n">
        <v>0</v>
      </c>
      <c r="AB118" s="9" t="n">
        <v>0</v>
      </c>
      <c r="AC118" s="9" t="n">
        <v>0</v>
      </c>
      <c r="AD118" s="9" t="n">
        <v>0</v>
      </c>
    </row>
    <row r="119" ht="24.9" customHeight="1">
      <c r="A119" s="165" t="inlineStr">
        <is>
          <t>Previously treated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51" t="n"/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17" t="inlineStr">
        <is>
          <t>3HR</t>
        </is>
      </c>
      <c r="Y119" s="9" t="n">
        <v>0</v>
      </c>
      <c r="Z119" s="9" t="n">
        <v>0</v>
      </c>
      <c r="AA119" s="9" t="n">
        <v>0</v>
      </c>
      <c r="AB119" s="9" t="n">
        <v>0</v>
      </c>
      <c r="AC119" s="9" t="n">
        <v>0</v>
      </c>
      <c r="AD119" s="9" t="n">
        <v>0</v>
      </c>
    </row>
    <row r="120" ht="24.9" customHeight="1">
      <c r="A120" s="67" t="inlineStr">
        <is>
          <t>Total</t>
        </is>
      </c>
      <c r="B120" s="67" t="n">
        <v>0</v>
      </c>
      <c r="C120" s="67" t="n">
        <v>0</v>
      </c>
      <c r="D120" s="67" t="n">
        <v>0</v>
      </c>
      <c r="E120" s="67" t="n">
        <v>0</v>
      </c>
      <c r="F120" s="67" t="n">
        <v>0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</v>
      </c>
      <c r="M120" s="67" t="n"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9" t="n">
        <v>0</v>
      </c>
      <c r="Z120" s="9" t="n">
        <v>0</v>
      </c>
      <c r="AA120" s="9" t="n">
        <v>0</v>
      </c>
      <c r="AB120" s="9" t="n">
        <v>0</v>
      </c>
      <c r="AC120" s="9" t="n">
        <v>0</v>
      </c>
      <c r="AD120" s="9" t="n"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 s="174" t="inlineStr">
        <is>
          <t>Consolidated</t>
        </is>
      </c>
      <c r="I122" s="136" t="inlineStr">
        <is>
          <t xml:space="preserve">District : </t>
        </is>
      </c>
      <c r="K122" s="137" t="n">
        <v>0</v>
      </c>
      <c r="M122" s="136" t="inlineStr">
        <is>
          <t>Central :</t>
        </is>
      </c>
      <c r="O122" s="138" t="inlineStr">
        <is>
          <t>Azad Kashmir</t>
        </is>
      </c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145" t="inlineStr">
        <is>
          <t>of Year 2026</t>
        </is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4" t="n">
        <v>0</v>
      </c>
      <c r="M129" s="45" t="n"/>
      <c r="N129" s="4" t="n">
        <v>0</v>
      </c>
      <c r="O129" s="45" t="n"/>
      <c r="P129" s="194" t="n">
        <v>0</v>
      </c>
      <c r="Q129" s="33" t="n"/>
      <c r="R129" s="45" t="n"/>
      <c r="S129" s="4" t="n">
        <v>0</v>
      </c>
      <c r="T129" s="33" t="n"/>
      <c r="U129" s="45" t="n"/>
      <c r="V129" s="194" t="n">
        <v>0</v>
      </c>
      <c r="W129" s="33" t="n"/>
      <c r="X129" s="45" t="n"/>
      <c r="Y129" s="4" t="n">
        <v>0</v>
      </c>
      <c r="Z129" s="45" t="n"/>
      <c r="AA129" s="4" t="n">
        <v>0</v>
      </c>
      <c r="AB129" s="45" t="n"/>
      <c r="AC129" s="4" t="n"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4" t="n">
        <v>0</v>
      </c>
      <c r="M130" s="45" t="n"/>
      <c r="N130" s="4" t="n">
        <v>0</v>
      </c>
      <c r="O130" s="45" t="n"/>
      <c r="P130" s="194" t="n">
        <v>0</v>
      </c>
      <c r="Q130" s="33" t="n"/>
      <c r="R130" s="45" t="n"/>
      <c r="S130" s="4" t="n">
        <v>0</v>
      </c>
      <c r="T130" s="33" t="n"/>
      <c r="U130" s="45" t="n"/>
      <c r="V130" s="194" t="n">
        <v>0</v>
      </c>
      <c r="W130" s="33" t="n"/>
      <c r="X130" s="45" t="n"/>
      <c r="Y130" s="4" t="n">
        <v>0</v>
      </c>
      <c r="Z130" s="45" t="n"/>
      <c r="AA130" s="4" t="n">
        <v>0</v>
      </c>
      <c r="AB130" s="45" t="n"/>
      <c r="AC130" s="4" t="n"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4" t="n">
        <v>0</v>
      </c>
      <c r="M131" s="45" t="n"/>
      <c r="N131" s="4" t="n">
        <v>0</v>
      </c>
      <c r="O131" s="45" t="n"/>
      <c r="P131" s="194" t="n">
        <v>0</v>
      </c>
      <c r="Q131" s="33" t="n"/>
      <c r="R131" s="45" t="n"/>
      <c r="S131" s="4" t="n">
        <v>0</v>
      </c>
      <c r="T131" s="33" t="n"/>
      <c r="U131" s="45" t="n"/>
      <c r="V131" s="194" t="n">
        <v>0</v>
      </c>
      <c r="W131" s="33" t="n"/>
      <c r="X131" s="45" t="n"/>
      <c r="Y131" s="4" t="n">
        <v>0</v>
      </c>
      <c r="Z131" s="45" t="n"/>
      <c r="AA131" s="4" t="n">
        <v>0</v>
      </c>
      <c r="AB131" s="45" t="n"/>
      <c r="AC131" s="4" t="n"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4" t="n">
        <v>0</v>
      </c>
      <c r="M132" s="45" t="n"/>
      <c r="N132" s="4" t="n">
        <v>0</v>
      </c>
      <c r="O132" s="45" t="n"/>
      <c r="P132" s="194" t="n">
        <v>0</v>
      </c>
      <c r="Q132" s="33" t="n"/>
      <c r="R132" s="45" t="n"/>
      <c r="S132" s="4" t="n">
        <v>0</v>
      </c>
      <c r="T132" s="33" t="n"/>
      <c r="U132" s="45" t="n"/>
      <c r="V132" s="194" t="n">
        <v>0</v>
      </c>
      <c r="W132" s="33" t="n"/>
      <c r="X132" s="45" t="n"/>
      <c r="Y132" s="4" t="n">
        <v>0</v>
      </c>
      <c r="Z132" s="45" t="n"/>
      <c r="AA132" s="4" t="n">
        <v>0</v>
      </c>
      <c r="AB132" s="45" t="n"/>
      <c r="AC132" s="4" t="n"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4" t="n">
        <v>0</v>
      </c>
      <c r="M133" s="45" t="n"/>
      <c r="N133" s="4" t="n">
        <v>0</v>
      </c>
      <c r="O133" s="45" t="n"/>
      <c r="P133" s="4" t="n">
        <v>0</v>
      </c>
      <c r="Q133" s="33" t="n"/>
      <c r="R133" s="45" t="n"/>
      <c r="S133" s="4" t="n">
        <v>0</v>
      </c>
      <c r="T133" s="33" t="n"/>
      <c r="U133" s="45" t="n"/>
      <c r="V133" s="4" t="n">
        <v>0</v>
      </c>
      <c r="W133" s="33" t="n"/>
      <c r="X133" s="45" t="n"/>
      <c r="Y133" s="4" t="n">
        <v>0</v>
      </c>
      <c r="Z133" s="45" t="n"/>
      <c r="AA133" s="4" t="n">
        <v>0</v>
      </c>
      <c r="AB133" s="45" t="n"/>
      <c r="AC133" s="4" t="n"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93" t="n">
        <v>0</v>
      </c>
      <c r="P145" s="33" t="n"/>
      <c r="Q145" s="33" t="n"/>
      <c r="R145" s="33" t="n"/>
      <c r="S145" s="93" t="n">
        <v>0</v>
      </c>
      <c r="T145" s="33" t="n"/>
      <c r="U145" s="33" t="n"/>
      <c r="V145" s="33" t="n"/>
      <c r="W145" s="93" t="n">
        <v>0</v>
      </c>
      <c r="X145" s="33" t="n"/>
      <c r="Y145" s="33" t="n"/>
      <c r="Z145" s="33" t="n"/>
      <c r="AA145" s="93" t="n">
        <v>0</v>
      </c>
      <c r="AB145" s="33" t="n"/>
      <c r="AC145" s="33" t="n"/>
      <c r="AD145" s="33" t="n"/>
    </row>
    <row r="146" ht="38.25" customHeight="1">
      <c r="A146" s="193" t="n">
        <v>0</v>
      </c>
      <c r="B146" s="193" t="n">
        <v>0</v>
      </c>
      <c r="C146" s="193" t="n">
        <v>0</v>
      </c>
      <c r="D146" s="193" t="n">
        <v>0</v>
      </c>
      <c r="E146" s="193" t="n">
        <v>0</v>
      </c>
      <c r="F146" s="193" t="n">
        <v>0</v>
      </c>
      <c r="G146" s="193" t="n">
        <v>0</v>
      </c>
      <c r="H146" s="193" t="n">
        <v>0</v>
      </c>
      <c r="I146" s="193" t="n">
        <v>0</v>
      </c>
      <c r="J146" s="193" t="n">
        <v>0</v>
      </c>
      <c r="K146" s="193" t="n">
        <v>0</v>
      </c>
      <c r="L146" s="193" t="n">
        <v>0</v>
      </c>
      <c r="M146" s="193" t="n"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65" t="n">
        <v>0</v>
      </c>
      <c r="P147" s="178" t="n"/>
      <c r="Q147" s="178" t="n"/>
      <c r="R147" s="179" t="n"/>
      <c r="S147" s="165" t="n">
        <v>0</v>
      </c>
      <c r="T147" s="178" t="n"/>
      <c r="U147" s="178" t="n"/>
      <c r="V147" s="179" t="n"/>
      <c r="W147" s="165" t="n">
        <v>0</v>
      </c>
      <c r="X147" s="178" t="n"/>
      <c r="Y147" s="178" t="n"/>
      <c r="Z147" s="179" t="n"/>
      <c r="AA147" s="8" t="n"/>
      <c r="AB147" s="165" t="inlineStr">
        <is>
          <t>0-4</t>
        </is>
      </c>
      <c r="AC147" s="9" t="inlineStr">
        <is>
          <t>5-14</t>
        </is>
      </c>
      <c r="AD147" s="93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9" t="n">
        <v>0</v>
      </c>
      <c r="AC148" s="9" t="n">
        <v>0</v>
      </c>
      <c r="AD148" s="9" t="n"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9" t="n">
        <v>0</v>
      </c>
      <c r="AC149" s="9" t="n">
        <v>0</v>
      </c>
      <c r="AD149" s="9" t="n"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9" t="n">
        <v>0</v>
      </c>
      <c r="AC150" s="9" t="n">
        <v>0</v>
      </c>
      <c r="AD150" s="9" t="n"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4.2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9" t="n">
        <v>0</v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9" t="n">
        <v>0</v>
      </c>
      <c r="Z157" s="9" t="n">
        <v>0</v>
      </c>
      <c r="AA157" s="9" t="n">
        <v>0</v>
      </c>
      <c r="AB157" s="9" t="n">
        <v>0</v>
      </c>
      <c r="AC157" s="9" t="n">
        <v>0</v>
      </c>
      <c r="AD157" s="9" t="n">
        <v>0</v>
      </c>
    </row>
    <row r="158" ht="24.9" customHeight="1">
      <c r="A158" s="165" t="inlineStr">
        <is>
          <t>Previously treated</t>
        </is>
      </c>
      <c r="B158" s="9" t="n">
        <v>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51" t="n"/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17" t="inlineStr">
        <is>
          <t>3HR</t>
        </is>
      </c>
      <c r="Y158" s="9" t="n">
        <v>0</v>
      </c>
      <c r="Z158" s="9" t="n">
        <v>0</v>
      </c>
      <c r="AA158" s="9" t="n">
        <v>0</v>
      </c>
      <c r="AB158" s="9" t="n">
        <v>0</v>
      </c>
      <c r="AC158" s="9" t="n">
        <v>0</v>
      </c>
      <c r="AD158" s="9" t="n">
        <v>0</v>
      </c>
    </row>
    <row r="159" ht="24.9" customHeight="1">
      <c r="A159" s="67" t="inlineStr">
        <is>
          <t>Total</t>
        </is>
      </c>
      <c r="B159" s="67" t="n">
        <v>0</v>
      </c>
      <c r="C159" s="67" t="n">
        <v>0</v>
      </c>
      <c r="D159" s="67" t="n">
        <v>0</v>
      </c>
      <c r="E159" s="67" t="n">
        <v>0</v>
      </c>
      <c r="F159" s="67" t="n">
        <v>0</v>
      </c>
      <c r="G159" s="67" t="n">
        <v>0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0</v>
      </c>
      <c r="M159" s="67" t="n"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9" t="n">
        <v>0</v>
      </c>
      <c r="Z159" s="9" t="n">
        <v>0</v>
      </c>
      <c r="AA159" s="9" t="n">
        <v>0</v>
      </c>
      <c r="AB159" s="9" t="n">
        <v>0</v>
      </c>
      <c r="AC159" s="9" t="n">
        <v>0</v>
      </c>
      <c r="AD159" s="9" t="n"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74" t="inlineStr">
        <is>
          <t>Consolidated</t>
        </is>
      </c>
      <c r="I161" s="136" t="inlineStr">
        <is>
          <t xml:space="preserve">District : </t>
        </is>
      </c>
      <c r="K161" s="137" t="n">
        <v>0</v>
      </c>
      <c r="M161" s="136" t="inlineStr">
        <is>
          <t>Central :</t>
        </is>
      </c>
      <c r="O161" s="138" t="inlineStr">
        <is>
          <t>Azad Kashmir</t>
        </is>
      </c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 t="inlineStr">
        <is>
          <t>of Year 2026</t>
        </is>
      </c>
    </row>
    <row r="162" ht="15" customHeight="1"/>
    <row r="163" ht="15.6" customHeight="1">
      <c r="A163" s="99" t="inlineStr">
        <is>
          <t>Name of TB Coodinator/Facility incharge  :</t>
        </is>
      </c>
      <c r="I163" s="100" t="inlineStr">
        <is>
          <t>___________________________________________________</t>
        </is>
      </c>
      <c r="P163" s="21" t="n"/>
      <c r="Q163" s="21" t="n"/>
      <c r="U163" s="101" t="inlineStr">
        <is>
          <t>Date of completion of this form :</t>
        </is>
      </c>
      <c r="AA163" s="102" t="inlineStr">
        <is>
          <t>_______________________</t>
        </is>
      </c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" customHeight="1">
      <c r="A165" s="177" t="inlineStr">
        <is>
          <t xml:space="preserve">Block 1: </t>
        </is>
      </c>
      <c r="B165" s="178" t="n"/>
      <c r="C165" s="178" t="n"/>
      <c r="D165" s="178" t="n"/>
      <c r="E165" s="178" t="n"/>
      <c r="F165" s="178" t="n"/>
      <c r="G165" s="178" t="n"/>
      <c r="H165" s="178" t="n"/>
      <c r="I165" s="178" t="n"/>
      <c r="J165" s="178" t="n"/>
      <c r="K165" s="179" t="n"/>
      <c r="L165" s="67" t="inlineStr">
        <is>
          <t>New (N)</t>
        </is>
      </c>
      <c r="M165" s="179" t="n"/>
      <c r="N165" s="67" t="inlineStr">
        <is>
          <t>Relapse ®</t>
        </is>
      </c>
      <c r="O165" s="179" t="n"/>
      <c r="P165" s="165" t="inlineStr">
        <is>
          <t>Previous Treatment History Unknown
(UK)</t>
        </is>
      </c>
      <c r="Q165" s="178" t="n"/>
      <c r="R165" s="179" t="n"/>
      <c r="S165" s="165" t="inlineStr">
        <is>
          <t>New episode
(N+R+UK)</t>
        </is>
      </c>
      <c r="T165" s="178" t="n"/>
      <c r="U165" s="179" t="n"/>
      <c r="V165" s="67" t="inlineStr">
        <is>
          <t>Re - registered Cases ( Excluding Recurrent cases)</t>
        </is>
      </c>
      <c r="W165" s="33" t="n"/>
      <c r="X165" s="33" t="n"/>
      <c r="Y165" s="33" t="n"/>
      <c r="Z165" s="33" t="n"/>
      <c r="AA165" s="33" t="n"/>
      <c r="AB165" s="45" t="n"/>
      <c r="AC165" s="67" t="inlineStr">
        <is>
          <t>Total</t>
        </is>
      </c>
      <c r="AD165" s="179" t="n"/>
    </row>
    <row r="166" ht="23.25" customHeight="1">
      <c r="A166" s="180" t="inlineStr">
        <is>
          <t>All TB Cases Registered</t>
        </is>
      </c>
      <c r="K166" s="181" t="n"/>
      <c r="L166" s="182" t="n"/>
      <c r="M166" s="181" t="n"/>
      <c r="N166" s="182" t="n"/>
      <c r="O166" s="181" t="n"/>
      <c r="P166" s="182" t="n"/>
      <c r="R166" s="181" t="n"/>
      <c r="S166" s="182" t="n"/>
      <c r="U166" s="181" t="n"/>
      <c r="V166" s="165" t="inlineStr">
        <is>
          <t>Treatment after failure</t>
        </is>
      </c>
      <c r="W166" s="178" t="n"/>
      <c r="X166" s="179" t="n"/>
      <c r="Y166" s="165" t="inlineStr">
        <is>
          <t>Treatment after lost to follow-up</t>
        </is>
      </c>
      <c r="Z166" s="179" t="n"/>
      <c r="AA166" s="165" t="inlineStr">
        <is>
          <t>Other</t>
        </is>
      </c>
      <c r="AB166" s="179" t="n"/>
      <c r="AC166" s="182" t="n"/>
      <c r="AD166" s="181" t="n"/>
    </row>
    <row r="167">
      <c r="A167" s="183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184" t="n"/>
      <c r="L167" s="183" t="n"/>
      <c r="M167" s="184" t="n"/>
      <c r="N167" s="183" t="n"/>
      <c r="O167" s="184" t="n"/>
      <c r="P167" s="183" t="n"/>
      <c r="Q167" s="22" t="n"/>
      <c r="R167" s="184" t="n"/>
      <c r="S167" s="183" t="n"/>
      <c r="T167" s="22" t="n"/>
      <c r="U167" s="184" t="n"/>
      <c r="V167" s="183" t="n"/>
      <c r="W167" s="22" t="n"/>
      <c r="X167" s="184" t="n"/>
      <c r="Y167" s="183" t="n"/>
      <c r="Z167" s="184" t="n"/>
      <c r="AA167" s="183" t="n"/>
      <c r="AB167" s="184" t="n"/>
      <c r="AC167" s="183" t="n"/>
      <c r="AD167" s="184" t="n"/>
    </row>
    <row r="168" ht="24.9" customHeight="1">
      <c r="A168" s="185" t="inlineStr">
        <is>
          <t>Pulmonary, Bacteriologically Confermid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4" t="n">
        <v>1071</v>
      </c>
      <c r="M168" s="45" t="n"/>
      <c r="N168" s="4" t="n">
        <v>86</v>
      </c>
      <c r="O168" s="45" t="n"/>
      <c r="P168" s="194" t="n">
        <v>1</v>
      </c>
      <c r="Q168" s="33" t="n"/>
      <c r="R168" s="45" t="n"/>
      <c r="S168" s="4" t="n">
        <v>1158</v>
      </c>
      <c r="T168" s="33" t="n"/>
      <c r="U168" s="45" t="n"/>
      <c r="V168" s="194" t="n">
        <v>0</v>
      </c>
      <c r="W168" s="33" t="n"/>
      <c r="X168" s="45" t="n"/>
      <c r="Y168" s="4" t="n">
        <v>0</v>
      </c>
      <c r="Z168" s="45" t="n"/>
      <c r="AA168" s="4" t="n">
        <v>0</v>
      </c>
      <c r="AB168" s="45" t="n"/>
      <c r="AC168" s="4" t="n">
        <v>1158</v>
      </c>
      <c r="AD168" s="45" t="n"/>
    </row>
    <row r="169" ht="24.9" customHeight="1">
      <c r="A169" s="185" t="inlineStr">
        <is>
          <t>Pulmonary , Clinically Diagnosed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4" t="n">
        <v>895</v>
      </c>
      <c r="M169" s="45" t="n"/>
      <c r="N169" s="4" t="n">
        <v>20</v>
      </c>
      <c r="O169" s="45" t="n"/>
      <c r="P169" s="194" t="n">
        <v>0</v>
      </c>
      <c r="Q169" s="33" t="n"/>
      <c r="R169" s="45" t="n"/>
      <c r="S169" s="4" t="n">
        <v>915</v>
      </c>
      <c r="T169" s="33" t="n"/>
      <c r="U169" s="45" t="n"/>
      <c r="V169" s="194" t="n">
        <v>0</v>
      </c>
      <c r="W169" s="33" t="n"/>
      <c r="X169" s="45" t="n"/>
      <c r="Y169" s="4" t="n">
        <v>0</v>
      </c>
      <c r="Z169" s="45" t="n"/>
      <c r="AA169" s="4" t="n">
        <v>0</v>
      </c>
      <c r="AB169" s="45" t="n"/>
      <c r="AC169" s="4" t="n">
        <v>915</v>
      </c>
      <c r="AD169" s="45" t="n"/>
    </row>
    <row r="170" ht="24.9" customHeight="1">
      <c r="A170" s="185" t="inlineStr">
        <is>
          <t>Extra Pulmonary, Bacteriologically Confermid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4" t="n">
        <v>4</v>
      </c>
      <c r="M170" s="45" t="n"/>
      <c r="N170" s="4" t="n">
        <v>0</v>
      </c>
      <c r="O170" s="45" t="n"/>
      <c r="P170" s="194" t="n">
        <v>0</v>
      </c>
      <c r="Q170" s="33" t="n"/>
      <c r="R170" s="45" t="n"/>
      <c r="S170" s="4" t="n">
        <v>4</v>
      </c>
      <c r="T170" s="33" t="n"/>
      <c r="U170" s="45" t="n"/>
      <c r="V170" s="194" t="n">
        <v>0</v>
      </c>
      <c r="W170" s="33" t="n"/>
      <c r="X170" s="45" t="n"/>
      <c r="Y170" s="4" t="n">
        <v>0</v>
      </c>
      <c r="Z170" s="45" t="n"/>
      <c r="AA170" s="4" t="n">
        <v>0</v>
      </c>
      <c r="AB170" s="45" t="n"/>
      <c r="AC170" s="4" t="n">
        <v>4</v>
      </c>
      <c r="AD170" s="45" t="n"/>
    </row>
    <row r="171" ht="24.9" customHeight="1">
      <c r="A171" s="185" t="inlineStr">
        <is>
          <t>Extra Pulmonary , Clinically Diagnosed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4" t="n">
        <v>670</v>
      </c>
      <c r="M171" s="45" t="n"/>
      <c r="N171" s="4" t="n">
        <v>10</v>
      </c>
      <c r="O171" s="45" t="n"/>
      <c r="P171" s="194" t="n">
        <v>0</v>
      </c>
      <c r="Q171" s="33" t="n"/>
      <c r="R171" s="45" t="n"/>
      <c r="S171" s="4" t="n">
        <v>680</v>
      </c>
      <c r="T171" s="33" t="n"/>
      <c r="U171" s="45" t="n"/>
      <c r="V171" s="194" t="n">
        <v>0</v>
      </c>
      <c r="W171" s="33" t="n"/>
      <c r="X171" s="45" t="n"/>
      <c r="Y171" s="4" t="n">
        <v>0</v>
      </c>
      <c r="Z171" s="45" t="n"/>
      <c r="AA171" s="4" t="n">
        <v>0</v>
      </c>
      <c r="AB171" s="45" t="n"/>
      <c r="AC171" s="4" t="n">
        <v>680</v>
      </c>
      <c r="AD171" s="45" t="n"/>
    </row>
    <row r="172" ht="24.9" customHeight="1">
      <c r="A172" s="185" t="inlineStr">
        <is>
          <t>Total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45" t="n"/>
      <c r="L172" s="4" t="n">
        <v>2640</v>
      </c>
      <c r="M172" s="45" t="n"/>
      <c r="N172" s="4" t="n">
        <v>116</v>
      </c>
      <c r="O172" s="45" t="n"/>
      <c r="P172" s="4" t="n">
        <v>1</v>
      </c>
      <c r="Q172" s="33" t="n"/>
      <c r="R172" s="45" t="n"/>
      <c r="S172" s="4" t="n">
        <v>2757</v>
      </c>
      <c r="T172" s="33" t="n"/>
      <c r="U172" s="45" t="n"/>
      <c r="V172" s="4" t="n">
        <v>0</v>
      </c>
      <c r="W172" s="33" t="n"/>
      <c r="X172" s="45" t="n"/>
      <c r="Y172" s="4" t="n">
        <v>0</v>
      </c>
      <c r="Z172" s="45" t="n"/>
      <c r="AA172" s="4" t="n">
        <v>0</v>
      </c>
      <c r="AB172" s="45" t="n"/>
      <c r="AC172" s="4" t="n">
        <v>2757</v>
      </c>
      <c r="AD172" s="45" t="n"/>
    </row>
    <row r="173" ht="15.6" customHeight="1">
      <c r="A173" s="23" t="inlineStr">
        <is>
          <t>Block 2: All New, Relapse and previous treatment history unknown Cases registered during the period by Age Group and Gender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5" t="n"/>
    </row>
    <row r="174" ht="21.75" customHeight="1">
      <c r="A174" s="186" t="n"/>
      <c r="B174" s="178" t="n"/>
      <c r="C174" s="178" t="n"/>
      <c r="D174" s="178" t="n"/>
      <c r="E174" s="178" t="n"/>
      <c r="F174" s="178" t="n"/>
      <c r="G174" s="178" t="n"/>
      <c r="H174" s="178" t="n"/>
      <c r="I174" s="178" t="n"/>
      <c r="J174" s="178" t="n"/>
      <c r="K174" s="179" t="n"/>
      <c r="L174" s="67" t="inlineStr">
        <is>
          <t>0-4</t>
        </is>
      </c>
      <c r="M174" s="45" t="n"/>
      <c r="N174" s="187" t="inlineStr">
        <is>
          <t>5-14</t>
        </is>
      </c>
      <c r="O174" s="45" t="n"/>
      <c r="P174" s="188" t="inlineStr">
        <is>
          <t>15-24</t>
        </is>
      </c>
      <c r="Q174" s="45" t="n"/>
      <c r="R174" s="188" t="inlineStr">
        <is>
          <t>25-34</t>
        </is>
      </c>
      <c r="S174" s="45" t="n"/>
      <c r="T174" s="188" t="inlineStr">
        <is>
          <t>35-44</t>
        </is>
      </c>
      <c r="U174" s="45" t="n"/>
      <c r="V174" s="188" t="inlineStr">
        <is>
          <t>45-54</t>
        </is>
      </c>
      <c r="W174" s="45" t="n"/>
      <c r="X174" s="188" t="inlineStr">
        <is>
          <t>55-64</t>
        </is>
      </c>
      <c r="Y174" s="45" t="n"/>
      <c r="Z174" s="188" t="inlineStr">
        <is>
          <t>65 &amp; Above</t>
        </is>
      </c>
      <c r="AA174" s="45" t="n"/>
      <c r="AB174" s="188" t="inlineStr">
        <is>
          <t>Total</t>
        </is>
      </c>
      <c r="AC174" s="45" t="n"/>
      <c r="AD174" s="189" t="inlineStr">
        <is>
          <t>Grand
Total</t>
        </is>
      </c>
    </row>
    <row r="175">
      <c r="A175" s="183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184" t="n"/>
      <c r="L175" s="67" t="inlineStr">
        <is>
          <t>M</t>
        </is>
      </c>
      <c r="M175" s="67" t="inlineStr">
        <is>
          <t>F</t>
        </is>
      </c>
      <c r="N175" s="67" t="inlineStr">
        <is>
          <t>M</t>
        </is>
      </c>
      <c r="O175" s="67" t="inlineStr">
        <is>
          <t>F</t>
        </is>
      </c>
      <c r="P175" s="67" t="inlineStr">
        <is>
          <t>M</t>
        </is>
      </c>
      <c r="Q175" s="67" t="inlineStr">
        <is>
          <t>F</t>
        </is>
      </c>
      <c r="R175" s="67" t="inlineStr">
        <is>
          <t>M</t>
        </is>
      </c>
      <c r="S175" s="67" t="inlineStr">
        <is>
          <t>F</t>
        </is>
      </c>
      <c r="T175" s="67" t="inlineStr">
        <is>
          <t>M</t>
        </is>
      </c>
      <c r="U175" s="67" t="inlineStr">
        <is>
          <t>F</t>
        </is>
      </c>
      <c r="V175" s="67" t="inlineStr">
        <is>
          <t>M</t>
        </is>
      </c>
      <c r="W175" s="67" t="inlineStr">
        <is>
          <t>F</t>
        </is>
      </c>
      <c r="X175" s="67" t="inlineStr">
        <is>
          <t>M</t>
        </is>
      </c>
      <c r="Y175" s="67" t="inlineStr">
        <is>
          <t>F</t>
        </is>
      </c>
      <c r="Z175" s="67" t="inlineStr">
        <is>
          <t>M</t>
        </is>
      </c>
      <c r="AA175" s="67" t="inlineStr">
        <is>
          <t>F</t>
        </is>
      </c>
      <c r="AB175" s="67" t="inlineStr">
        <is>
          <t>M</t>
        </is>
      </c>
      <c r="AC175" s="67" t="inlineStr">
        <is>
          <t>F</t>
        </is>
      </c>
      <c r="AD175" s="190" t="n"/>
    </row>
    <row r="176" ht="18" customHeight="1">
      <c r="A176" s="185" t="inlineStr">
        <is>
          <t>Pulmonary, Bacteriologically Confermid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4" t="n">
        <v>1</v>
      </c>
      <c r="M176" s="4" t="n">
        <v>2</v>
      </c>
      <c r="N176" s="4" t="n">
        <v>11</v>
      </c>
      <c r="O176" s="4" t="n">
        <v>23</v>
      </c>
      <c r="P176" s="4" t="n">
        <v>70</v>
      </c>
      <c r="Q176" s="4" t="n">
        <v>96</v>
      </c>
      <c r="R176" s="4" t="n">
        <v>88</v>
      </c>
      <c r="S176" s="4" t="n">
        <v>79</v>
      </c>
      <c r="T176" s="4" t="n">
        <v>62</v>
      </c>
      <c r="U176" s="4" t="n">
        <v>67</v>
      </c>
      <c r="V176" s="4" t="n">
        <v>84</v>
      </c>
      <c r="W176" s="4" t="n">
        <v>70</v>
      </c>
      <c r="X176" s="4" t="n">
        <v>114</v>
      </c>
      <c r="Y176" s="4" t="n">
        <v>87</v>
      </c>
      <c r="Z176" s="4" t="n">
        <v>152</v>
      </c>
      <c r="AA176" s="4" t="n">
        <v>140</v>
      </c>
      <c r="AB176" s="4" t="n">
        <v>582</v>
      </c>
      <c r="AC176" s="4" t="n">
        <v>564</v>
      </c>
      <c r="AD176" s="4" t="n">
        <v>1146</v>
      </c>
    </row>
    <row r="177" ht="18" customHeight="1">
      <c r="A177" s="185" t="inlineStr">
        <is>
          <t>Pulmonary , Clinically Diagnosed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4" t="n">
        <v>11</v>
      </c>
      <c r="M177" s="4" t="n">
        <v>4</v>
      </c>
      <c r="N177" s="4" t="n">
        <v>16</v>
      </c>
      <c r="O177" s="4" t="n">
        <v>20</v>
      </c>
      <c r="P177" s="4" t="n">
        <v>63</v>
      </c>
      <c r="Q177" s="4" t="n">
        <v>44</v>
      </c>
      <c r="R177" s="4" t="n">
        <v>52</v>
      </c>
      <c r="S177" s="4" t="n">
        <v>69</v>
      </c>
      <c r="T177" s="4" t="n">
        <v>54</v>
      </c>
      <c r="U177" s="4" t="n">
        <v>53</v>
      </c>
      <c r="V177" s="4" t="n">
        <v>49</v>
      </c>
      <c r="W177" s="4" t="n">
        <v>44</v>
      </c>
      <c r="X177" s="4" t="n">
        <v>93</v>
      </c>
      <c r="Y177" s="4" t="n">
        <v>80</v>
      </c>
      <c r="Z177" s="4" t="n">
        <v>127</v>
      </c>
      <c r="AA177" s="4" t="n">
        <v>130</v>
      </c>
      <c r="AB177" s="4" t="n">
        <v>465</v>
      </c>
      <c r="AC177" s="4" t="n">
        <v>444</v>
      </c>
      <c r="AD177" s="4" t="n">
        <v>909</v>
      </c>
    </row>
    <row r="178" ht="18" customHeight="1">
      <c r="A178" s="185" t="inlineStr">
        <is>
          <t>Extra Pulmonary, Bacteriologically Confermid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2</v>
      </c>
      <c r="S178" s="4" t="n">
        <v>2</v>
      </c>
      <c r="T178" s="4" t="n">
        <v>0</v>
      </c>
      <c r="U178" s="4" t="n">
        <v>1</v>
      </c>
      <c r="V178" s="4" t="n">
        <v>2</v>
      </c>
      <c r="W178" s="4" t="n">
        <v>0</v>
      </c>
      <c r="X178" s="4" t="n">
        <v>1</v>
      </c>
      <c r="Y178" s="4" t="n">
        <v>0</v>
      </c>
      <c r="Z178" s="4" t="n">
        <v>1</v>
      </c>
      <c r="AA178" s="4" t="n">
        <v>2</v>
      </c>
      <c r="AB178" s="4" t="n">
        <v>6</v>
      </c>
      <c r="AC178" s="4" t="n">
        <v>6</v>
      </c>
      <c r="AD178" s="4" t="n">
        <v>12</v>
      </c>
    </row>
    <row r="179" ht="18" customHeight="1">
      <c r="A179" s="185" t="inlineStr">
        <is>
          <t>Extra Pulmonary , Clinically Diagnosed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4" t="n">
        <v>4</v>
      </c>
      <c r="M179" s="4" t="n">
        <v>4</v>
      </c>
      <c r="N179" s="4" t="n">
        <v>15</v>
      </c>
      <c r="O179" s="4" t="n">
        <v>20</v>
      </c>
      <c r="P179" s="4" t="n">
        <v>48</v>
      </c>
      <c r="Q179" s="4" t="n">
        <v>59</v>
      </c>
      <c r="R179" s="4" t="n">
        <v>62</v>
      </c>
      <c r="S179" s="4" t="n">
        <v>56</v>
      </c>
      <c r="T179" s="4" t="n">
        <v>41</v>
      </c>
      <c r="U179" s="4" t="n">
        <v>46</v>
      </c>
      <c r="V179" s="4" t="n">
        <v>65</v>
      </c>
      <c r="W179" s="4" t="n">
        <v>49</v>
      </c>
      <c r="X179" s="4" t="n">
        <v>62</v>
      </c>
      <c r="Y179" s="4" t="n">
        <v>49</v>
      </c>
      <c r="Z179" s="4" t="n">
        <v>77</v>
      </c>
      <c r="AA179" s="4" t="n">
        <v>57</v>
      </c>
      <c r="AB179" s="4" t="n">
        <v>374</v>
      </c>
      <c r="AC179" s="4" t="n">
        <v>340</v>
      </c>
      <c r="AD179" s="4" t="n">
        <v>714</v>
      </c>
    </row>
    <row r="180" ht="18" customHeight="1">
      <c r="A180" s="67" t="inlineStr">
        <is>
          <t>Total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45" t="n"/>
      <c r="L180" s="4" t="n">
        <v>16</v>
      </c>
      <c r="M180" s="4" t="n">
        <v>10</v>
      </c>
      <c r="N180" s="4" t="n">
        <v>42</v>
      </c>
      <c r="O180" s="4" t="n">
        <v>63</v>
      </c>
      <c r="P180" s="4" t="n">
        <v>181</v>
      </c>
      <c r="Q180" s="4" t="n">
        <v>200</v>
      </c>
      <c r="R180" s="4" t="n">
        <v>204</v>
      </c>
      <c r="S180" s="4" t="n">
        <v>206</v>
      </c>
      <c r="T180" s="4" t="n">
        <v>157</v>
      </c>
      <c r="U180" s="4" t="n">
        <v>167</v>
      </c>
      <c r="V180" s="4" t="n">
        <v>200</v>
      </c>
      <c r="W180" s="4" t="n">
        <v>163</v>
      </c>
      <c r="X180" s="4" t="n">
        <v>270</v>
      </c>
      <c r="Y180" s="4" t="n">
        <v>216</v>
      </c>
      <c r="Z180" s="4" t="n">
        <v>357</v>
      </c>
      <c r="AA180" s="4" t="n">
        <v>329</v>
      </c>
      <c r="AB180" s="4" t="n">
        <v>1427</v>
      </c>
      <c r="AC180" s="4" t="n">
        <v>1354</v>
      </c>
      <c r="AD180" s="4" t="n">
        <v>2781</v>
      </c>
    </row>
    <row r="181" ht="6.75" customHeight="1">
      <c r="A181" s="27" t="n"/>
      <c r="B181" s="28" t="n"/>
      <c r="C181" s="28" t="n"/>
      <c r="D181" s="28" t="n"/>
      <c r="E181" s="28" t="n"/>
      <c r="F181" s="29" t="n"/>
      <c r="G181" s="29" t="n"/>
      <c r="H181" s="30" t="n"/>
      <c r="I181" s="30" t="n"/>
      <c r="J181" s="30" t="n"/>
      <c r="K181" s="30" t="n"/>
      <c r="L181" s="30" t="n"/>
      <c r="M181" s="30" t="n"/>
      <c r="N181" s="31" t="n"/>
      <c r="O181" s="30" t="n"/>
      <c r="P181" s="87" t="n"/>
      <c r="Q181" s="45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3" t="n"/>
    </row>
    <row r="182" ht="18" customHeight="1">
      <c r="A182" s="34" t="inlineStr">
        <is>
          <t>Block 3: Presumptive TB Cases Identified Laboratory Diagnosis and use of WRD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6" t="n"/>
      <c r="N182" s="37" t="n"/>
      <c r="O182" s="34" t="inlineStr">
        <is>
          <t>Block 4 :  TB HIV  Activities</t>
        </is>
      </c>
      <c r="P182" s="35" t="n"/>
      <c r="Q182" s="35" t="n"/>
      <c r="R182" s="35" t="n"/>
      <c r="S182" s="35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25" t="n"/>
    </row>
    <row r="183" ht="45" customHeight="1">
      <c r="A183" s="6" t="inlineStr">
        <is>
          <t>Total
New OPD in Quarter</t>
        </is>
      </c>
      <c r="B183" s="88" t="inlineStr">
        <is>
          <t>No. of presumptive TB cases identified</t>
        </is>
      </c>
      <c r="C183" s="179" t="n"/>
      <c r="D183" s="6" t="inlineStr">
        <is>
          <t>No. of Presumptive TB
Patients tested 
Using</t>
        </is>
      </c>
      <c r="E183" s="33" t="n"/>
      <c r="F183" s="33" t="n"/>
      <c r="G183" s="45" t="n"/>
      <c r="H183" s="6" t="inlineStr">
        <is>
          <t>Among Presumptive 
TB cases tested  number reported B+</t>
        </is>
      </c>
      <c r="I183" s="33" t="n"/>
      <c r="J183" s="33" t="n"/>
      <c r="K183" s="45" t="n"/>
      <c r="L183" s="6" t="inlineStr">
        <is>
          <t>Among all
registered
number of
B+ TB
Cases</t>
        </is>
      </c>
      <c r="M183" s="6" t="inlineStr">
        <is>
          <t>Amoung All
(N+R+UK)
number tested
by Gene Xpert</t>
        </is>
      </c>
      <c r="N183" s="5" t="n"/>
      <c r="O183" s="165" t="inlineStr">
        <is>
          <t>No. of TB patients
tested for HIV</t>
        </is>
      </c>
      <c r="P183" s="33" t="n"/>
      <c r="Q183" s="33" t="n"/>
      <c r="R183" s="45" t="n"/>
      <c r="S183" s="165" t="inlineStr">
        <is>
          <t>HIV Reactive</t>
        </is>
      </c>
      <c r="T183" s="33" t="n"/>
      <c r="U183" s="33" t="n"/>
      <c r="V183" s="45" t="n"/>
      <c r="W183" s="165" t="inlineStr">
        <is>
          <t>TB Patients confirmed
positive for HIV</t>
        </is>
      </c>
      <c r="X183" s="33" t="n"/>
      <c r="Y183" s="33" t="n"/>
      <c r="Z183" s="45" t="n"/>
      <c r="AA183" s="165" t="inlineStr">
        <is>
          <t>HIV positive TB Patients put on ART</t>
        </is>
      </c>
      <c r="AB183" s="33" t="n"/>
      <c r="AC183" s="33" t="n"/>
      <c r="AD183" s="45" t="n"/>
    </row>
    <row r="184" ht="62.25" customHeight="1">
      <c r="A184" s="190" t="n"/>
      <c r="B184" s="6" t="inlineStr">
        <is>
          <t>Total</t>
        </is>
      </c>
      <c r="C184" s="88" t="inlineStr">
        <is>
          <t>Through
Community
Referrals (LHWs)</t>
        </is>
      </c>
      <c r="D184" s="88" t="inlineStr">
        <is>
          <t>AFB</t>
        </is>
      </c>
      <c r="E184" s="88" t="inlineStr">
        <is>
          <t>Xp &amp;
AFB</t>
        </is>
      </c>
      <c r="F184" s="88" t="inlineStr">
        <is>
          <t>XP</t>
        </is>
      </c>
      <c r="G184" s="7" t="inlineStr">
        <is>
          <t>G.Tot</t>
        </is>
      </c>
      <c r="H184" s="7" t="inlineStr">
        <is>
          <t>AFB</t>
        </is>
      </c>
      <c r="I184" s="88" t="inlineStr">
        <is>
          <t>AFB +
Xpert</t>
        </is>
      </c>
      <c r="J184" s="7" t="inlineStr">
        <is>
          <t>Xpert</t>
        </is>
      </c>
      <c r="K184" s="7" t="inlineStr">
        <is>
          <t>G.Tot</t>
        </is>
      </c>
      <c r="L184" s="190" t="n"/>
      <c r="M184" s="190" t="n"/>
      <c r="N184" s="5" t="n"/>
      <c r="O184" s="93" t="n">
        <v>857</v>
      </c>
      <c r="P184" s="33" t="n"/>
      <c r="Q184" s="33" t="n"/>
      <c r="R184" s="33" t="n"/>
      <c r="S184" s="93" t="n">
        <v>2</v>
      </c>
      <c r="T184" s="33" t="n"/>
      <c r="U184" s="33" t="n"/>
      <c r="V184" s="33" t="n"/>
      <c r="W184" s="93" t="n">
        <v>2</v>
      </c>
      <c r="X184" s="33" t="n"/>
      <c r="Y184" s="33" t="n"/>
      <c r="Z184" s="33" t="n"/>
      <c r="AA184" s="93" t="n">
        <v>1</v>
      </c>
      <c r="AB184" s="33" t="n"/>
      <c r="AC184" s="33" t="n"/>
      <c r="AD184" s="33" t="n"/>
    </row>
    <row r="185" ht="38.25" customHeight="1">
      <c r="A185" s="193" t="n">
        <v>575094</v>
      </c>
      <c r="B185" s="193" t="n">
        <v>18044</v>
      </c>
      <c r="C185" s="193" t="n">
        <v>1738</v>
      </c>
      <c r="D185" s="193" t="n">
        <v>5353</v>
      </c>
      <c r="E185" s="193" t="n">
        <v>3190</v>
      </c>
      <c r="F185" s="193" t="n">
        <v>7900</v>
      </c>
      <c r="G185" s="193" t="n">
        <v>16443</v>
      </c>
      <c r="H185" s="193" t="n">
        <v>91</v>
      </c>
      <c r="I185" s="193" t="n">
        <v>530</v>
      </c>
      <c r="J185" s="193" t="n">
        <v>547</v>
      </c>
      <c r="K185" s="193" t="n">
        <v>1168</v>
      </c>
      <c r="L185" s="193" t="n">
        <v>1161</v>
      </c>
      <c r="M185" s="193" t="n">
        <v>1527</v>
      </c>
      <c r="N185" s="5" t="n"/>
      <c r="O185" s="165" t="inlineStr">
        <is>
          <t xml:space="preserve">HIV patient tested for TB </t>
        </is>
      </c>
      <c r="P185" s="33" t="n"/>
      <c r="Q185" s="33" t="n"/>
      <c r="R185" s="45" t="n"/>
      <c r="S185" s="165" t="inlineStr">
        <is>
          <t>HIV patients 
diagnosed  for TB</t>
        </is>
      </c>
      <c r="T185" s="33" t="n"/>
      <c r="U185" s="33" t="n"/>
      <c r="V185" s="45" t="n"/>
      <c r="W185" s="165" t="inlineStr">
        <is>
          <t>TB HIV patients put on
 TB Tx</t>
        </is>
      </c>
      <c r="X185" s="33" t="n"/>
      <c r="Y185" s="33" t="n"/>
      <c r="Z185" s="45" t="n"/>
      <c r="AA185" s="165" t="inlineStr">
        <is>
          <t>HIV positive TB negative
patients on TPT</t>
        </is>
      </c>
      <c r="AB185" s="33" t="n"/>
      <c r="AC185" s="33" t="n"/>
      <c r="AD185" s="45" t="n"/>
    </row>
    <row r="186" ht="19.5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65" t="n">
        <v>1</v>
      </c>
      <c r="P186" s="178" t="n"/>
      <c r="Q186" s="178" t="n"/>
      <c r="R186" s="179" t="n"/>
      <c r="S186" s="165" t="n">
        <v>0</v>
      </c>
      <c r="T186" s="178" t="n"/>
      <c r="U186" s="178" t="n"/>
      <c r="V186" s="179" t="n"/>
      <c r="W186" s="165" t="n">
        <v>1</v>
      </c>
      <c r="X186" s="178" t="n"/>
      <c r="Y186" s="178" t="n"/>
      <c r="Z186" s="179" t="n"/>
      <c r="AA186" s="8" t="n"/>
      <c r="AB186" s="8" t="inlineStr">
        <is>
          <t>0-4</t>
        </is>
      </c>
      <c r="AC186" s="9" t="inlineStr">
        <is>
          <t>5-14</t>
        </is>
      </c>
      <c r="AD186" s="40" t="inlineStr">
        <is>
          <t>15 +</t>
        </is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6H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1" t="n"/>
      <c r="B188" s="191" t="n"/>
      <c r="C188" s="191" t="n"/>
      <c r="D188" s="191" t="n"/>
      <c r="E188" s="191" t="n"/>
      <c r="F188" s="191" t="n"/>
      <c r="G188" s="191" t="n"/>
      <c r="H188" s="191" t="n"/>
      <c r="I188" s="191" t="n"/>
      <c r="J188" s="191" t="n"/>
      <c r="K188" s="191" t="n"/>
      <c r="L188" s="191" t="n"/>
      <c r="M188" s="191" t="n"/>
      <c r="N188" s="39" t="n"/>
      <c r="O188" s="182" t="n"/>
      <c r="R188" s="181" t="n"/>
      <c r="S188" s="182" t="n"/>
      <c r="V188" s="181" t="n"/>
      <c r="W188" s="182" t="n"/>
      <c r="Z188" s="181" t="n"/>
      <c r="AA188" s="10" t="inlineStr">
        <is>
          <t>3HR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190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39" t="n"/>
      <c r="O189" s="183" t="n"/>
      <c r="P189" s="22" t="n"/>
      <c r="Q189" s="22" t="n"/>
      <c r="R189" s="184" t="n"/>
      <c r="S189" s="183" t="n"/>
      <c r="T189" s="22" t="n"/>
      <c r="U189" s="22" t="n"/>
      <c r="V189" s="184" t="n"/>
      <c r="W189" s="183" t="n"/>
      <c r="X189" s="22" t="n"/>
      <c r="Y189" s="22" t="n"/>
      <c r="Z189" s="184" t="n"/>
      <c r="AA189" s="10" t="inlineStr">
        <is>
          <t>3 HP</t>
        </is>
      </c>
      <c r="AB189" s="67" t="n">
        <v>0</v>
      </c>
      <c r="AC189" s="67" t="n">
        <v>0</v>
      </c>
      <c r="AD189" s="67" t="n">
        <v>0</v>
      </c>
    </row>
    <row r="190" ht="8.25" customHeight="1">
      <c r="A190" s="11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4" t="n"/>
      <c r="O190" s="43" t="n"/>
      <c r="P190" s="43" t="n"/>
      <c r="Q190" s="43" t="n"/>
      <c r="R190" s="43" t="n"/>
      <c r="S190" s="43" t="n"/>
      <c r="T190" s="43" t="n"/>
      <c r="U190" s="43" t="n"/>
      <c r="V190" s="12" t="n"/>
      <c r="W190" s="12" t="n"/>
      <c r="X190" s="12" t="n"/>
      <c r="Y190" s="12" t="n"/>
      <c r="Z190" s="12" t="n"/>
      <c r="AA190" s="12" t="n"/>
      <c r="AB190" s="43" t="n"/>
      <c r="AC190" s="43" t="n"/>
      <c r="AD190" s="45" t="n"/>
    </row>
    <row r="191" ht="18" customHeight="1">
      <c r="A191" s="34" t="inlineStr">
        <is>
          <t>Block 5 :  Bacteriologically Confermid TB Cases with DST Result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6" t="n"/>
      <c r="N191" s="46" t="n"/>
      <c r="O191" s="34" t="inlineStr">
        <is>
          <t>Block 6 :  Contact Tracing HH *</t>
        </is>
      </c>
      <c r="P191" s="36" t="n"/>
      <c r="Q191" s="35" t="n"/>
      <c r="R191" s="4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8" t="n"/>
      <c r="AC191" s="38" t="n"/>
      <c r="AD191" s="48" t="n"/>
    </row>
    <row r="192" ht="18" customHeight="1">
      <c r="A192" s="80" t="inlineStr">
        <is>
          <t>Sensitive =S
Resistance = R</t>
        </is>
      </c>
      <c r="B192" s="81" t="inlineStr">
        <is>
          <t>PTB</t>
        </is>
      </c>
      <c r="C192" s="33" t="n"/>
      <c r="D192" s="33" t="n"/>
      <c r="E192" s="33" t="n"/>
      <c r="F192" s="33" t="n"/>
      <c r="G192" s="45" t="n"/>
      <c r="H192" s="81" t="inlineStr">
        <is>
          <t>EPTB</t>
        </is>
      </c>
      <c r="I192" s="33" t="n"/>
      <c r="J192" s="33" t="n"/>
      <c r="K192" s="33" t="n"/>
      <c r="L192" s="33" t="n"/>
      <c r="M192" s="45" t="n"/>
      <c r="N192" s="49" t="n"/>
      <c r="O192" s="6" t="inlineStr">
        <is>
          <t>Total No. of HH
of B+ PTB</t>
        </is>
      </c>
      <c r="P192" s="178" t="n"/>
      <c r="Q192" s="179" t="n"/>
      <c r="R192" s="6" t="inlineStr">
        <is>
          <t>No. of HH contacts of
B+ PTB Cases
Screened</t>
        </is>
      </c>
      <c r="S192" s="178" t="n"/>
      <c r="T192" s="179" t="n"/>
      <c r="U192" s="6" t="inlineStr">
        <is>
          <t>No. of TB 
Cases diagnosed Amoung HH
contact
screened</t>
        </is>
      </c>
      <c r="V192" s="178" t="n"/>
      <c r="W192" s="179" t="n"/>
      <c r="X192" s="6" t="inlineStr">
        <is>
          <t>No. of HH Contacts 
Initiated on TPT</t>
        </is>
      </c>
      <c r="Y192" s="178" t="n"/>
      <c r="Z192" s="178" t="n"/>
      <c r="AA192" s="179" t="n"/>
      <c r="AB192" s="6" t="inlineStr">
        <is>
          <t>HIV negative 
Immuno - compromised on 
TPT</t>
        </is>
      </c>
      <c r="AC192" s="178" t="n"/>
      <c r="AD192" s="179" t="n"/>
    </row>
    <row r="193" ht="20.25" customHeight="1">
      <c r="A193" s="191" t="n"/>
      <c r="B193" s="67" t="inlineStr">
        <is>
          <t>Rifampicin</t>
        </is>
      </c>
      <c r="C193" s="45" t="n"/>
      <c r="D193" s="67" t="inlineStr">
        <is>
          <t>Isoniazid</t>
        </is>
      </c>
      <c r="E193" s="45" t="n"/>
      <c r="F193" s="67" t="inlineStr">
        <is>
          <t>Fluoroquninolone</t>
        </is>
      </c>
      <c r="G193" s="45" t="n"/>
      <c r="H193" s="67" t="inlineStr">
        <is>
          <t>Rifampicin</t>
        </is>
      </c>
      <c r="I193" s="45" t="n"/>
      <c r="J193" s="67" t="inlineStr">
        <is>
          <t>Isoniazid</t>
        </is>
      </c>
      <c r="K193" s="45" t="n"/>
      <c r="L193" s="67" t="inlineStr">
        <is>
          <t>Fluoroquninolone</t>
        </is>
      </c>
      <c r="M193" s="45" t="n"/>
      <c r="N193" s="50" t="n"/>
      <c r="O193" s="182" t="n"/>
      <c r="Q193" s="181" t="n"/>
      <c r="R193" s="182" t="n"/>
      <c r="T193" s="181" t="n"/>
      <c r="U193" s="182" t="n"/>
      <c r="W193" s="181" t="n"/>
      <c r="X193" s="182" t="n"/>
      <c r="AA193" s="181" t="n"/>
      <c r="AB193" s="182" t="n"/>
      <c r="AD193" s="181" t="n"/>
    </row>
    <row r="194" ht="16.5" customHeight="1">
      <c r="A194" s="190" t="n"/>
      <c r="B194" s="67" t="inlineStr">
        <is>
          <t>S</t>
        </is>
      </c>
      <c r="C194" s="67" t="inlineStr">
        <is>
          <t>R</t>
        </is>
      </c>
      <c r="D194" s="67" t="inlineStr">
        <is>
          <t>S</t>
        </is>
      </c>
      <c r="E194" s="67" t="inlineStr">
        <is>
          <t>R</t>
        </is>
      </c>
      <c r="F194" s="67" t="inlineStr">
        <is>
          <t>S</t>
        </is>
      </c>
      <c r="G194" s="67" t="inlineStr">
        <is>
          <t>R</t>
        </is>
      </c>
      <c r="H194" s="67" t="inlineStr">
        <is>
          <t>S</t>
        </is>
      </c>
      <c r="I194" s="67" t="inlineStr">
        <is>
          <t>R</t>
        </is>
      </c>
      <c r="J194" s="67" t="inlineStr">
        <is>
          <t>S</t>
        </is>
      </c>
      <c r="K194" s="67" t="inlineStr">
        <is>
          <t>R</t>
        </is>
      </c>
      <c r="L194" s="67" t="inlineStr">
        <is>
          <t>S</t>
        </is>
      </c>
      <c r="M194" s="67" t="inlineStr">
        <is>
          <t>R</t>
        </is>
      </c>
      <c r="N194" s="51" t="n"/>
      <c r="O194" s="182" t="n"/>
      <c r="Q194" s="181" t="n"/>
      <c r="R194" s="182" t="n"/>
      <c r="T194" s="181" t="n"/>
      <c r="U194" s="182" t="n"/>
      <c r="W194" s="181" t="n"/>
      <c r="X194" s="183" t="n"/>
      <c r="Y194" s="22" t="n"/>
      <c r="Z194" s="22" t="n"/>
      <c r="AA194" s="184" t="n"/>
      <c r="AB194" s="183" t="n"/>
      <c r="AC194" s="22" t="n"/>
      <c r="AD194" s="184" t="n"/>
    </row>
    <row r="195" ht="24.9" customHeight="1">
      <c r="A195" s="67" t="inlineStr">
        <is>
          <t>New + UK</t>
        </is>
      </c>
      <c r="B195" s="67" t="n">
        <v>1064</v>
      </c>
      <c r="C195" s="67" t="n">
        <v>0</v>
      </c>
      <c r="D195" s="67" t="n">
        <v>0</v>
      </c>
      <c r="E195" s="67" t="n">
        <v>0</v>
      </c>
      <c r="F195" s="67" t="n">
        <v>0</v>
      </c>
      <c r="G195" s="67" t="n">
        <v>0</v>
      </c>
      <c r="H195" s="67" t="n">
        <v>1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183" t="n"/>
      <c r="P195" s="22" t="n"/>
      <c r="Q195" s="184" t="n"/>
      <c r="R195" s="183" t="n"/>
      <c r="S195" s="22" t="n"/>
      <c r="T195" s="184" t="n"/>
      <c r="U195" s="183" t="n"/>
      <c r="V195" s="22" t="n"/>
      <c r="W195" s="184" t="n"/>
      <c r="X195" s="17" t="n"/>
      <c r="Y195" s="13" t="inlineStr">
        <is>
          <t>0-4</t>
        </is>
      </c>
      <c r="Z195" s="15" t="inlineStr">
        <is>
          <t>5-14</t>
        </is>
      </c>
      <c r="AA195" s="16" t="inlineStr">
        <is>
          <t>15+</t>
        </is>
      </c>
      <c r="AB195" s="13" t="inlineStr">
        <is>
          <t>0-4</t>
        </is>
      </c>
      <c r="AC195" s="15" t="inlineStr">
        <is>
          <t>5-14</t>
        </is>
      </c>
      <c r="AD195" s="16" t="inlineStr">
        <is>
          <t>15+</t>
        </is>
      </c>
    </row>
    <row r="196" ht="24.9" customHeight="1">
      <c r="A196" s="67" t="inlineStr">
        <is>
          <t>Relapse</t>
        </is>
      </c>
      <c r="B196" s="67" t="n">
        <v>66</v>
      </c>
      <c r="C196" s="67" t="n">
        <v>0</v>
      </c>
      <c r="D196" s="67" t="n">
        <v>0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7" t="inlineStr">
        <is>
          <t>0-4</t>
        </is>
      </c>
      <c r="P196" s="52" t="inlineStr">
        <is>
          <t>5-14</t>
        </is>
      </c>
      <c r="Q196" s="14" t="inlineStr">
        <is>
          <t>15 +</t>
        </is>
      </c>
      <c r="R196" s="13" t="inlineStr">
        <is>
          <t>0-4</t>
        </is>
      </c>
      <c r="S196" s="14" t="inlineStr">
        <is>
          <t>5-14</t>
        </is>
      </c>
      <c r="T196" s="14" t="inlineStr">
        <is>
          <t>15 +</t>
        </is>
      </c>
      <c r="U196" s="13" t="inlineStr">
        <is>
          <t>0-4</t>
        </is>
      </c>
      <c r="V196" s="14" t="inlineStr">
        <is>
          <t>5-14</t>
        </is>
      </c>
      <c r="W196" s="14" t="inlineStr">
        <is>
          <t>15 +</t>
        </is>
      </c>
      <c r="X196" s="17" t="inlineStr">
        <is>
          <t>6H</t>
        </is>
      </c>
      <c r="Y196" s="67" t="n">
        <v>0</v>
      </c>
      <c r="Z196" s="67" t="n">
        <v>2</v>
      </c>
      <c r="AA196" s="67" t="n">
        <v>28</v>
      </c>
      <c r="AB196" s="67" t="n">
        <v>0</v>
      </c>
      <c r="AC196" s="67" t="n">
        <v>0</v>
      </c>
      <c r="AD196" s="67" t="n">
        <v>0</v>
      </c>
    </row>
    <row r="197" ht="27" customHeight="1">
      <c r="A197" s="165" t="inlineStr">
        <is>
          <t>Previously treated</t>
        </is>
      </c>
      <c r="B197" s="67" t="n">
        <v>0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51" t="n"/>
      <c r="O197" s="4" t="n">
        <v>640</v>
      </c>
      <c r="P197" s="4" t="n">
        <v>1718</v>
      </c>
      <c r="Q197" s="4" t="n">
        <v>4558</v>
      </c>
      <c r="R197" s="4" t="n">
        <v>439</v>
      </c>
      <c r="S197" s="4" t="n">
        <v>1439</v>
      </c>
      <c r="T197" s="4" t="n">
        <v>4102</v>
      </c>
      <c r="U197" s="4" t="n">
        <v>3</v>
      </c>
      <c r="V197" s="4" t="n">
        <v>11</v>
      </c>
      <c r="W197" s="4" t="n">
        <v>260</v>
      </c>
      <c r="X197" s="17" t="inlineStr">
        <is>
          <t>3HR</t>
        </is>
      </c>
      <c r="Y197" s="67" t="n">
        <v>0</v>
      </c>
      <c r="Z197" s="67" t="n">
        <v>0</v>
      </c>
      <c r="AA197" s="67" t="n">
        <v>28</v>
      </c>
      <c r="AB197" s="67" t="n">
        <v>0</v>
      </c>
      <c r="AC197" s="67" t="n">
        <v>0</v>
      </c>
      <c r="AD197" s="67" t="n">
        <v>0</v>
      </c>
    </row>
    <row r="198" ht="24.9" customHeight="1">
      <c r="A198" s="67" t="inlineStr">
        <is>
          <t>Total</t>
        </is>
      </c>
      <c r="B198" s="67" t="n">
        <v>1130</v>
      </c>
      <c r="C198" s="67" t="n">
        <v>0</v>
      </c>
      <c r="D198" s="67" t="n">
        <v>0</v>
      </c>
      <c r="E198" s="67" t="n">
        <v>0</v>
      </c>
      <c r="F198" s="67" t="n">
        <v>0</v>
      </c>
      <c r="G198" s="67" t="n">
        <v>0</v>
      </c>
      <c r="H198" s="67" t="n">
        <v>1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51" t="n"/>
      <c r="O198" s="190" t="n"/>
      <c r="P198" s="190" t="n"/>
      <c r="Q198" s="190" t="n"/>
      <c r="R198" s="190" t="n"/>
      <c r="S198" s="190" t="n"/>
      <c r="T198" s="190" t="n"/>
      <c r="U198" s="190" t="n"/>
      <c r="V198" s="190" t="n"/>
      <c r="W198" s="190" t="n"/>
      <c r="X198" s="53" t="inlineStr">
        <is>
          <t>3 HP</t>
        </is>
      </c>
      <c r="Y198" s="67" t="n">
        <v>0</v>
      </c>
      <c r="Z198" s="67" t="n">
        <v>0</v>
      </c>
      <c r="AA198" s="67" t="n">
        <v>17</v>
      </c>
      <c r="AB198" s="67" t="n">
        <v>0</v>
      </c>
      <c r="AC198" s="67" t="n">
        <v>0</v>
      </c>
      <c r="AD198" s="67" t="n">
        <v>0</v>
      </c>
    </row>
  </sheetData>
  <mergeCells count="727">
    <mergeCell ref="A176:K176"/>
    <mergeCell ref="S14:U14"/>
    <mergeCell ref="U158:U159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A44:D44"/>
    <mergeCell ref="R80:R81"/>
    <mergeCell ref="AC161:AD162"/>
    <mergeCell ref="T80:T81"/>
    <mergeCell ref="B68:B72"/>
    <mergeCell ref="S15:U15"/>
    <mergeCell ref="S144:V144"/>
    <mergeCell ref="AA106:AD106"/>
    <mergeCell ref="AD174:AD175"/>
    <mergeCell ref="V168:X168"/>
    <mergeCell ref="N169:O169"/>
    <mergeCell ref="S172:U172"/>
    <mergeCell ref="Y129:Z129"/>
    <mergeCell ref="AA105:AD105"/>
    <mergeCell ref="P165:R167"/>
    <mergeCell ref="I46:O46"/>
    <mergeCell ref="P12:R12"/>
    <mergeCell ref="V8:AB8"/>
    <mergeCell ref="R135:S135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D185:D189"/>
    <mergeCell ref="N168:O168"/>
    <mergeCell ref="S93:U93"/>
    <mergeCell ref="A82:X82"/>
    <mergeCell ref="P24:Q24"/>
    <mergeCell ref="O114:Q117"/>
    <mergeCell ref="AA11:AB11"/>
    <mergeCell ref="H154:I154"/>
    <mergeCell ref="AC11:AD11"/>
    <mergeCell ref="V94:X94"/>
    <mergeCell ref="J154:K154"/>
    <mergeCell ref="B154:C154"/>
    <mergeCell ref="S170:U170"/>
    <mergeCell ref="G146:G150"/>
    <mergeCell ref="AA92:AB92"/>
    <mergeCell ref="I146:I150"/>
    <mergeCell ref="R197:R198"/>
    <mergeCell ref="P90:R90"/>
    <mergeCell ref="L66:L67"/>
    <mergeCell ref="T197:T198"/>
    <mergeCell ref="A135:K136"/>
    <mergeCell ref="H105:K105"/>
    <mergeCell ref="A59:K59"/>
    <mergeCell ref="L57:M57"/>
    <mergeCell ref="D68:D72"/>
    <mergeCell ref="W67:Z67"/>
    <mergeCell ref="T40:T41"/>
    <mergeCell ref="A61:K61"/>
    <mergeCell ref="N171:O171"/>
    <mergeCell ref="V40:V41"/>
    <mergeCell ref="A124:H124"/>
    <mergeCell ref="L87:M89"/>
    <mergeCell ref="Z43:AA43"/>
    <mergeCell ref="Y169:Z169"/>
    <mergeCell ref="A114:A116"/>
    <mergeCell ref="O69:R72"/>
    <mergeCell ref="A160:X160"/>
    <mergeCell ref="F107:F111"/>
    <mergeCell ref="A90:K90"/>
    <mergeCell ref="O161:R161"/>
    <mergeCell ref="H107:H111"/>
    <mergeCell ref="N52:O52"/>
    <mergeCell ref="Z3:AA3"/>
    <mergeCell ref="U44:Y45"/>
    <mergeCell ref="U85:Z85"/>
    <mergeCell ref="S197:S198"/>
    <mergeCell ref="A129:K129"/>
    <mergeCell ref="M66:M67"/>
    <mergeCell ref="U197:U198"/>
    <mergeCell ref="V87:AB87"/>
    <mergeCell ref="V49:X50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AC172:AD172"/>
    <mergeCell ref="F185:F189"/>
    <mergeCell ref="B144:C144"/>
    <mergeCell ref="T57:U57"/>
    <mergeCell ref="Y53:Z53"/>
    <mergeCell ref="Y130:Z130"/>
    <mergeCell ref="O186:R189"/>
    <mergeCell ref="AA130:AB130"/>
    <mergeCell ref="O153:Q156"/>
    <mergeCell ref="Y55:Z55"/>
    <mergeCell ref="F28:F32"/>
    <mergeCell ref="H28:H32"/>
    <mergeCell ref="N96:O96"/>
    <mergeCell ref="U161:Y162"/>
    <mergeCell ref="P96:Q96"/>
    <mergeCell ref="X75:AA77"/>
    <mergeCell ref="H75:M75"/>
    <mergeCell ref="S184:V184"/>
    <mergeCell ref="S171:U171"/>
    <mergeCell ref="K44:L44"/>
    <mergeCell ref="V126:AB126"/>
    <mergeCell ref="M183:M184"/>
    <mergeCell ref="S92:U92"/>
    <mergeCell ref="R153:T156"/>
    <mergeCell ref="AC126:AD128"/>
    <mergeCell ref="AA28:AD28"/>
    <mergeCell ref="L26:L27"/>
    <mergeCell ref="C185:C189"/>
    <mergeCell ref="E185:E189"/>
    <mergeCell ref="P93:R93"/>
    <mergeCell ref="S94:U94"/>
    <mergeCell ref="G185:G189"/>
    <mergeCell ref="L129:M129"/>
    <mergeCell ref="Z17:AA17"/>
    <mergeCell ref="Z82:AA82"/>
    <mergeCell ref="AB57:AC57"/>
    <mergeCell ref="F146:F150"/>
    <mergeCell ref="Z161:AB162"/>
    <mergeCell ref="H146:H150"/>
    <mergeCell ref="L52:M52"/>
    <mergeCell ref="O4:R4"/>
    <mergeCell ref="B76:C76"/>
    <mergeCell ref="A192:A194"/>
    <mergeCell ref="W69:Z72"/>
    <mergeCell ref="U40:U41"/>
    <mergeCell ref="S8:U10"/>
    <mergeCell ref="W40:W41"/>
    <mergeCell ref="P130:R130"/>
    <mergeCell ref="Z44:AB45"/>
    <mergeCell ref="S131:U131"/>
    <mergeCell ref="Z160:AA160"/>
    <mergeCell ref="F193:G193"/>
    <mergeCell ref="H193:I193"/>
    <mergeCell ref="O29:R32"/>
    <mergeCell ref="L13:M13"/>
    <mergeCell ref="A66:A67"/>
    <mergeCell ref="Z135:AA135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172:M172"/>
    <mergeCell ref="L55:M55"/>
    <mergeCell ref="A9:K10"/>
    <mergeCell ref="S27:V27"/>
    <mergeCell ref="L171:M171"/>
    <mergeCell ref="K68:K72"/>
    <mergeCell ref="W186:Z189"/>
    <mergeCell ref="AA133:AB133"/>
    <mergeCell ref="L36:M36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AB192:AD194"/>
    <mergeCell ref="G28:G32"/>
    <mergeCell ref="H114:M114"/>
    <mergeCell ref="U163:Z163"/>
    <mergeCell ref="I28:I32"/>
    <mergeCell ref="AA124:AD124"/>
    <mergeCell ref="M161:N161"/>
    <mergeCell ref="AC122:AD123"/>
    <mergeCell ref="A122:D122"/>
    <mergeCell ref="L183:L184"/>
    <mergeCell ref="B115:C115"/>
    <mergeCell ref="AA13:AB13"/>
    <mergeCell ref="AC13:AD13"/>
    <mergeCell ref="L53:M53"/>
    <mergeCell ref="A161:D161"/>
    <mergeCell ref="N53:O53"/>
    <mergeCell ref="O185:R185"/>
    <mergeCell ref="A6:H6"/>
    <mergeCell ref="O106:R106"/>
    <mergeCell ref="L130:M130"/>
    <mergeCell ref="AA15:AB15"/>
    <mergeCell ref="N130:O130"/>
    <mergeCell ref="AC15:AD15"/>
    <mergeCell ref="H26:K26"/>
    <mergeCell ref="A172:K172"/>
    <mergeCell ref="O105:R105"/>
    <mergeCell ref="S87:U89"/>
    <mergeCell ref="A99:K99"/>
    <mergeCell ref="L132:M132"/>
    <mergeCell ref="V53:X53"/>
    <mergeCell ref="M68:M72"/>
    <mergeCell ref="O107:R107"/>
    <mergeCell ref="V48:AB48"/>
    <mergeCell ref="A101:K101"/>
    <mergeCell ref="P133:R133"/>
    <mergeCell ref="P54:R54"/>
    <mergeCell ref="I83:J83"/>
    <mergeCell ref="H35:M35"/>
    <mergeCell ref="M107:M111"/>
    <mergeCell ref="AA26:AD26"/>
    <mergeCell ref="H144:K144"/>
    <mergeCell ref="Z122:AB123"/>
    <mergeCell ref="AD17:AD18"/>
    <mergeCell ref="O183:R183"/>
    <mergeCell ref="B26:C26"/>
    <mergeCell ref="AA68:AD68"/>
    <mergeCell ref="X96:Y96"/>
    <mergeCell ref="AA166:AB167"/>
    <mergeCell ref="D115:E115"/>
    <mergeCell ref="M44:N44"/>
    <mergeCell ref="L174:M174"/>
    <mergeCell ref="N174:O174"/>
    <mergeCell ref="N51:O51"/>
    <mergeCell ref="H153:M153"/>
    <mergeCell ref="M185:M189"/>
    <mergeCell ref="W28:Z28"/>
    <mergeCell ref="AC92:AD92"/>
    <mergeCell ref="V54:X54"/>
    <mergeCell ref="S53:U53"/>
    <mergeCell ref="AA144:AD144"/>
    <mergeCell ref="P171:R171"/>
    <mergeCell ref="O68:R68"/>
    <mergeCell ref="H36:I36"/>
    <mergeCell ref="J36:K36"/>
    <mergeCell ref="S55:U55"/>
    <mergeCell ref="B192:G192"/>
    <mergeCell ref="L92:M92"/>
    <mergeCell ref="N92:O92"/>
    <mergeCell ref="T119:T120"/>
    <mergeCell ref="S158:S159"/>
    <mergeCell ref="V119:V120"/>
    <mergeCell ref="AD135:AD136"/>
    <mergeCell ref="AA54:AB54"/>
    <mergeCell ref="E4:H4"/>
    <mergeCell ref="Y90:Z90"/>
    <mergeCell ref="W183:Z183"/>
    <mergeCell ref="A85:H85"/>
    <mergeCell ref="L94:M94"/>
    <mergeCell ref="AC54:AD54"/>
    <mergeCell ref="V130:X130"/>
    <mergeCell ref="A8:K8"/>
    <mergeCell ref="O184:R184"/>
    <mergeCell ref="W185:Z185"/>
    <mergeCell ref="A100:K100"/>
    <mergeCell ref="A171:K171"/>
    <mergeCell ref="W106:Z106"/>
    <mergeCell ref="A165:K165"/>
    <mergeCell ref="L185:L189"/>
    <mergeCell ref="N133:O133"/>
    <mergeCell ref="V166:X167"/>
    <mergeCell ref="L169:M169"/>
    <mergeCell ref="W105:Z105"/>
    <mergeCell ref="A102:K102"/>
    <mergeCell ref="Y131:Z131"/>
    <mergeCell ref="S126:U128"/>
    <mergeCell ref="AA131:AB131"/>
    <mergeCell ref="N135:O135"/>
    <mergeCell ref="U192:W195"/>
    <mergeCell ref="U122:Y123"/>
    <mergeCell ref="P64:Q64"/>
    <mergeCell ref="P135:Q135"/>
    <mergeCell ref="AA163:AD163"/>
    <mergeCell ref="R57:S57"/>
    <mergeCell ref="L48:M50"/>
    <mergeCell ref="X192:AA194"/>
    <mergeCell ref="A168:K168"/>
    <mergeCell ref="A183:A184"/>
    <mergeCell ref="Y14:Z14"/>
    <mergeCell ref="Y11:Z11"/>
    <mergeCell ref="F154:G154"/>
    <mergeCell ref="O28:R28"/>
    <mergeCell ref="E146:E150"/>
    <mergeCell ref="N17:O17"/>
    <mergeCell ref="P197:P198"/>
    <mergeCell ref="P17:Q17"/>
    <mergeCell ref="I163:O163"/>
    <mergeCell ref="A21:K21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P181:Q181"/>
    <mergeCell ref="O44:R44"/>
    <mergeCell ref="U124:Z124"/>
    <mergeCell ref="J115:K115"/>
    <mergeCell ref="L115:M115"/>
    <mergeCell ref="P131:R131"/>
    <mergeCell ref="B107:B111"/>
    <mergeCell ref="A52:K52"/>
    <mergeCell ref="M122:N122"/>
    <mergeCell ref="D107:D111"/>
    <mergeCell ref="Y91:Z91"/>
    <mergeCell ref="H66:K66"/>
    <mergeCell ref="AA46:AD46"/>
    <mergeCell ref="AA91:AB91"/>
    <mergeCell ref="L131:M131"/>
    <mergeCell ref="O197:O198"/>
    <mergeCell ref="X153:AA155"/>
    <mergeCell ref="Q197:Q198"/>
    <mergeCell ref="Y93:Z93"/>
    <mergeCell ref="AA93:AB93"/>
    <mergeCell ref="W107:Z107"/>
    <mergeCell ref="P158:P159"/>
    <mergeCell ref="V11:X11"/>
    <mergeCell ref="R158:R159"/>
    <mergeCell ref="AC87:AD89"/>
    <mergeCell ref="A68:A72"/>
    <mergeCell ref="AA170:AB170"/>
    <mergeCell ref="V169:X169"/>
    <mergeCell ref="V96:W96"/>
    <mergeCell ref="AA184:AD184"/>
    <mergeCell ref="P13:R13"/>
    <mergeCell ref="Y172:Z172"/>
    <mergeCell ref="A42:AD42"/>
    <mergeCell ref="B185:B189"/>
    <mergeCell ref="O80:O81"/>
    <mergeCell ref="P15:R15"/>
    <mergeCell ref="E83:H83"/>
    <mergeCell ref="A55:K55"/>
    <mergeCell ref="S168:U168"/>
    <mergeCell ref="S51:U51"/>
    <mergeCell ref="R192:T195"/>
    <mergeCell ref="L96:M96"/>
    <mergeCell ref="Y12:Z12"/>
    <mergeCell ref="I4:J4"/>
    <mergeCell ref="A88:K89"/>
    <mergeCell ref="AA12:AB12"/>
    <mergeCell ref="L90:M90"/>
    <mergeCell ref="N90:O90"/>
    <mergeCell ref="T174:U174"/>
    <mergeCell ref="O35:Q38"/>
    <mergeCell ref="V174:W174"/>
    <mergeCell ref="H76:I76"/>
    <mergeCell ref="S169:U169"/>
    <mergeCell ref="J76:K76"/>
    <mergeCell ref="AC52:AD52"/>
    <mergeCell ref="L154:M154"/>
    <mergeCell ref="AA14:AB14"/>
    <mergeCell ref="AB153:AD155"/>
    <mergeCell ref="AC4:AD5"/>
    <mergeCell ref="A185:A189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B146:B150"/>
    <mergeCell ref="D36:E36"/>
    <mergeCell ref="V132:X132"/>
    <mergeCell ref="D146:D150"/>
    <mergeCell ref="AA67:AD67"/>
    <mergeCell ref="P172:R172"/>
    <mergeCell ref="S69:V72"/>
    <mergeCell ref="O40:O41"/>
    <mergeCell ref="Q40:Q41"/>
    <mergeCell ref="S40:S41"/>
    <mergeCell ref="AB174:AC174"/>
    <mergeCell ref="AA27:AD27"/>
    <mergeCell ref="AA172:AB172"/>
    <mergeCell ref="A107:A111"/>
    <mergeCell ref="J193:K193"/>
    <mergeCell ref="C107:C111"/>
    <mergeCell ref="A49:K50"/>
    <mergeCell ref="L193:M193"/>
    <mergeCell ref="V12:X12"/>
    <mergeCell ref="D193:E193"/>
    <mergeCell ref="A126:K126"/>
    <mergeCell ref="I44:J44"/>
    <mergeCell ref="O26:R26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A48:K48"/>
    <mergeCell ref="P170:R170"/>
    <mergeCell ref="AA127:AB128"/>
    <mergeCell ref="G68:G72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M105:M106"/>
    <mergeCell ref="Y51:Z51"/>
    <mergeCell ref="A28:A32"/>
    <mergeCell ref="A137:K137"/>
    <mergeCell ref="C28:C32"/>
    <mergeCell ref="I124:O124"/>
    <mergeCell ref="N170:O170"/>
    <mergeCell ref="AC55:AD55"/>
    <mergeCell ref="L8:M10"/>
    <mergeCell ref="O145:R145"/>
    <mergeCell ref="AA171:AB171"/>
    <mergeCell ref="A139:K139"/>
    <mergeCell ref="AC171:AD171"/>
    <mergeCell ref="V133:X133"/>
    <mergeCell ref="N172:O172"/>
    <mergeCell ref="P92:R92"/>
    <mergeCell ref="AA6:AD6"/>
    <mergeCell ref="S108:V111"/>
    <mergeCell ref="Z83:AB84"/>
    <mergeCell ref="J146:J150"/>
    <mergeCell ref="L146:L150"/>
    <mergeCell ref="S90:U90"/>
    <mergeCell ref="U6:Z6"/>
    <mergeCell ref="W197:W198"/>
    <mergeCell ref="P94:R94"/>
    <mergeCell ref="A140:K140"/>
    <mergeCell ref="A63:K63"/>
    <mergeCell ref="A146:A150"/>
    <mergeCell ref="C146:C150"/>
    <mergeCell ref="I68:I72"/>
    <mergeCell ref="A92:K92"/>
    <mergeCell ref="N54:O54"/>
    <mergeCell ref="H183:K183"/>
    <mergeCell ref="I107:I111"/>
    <mergeCell ref="P40:P41"/>
    <mergeCell ref="K107:K111"/>
    <mergeCell ref="A94:K94"/>
    <mergeCell ref="R40:R41"/>
    <mergeCell ref="P8:R10"/>
    <mergeCell ref="V15:X15"/>
    <mergeCell ref="V51:X51"/>
    <mergeCell ref="AC130:AD130"/>
    <mergeCell ref="O66:R66"/>
    <mergeCell ref="A83:D83"/>
    <mergeCell ref="D144:G144"/>
    <mergeCell ref="A87:K87"/>
    <mergeCell ref="U153:W156"/>
    <mergeCell ref="V197:V198"/>
    <mergeCell ref="A144:A145"/>
    <mergeCell ref="A133:K133"/>
    <mergeCell ref="W68:Z68"/>
    <mergeCell ref="AA168:AB168"/>
    <mergeCell ref="P87:R89"/>
    <mergeCell ref="AC168:AD168"/>
    <mergeCell ref="L144:L145"/>
    <mergeCell ref="Y166:Z167"/>
    <mergeCell ref="L76:M76"/>
    <mergeCell ref="N132:O132"/>
    <mergeCell ref="B153:G153"/>
    <mergeCell ref="U75:W78"/>
    <mergeCell ref="L168:M168"/>
    <mergeCell ref="I185:I189"/>
    <mergeCell ref="K185:K189"/>
    <mergeCell ref="V80:V81"/>
    <mergeCell ref="S28:V28"/>
    <mergeCell ref="F68:F72"/>
    <mergeCell ref="W144:Z144"/>
    <mergeCell ref="Y88:Z89"/>
    <mergeCell ref="L11:M11"/>
    <mergeCell ref="AA129:AB129"/>
    <mergeCell ref="AB35:AD37"/>
    <mergeCell ref="H192:M192"/>
    <mergeCell ref="P119:P120"/>
    <mergeCell ref="R119:R120"/>
    <mergeCell ref="AC48:AD50"/>
    <mergeCell ref="V135:W135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AA185:AD185"/>
    <mergeCell ref="O147:R150"/>
    <mergeCell ref="S106:V106"/>
    <mergeCell ref="H185:H189"/>
    <mergeCell ref="AC91:AD91"/>
    <mergeCell ref="P168:R168"/>
    <mergeCell ref="L133:M133"/>
    <mergeCell ref="S105:V105"/>
    <mergeCell ref="L165:M167"/>
    <mergeCell ref="D154:E154"/>
    <mergeCell ref="K146:K150"/>
    <mergeCell ref="N8:O10"/>
    <mergeCell ref="M146:M150"/>
    <mergeCell ref="V90:X90"/>
    <mergeCell ref="A127:K128"/>
    <mergeCell ref="L51:M51"/>
    <mergeCell ref="E44:H44"/>
    <mergeCell ref="AC94:AD94"/>
    <mergeCell ref="N57:O57"/>
    <mergeCell ref="P57:Q57"/>
    <mergeCell ref="H68:H72"/>
    <mergeCell ref="V129:X129"/>
    <mergeCell ref="A166:K167"/>
    <mergeCell ref="N87:O89"/>
    <mergeCell ref="AA55:AB55"/>
    <mergeCell ref="AA169:AB169"/>
    <mergeCell ref="O75:Q78"/>
    <mergeCell ref="AC169:AD169"/>
    <mergeCell ref="V131:X131"/>
    <mergeCell ref="J107:J111"/>
    <mergeCell ref="AA88:AB89"/>
    <mergeCell ref="P52:R52"/>
    <mergeCell ref="L17:M17"/>
    <mergeCell ref="N11:O11"/>
    <mergeCell ref="M28:M32"/>
    <mergeCell ref="B193:C193"/>
    <mergeCell ref="Y15:Z15"/>
    <mergeCell ref="A105:A106"/>
    <mergeCell ref="O67:R67"/>
    <mergeCell ref="P91:R91"/>
    <mergeCell ref="AC131:AD131"/>
    <mergeCell ref="A57:K58"/>
    <mergeCell ref="A3:X3"/>
    <mergeCell ref="L12:M12"/>
    <mergeCell ref="N12:O12"/>
    <mergeCell ref="N165:O167"/>
    <mergeCell ref="A54:K54"/>
    <mergeCell ref="U4:Y5"/>
    <mergeCell ref="I122:J122"/>
    <mergeCell ref="I6:O6"/>
    <mergeCell ref="L14:M14"/>
    <mergeCell ref="N14:O14"/>
    <mergeCell ref="J185:J189"/>
    <mergeCell ref="AA53:AB53"/>
    <mergeCell ref="S54:U54"/>
    <mergeCell ref="P103:Q103"/>
    <mergeCell ref="W26:Z26"/>
    <mergeCell ref="S186:V189"/>
    <mergeCell ref="AC90:AD90"/>
    <mergeCell ref="P55:R55"/>
    <mergeCell ref="J28:J32"/>
    <mergeCell ref="S107:V107"/>
    <mergeCell ref="L28:L32"/>
    <mergeCell ref="O119:O120"/>
    <mergeCell ref="Y9:Z10"/>
    <mergeCell ref="P169:R169"/>
    <mergeCell ref="B183:C183"/>
    <mergeCell ref="Q119:Q120"/>
    <mergeCell ref="A22:K22"/>
    <mergeCell ref="AA9:AB10"/>
    <mergeCell ref="R96:S96"/>
    <mergeCell ref="T96:U96"/>
    <mergeCell ref="AA146:AD146"/>
    <mergeCell ref="W184:Z184"/>
    <mergeCell ref="S130:U130"/>
    <mergeCell ref="A174:K175"/>
    <mergeCell ref="AA66:AD66"/>
    <mergeCell ref="N129:O129"/>
    <mergeCell ref="S132:U132"/>
    <mergeCell ref="M144:M145"/>
    <mergeCell ref="A11:K11"/>
    <mergeCell ref="B66:C66"/>
    <mergeCell ref="A98:K98"/>
    <mergeCell ref="AC44:AD45"/>
    <mergeCell ref="A169:K169"/>
    <mergeCell ref="V170:X170"/>
    <mergeCell ref="N131:O131"/>
    <mergeCell ref="AC12:AD12"/>
    <mergeCell ref="X57:Y57"/>
    <mergeCell ref="Z57:AA57"/>
    <mergeCell ref="X174:Y174"/>
    <mergeCell ref="D26:G26"/>
    <mergeCell ref="K122:L122"/>
    <mergeCell ref="P174:Q174"/>
    <mergeCell ref="Z174:AA174"/>
    <mergeCell ref="U35:W38"/>
    <mergeCell ref="R174:S174"/>
    <mergeCell ref="A96:K97"/>
    <mergeCell ref="L126:M128"/>
    <mergeCell ref="D76:E76"/>
    <mergeCell ref="A26:A27"/>
    <mergeCell ref="F76:G76"/>
    <mergeCell ref="V172:X172"/>
    <mergeCell ref="S133:U133"/>
    <mergeCell ref="AC14:AD14"/>
    <mergeCell ref="P53:R53"/>
    <mergeCell ref="A177:K177"/>
    <mergeCell ref="E122:H122"/>
    <mergeCell ref="A163:H163"/>
    <mergeCell ref="B114:G114"/>
    <mergeCell ref="A179:K179"/>
    <mergeCell ref="A153:A155"/>
    <mergeCell ref="V9:X10"/>
    <mergeCell ref="Q80:Q81"/>
    <mergeCell ref="B35:G35"/>
    <mergeCell ref="P132:R132"/>
    <mergeCell ref="A121:X121"/>
    <mergeCell ref="S80:S81"/>
    <mergeCell ref="Y170:Z170"/>
    <mergeCell ref="N13:O13"/>
    <mergeCell ref="S29:V32"/>
    <mergeCell ref="A91:K91"/>
    <mergeCell ref="V52:X52"/>
    <mergeCell ref="U46:Z46"/>
    <mergeCell ref="A180:K180"/>
    <mergeCell ref="R35:T38"/>
    <mergeCell ref="P142:Q142"/>
    <mergeCell ref="AC132:AD132"/>
    <mergeCell ref="A93:K93"/>
    <mergeCell ref="W147:Z150"/>
    <mergeCell ref="Z4:AB5"/>
    <mergeCell ref="N55:O55"/>
    <mergeCell ref="K83:L83"/>
    <mergeCell ref="W27:Z27"/>
    <mergeCell ref="M83:N83"/>
    <mergeCell ref="AB75:AD77"/>
    <mergeCell ref="U114:W117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O158:O159"/>
    <mergeCell ref="A12:K12"/>
    <mergeCell ref="Z121:AA121"/>
    <mergeCell ref="O83:R83"/>
    <mergeCell ref="I161:J161"/>
    <mergeCell ref="C68:C72"/>
    <mergeCell ref="K161:L161"/>
    <mergeCell ref="E68:E72"/>
    <mergeCell ref="Y168:Z168"/>
    <mergeCell ref="F115:G115"/>
    <mergeCell ref="I85:O85"/>
    <mergeCell ref="L107:L111"/>
    <mergeCell ref="R17:S17"/>
    <mergeCell ref="A14:K14"/>
    <mergeCell ref="T17:U17"/>
    <mergeCell ref="Y13:Z13"/>
    <mergeCell ref="E161:H161"/>
    <mergeCell ref="S185:V185"/>
    <mergeCell ref="M26:M27"/>
    <mergeCell ref="S165:U167"/>
    <mergeCell ref="S12:U12"/>
    <mergeCell ref="AA51:AB51"/>
    <mergeCell ref="D66:G66"/>
    <mergeCell ref="AC51:AD51"/>
    <mergeCell ref="A170:K170"/>
    <mergeCell ref="W29:Z32"/>
    <mergeCell ref="O192:Q195"/>
    <mergeCell ref="L170:M170"/>
    <mergeCell ref="L135:M135"/>
    <mergeCell ref="P11:R11"/>
    <mergeCell ref="Y171:Z171"/>
    <mergeCell ref="A130:K130"/>
    <mergeCell ref="X35:AA37"/>
    <mergeCell ref="W108:Z111"/>
    <mergeCell ref="Y49:Z50"/>
    <mergeCell ref="A138:K138"/>
    <mergeCell ref="O108:R111"/>
    <mergeCell ref="A132:K132"/>
    <mergeCell ref="N126:O128"/>
    <mergeCell ref="A17:K18"/>
    <mergeCell ref="P80:P81"/>
    <mergeCell ref="V127:X128"/>
    <mergeCell ref="Z96:AA96"/>
    <mergeCell ref="V165:AB165"/>
    <mergeCell ref="AC8:AD10"/>
    <mergeCell ref="S129:U129"/>
    <mergeCell ref="AB96:AC96"/>
    <mergeCell ref="N48:O50"/>
    <mergeCell ref="H115:I115"/>
    <mergeCell ref="A43:X43"/>
    <mergeCell ref="AC165:AD167"/>
    <mergeCell ref="D183:G183"/>
    <mergeCell ref="AD57:AD58"/>
    <mergeCell ref="L54:M54"/>
    <mergeCell ref="B75:G75"/>
    <mergeCell ref="E107:E111"/>
    <mergeCell ref="G107:G111"/>
    <mergeCell ref="P51:R51"/>
    <mergeCell ref="Y127:Z128"/>
    <mergeCell ref="S66:V66"/>
    <mergeCell ref="A75:A77"/>
    <mergeCell ref="AD96:AD97"/>
    <mergeCell ref="W66:Z66"/>
    <mergeCell ref="A20:K20"/>
    <mergeCell ref="R114:T117"/>
    <mergeCell ref="S68:V68"/>
    <mergeCell ref="A13:K13"/>
    <mergeCell ref="K4:L4"/>
    <mergeCell ref="M4:N4"/>
  </mergeCells>
  <printOptions horizontalCentered="1"/>
  <pageMargins left="0.25" right="0.25" top="0.25" bottom="0.25" header="0.25" footer="0.25"/>
  <pageSetup orientation="landscape" paperSize="9" scale="63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/>
  </sheetPr>
  <dimension ref="A2:AD198"/>
  <sheetViews>
    <sheetView view="pageBreakPreview" topLeftCell="A157" zoomScale="85" zoomScaleNormal="100" zoomScaleSheetLayoutView="85" workbookViewId="0">
      <selection activeCell="A169" sqref="A1:XFD1048576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9.109375" customWidth="1" min="13" max="13"/>
    <col width="7.33203125" customWidth="1" min="14" max="14"/>
    <col width="6.33203125" customWidth="1" min="15" max="15"/>
    <col width="5.33203125" customWidth="1" min="16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74" t="inlineStr">
        <is>
          <t>Consolidated</t>
        </is>
      </c>
      <c r="I4" s="136" t="inlineStr">
        <is>
          <t xml:space="preserve">District : </t>
        </is>
      </c>
      <c r="K4" s="137" t="n"/>
      <c r="M4" s="136" t="inlineStr">
        <is>
          <t>Central :</t>
        </is>
      </c>
      <c r="O4" s="136" t="inlineStr">
        <is>
          <t>Khyber Pakhtunkhwa</t>
        </is>
      </c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98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67" t="n">
        <v>29</v>
      </c>
      <c r="M11" s="45" t="n"/>
      <c r="N11" s="67" t="n">
        <v>2</v>
      </c>
      <c r="O11" s="45" t="n"/>
      <c r="P11" s="67" t="n">
        <v>0</v>
      </c>
      <c r="Q11" s="33" t="n"/>
      <c r="R11" s="45" t="n"/>
      <c r="S11" s="67" t="n">
        <v>31</v>
      </c>
      <c r="T11" s="33" t="n"/>
      <c r="U11" s="45" t="n"/>
      <c r="V11" s="67" t="n">
        <v>0</v>
      </c>
      <c r="W11" s="33" t="n"/>
      <c r="X11" s="45" t="n"/>
      <c r="Y11" s="67" t="n">
        <v>0</v>
      </c>
      <c r="Z11" s="45" t="n"/>
      <c r="AA11" s="67" t="n">
        <v>0</v>
      </c>
      <c r="AB11" s="45" t="n"/>
      <c r="AC11" s="67" t="n">
        <v>31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67" t="n">
        <v>23</v>
      </c>
      <c r="M12" s="45" t="n"/>
      <c r="N12" s="67" t="n">
        <v>0</v>
      </c>
      <c r="O12" s="45" t="n"/>
      <c r="P12" s="67" t="n">
        <v>0</v>
      </c>
      <c r="Q12" s="33" t="n"/>
      <c r="R12" s="45" t="n"/>
      <c r="S12" s="67" t="n">
        <v>23</v>
      </c>
      <c r="T12" s="33" t="n"/>
      <c r="U12" s="45" t="n"/>
      <c r="V12" s="67" t="n">
        <v>0</v>
      </c>
      <c r="W12" s="33" t="n"/>
      <c r="X12" s="45" t="n"/>
      <c r="Y12" s="67" t="n">
        <v>0</v>
      </c>
      <c r="Z12" s="45" t="n"/>
      <c r="AA12" s="67" t="n">
        <v>0</v>
      </c>
      <c r="AB12" s="45" t="n"/>
      <c r="AC12" s="67" t="n">
        <v>23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67" t="n">
        <v>0</v>
      </c>
      <c r="M13" s="45" t="n"/>
      <c r="N13" s="67" t="n">
        <v>0</v>
      </c>
      <c r="O13" s="45" t="n"/>
      <c r="P13" s="67" t="n">
        <v>0</v>
      </c>
      <c r="Q13" s="33" t="n"/>
      <c r="R13" s="45" t="n"/>
      <c r="S13" s="67" t="n">
        <v>0</v>
      </c>
      <c r="T13" s="33" t="n"/>
      <c r="U13" s="45" t="n"/>
      <c r="V13" s="67" t="n">
        <v>0</v>
      </c>
      <c r="W13" s="33" t="n"/>
      <c r="X13" s="45" t="n"/>
      <c r="Y13" s="67" t="n">
        <v>0</v>
      </c>
      <c r="Z13" s="45" t="n"/>
      <c r="AA13" s="67" t="n">
        <v>0</v>
      </c>
      <c r="AB13" s="45" t="n"/>
      <c r="AC13" s="67" t="n">
        <v>0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67" t="n">
        <v>46</v>
      </c>
      <c r="M14" s="45" t="n"/>
      <c r="N14" s="67" t="n">
        <v>0</v>
      </c>
      <c r="O14" s="45" t="n"/>
      <c r="P14" s="67" t="n">
        <v>0</v>
      </c>
      <c r="Q14" s="33" t="n"/>
      <c r="R14" s="45" t="n"/>
      <c r="S14" s="67" t="n">
        <v>46</v>
      </c>
      <c r="T14" s="33" t="n"/>
      <c r="U14" s="45" t="n"/>
      <c r="V14" s="67" t="n">
        <v>0</v>
      </c>
      <c r="W14" s="33" t="n"/>
      <c r="X14" s="45" t="n"/>
      <c r="Y14" s="67" t="n">
        <v>0</v>
      </c>
      <c r="Z14" s="45" t="n"/>
      <c r="AA14" s="67" t="n">
        <v>0</v>
      </c>
      <c r="AB14" s="45" t="n"/>
      <c r="AC14" s="67" t="n">
        <v>46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67" t="n">
        <v>98</v>
      </c>
      <c r="M15" s="45" t="n"/>
      <c r="N15" s="67" t="n">
        <v>2</v>
      </c>
      <c r="O15" s="45" t="n"/>
      <c r="P15" s="67" t="n">
        <v>0</v>
      </c>
      <c r="Q15" s="33" t="n"/>
      <c r="R15" s="45" t="n"/>
      <c r="S15" s="67" t="n">
        <v>100</v>
      </c>
      <c r="T15" s="33" t="n"/>
      <c r="U15" s="45" t="n"/>
      <c r="V15" s="67" t="n">
        <v>0</v>
      </c>
      <c r="W15" s="33" t="n"/>
      <c r="X15" s="45" t="n"/>
      <c r="Y15" s="67" t="n">
        <v>0</v>
      </c>
      <c r="Z15" s="45" t="n"/>
      <c r="AA15" s="67" t="n">
        <v>0</v>
      </c>
      <c r="AB15" s="45" t="n"/>
      <c r="AC15" s="67" t="n">
        <v>100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67" t="n">
        <v>0</v>
      </c>
      <c r="M19" s="67" t="n">
        <v>0</v>
      </c>
      <c r="N19" s="67" t="n">
        <v>1</v>
      </c>
      <c r="O19" s="67" t="n">
        <v>1</v>
      </c>
      <c r="P19" s="67" t="n">
        <v>2</v>
      </c>
      <c r="Q19" s="67" t="n">
        <v>5</v>
      </c>
      <c r="R19" s="67" t="n">
        <v>1</v>
      </c>
      <c r="S19" s="67" t="n">
        <v>1</v>
      </c>
      <c r="T19" s="67" t="n">
        <v>3</v>
      </c>
      <c r="U19" s="67" t="n">
        <v>0</v>
      </c>
      <c r="V19" s="67" t="n">
        <v>1</v>
      </c>
      <c r="W19" s="67" t="n">
        <v>5</v>
      </c>
      <c r="X19" s="67" t="n">
        <v>1</v>
      </c>
      <c r="Y19" s="67" t="n">
        <v>2</v>
      </c>
      <c r="Z19" s="67" t="n">
        <v>4</v>
      </c>
      <c r="AA19" s="67" t="n">
        <v>4</v>
      </c>
      <c r="AB19" s="67" t="n">
        <v>13</v>
      </c>
      <c r="AC19" s="67" t="n">
        <v>18</v>
      </c>
      <c r="AD19" s="67" t="n">
        <v>31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67" t="n">
        <v>0</v>
      </c>
      <c r="M20" s="67" t="n">
        <v>0</v>
      </c>
      <c r="N20" s="67" t="n">
        <v>0</v>
      </c>
      <c r="O20" s="67" t="n">
        <v>2</v>
      </c>
      <c r="P20" s="67" t="n">
        <v>3</v>
      </c>
      <c r="Q20" s="67" t="n">
        <v>1</v>
      </c>
      <c r="R20" s="67" t="n">
        <v>2</v>
      </c>
      <c r="S20" s="67" t="n">
        <v>3</v>
      </c>
      <c r="T20" s="67" t="n">
        <v>2</v>
      </c>
      <c r="U20" s="67" t="n">
        <v>1</v>
      </c>
      <c r="V20" s="67" t="n">
        <v>1</v>
      </c>
      <c r="W20" s="67" t="n">
        <v>2</v>
      </c>
      <c r="X20" s="67" t="n">
        <v>3</v>
      </c>
      <c r="Y20" s="67" t="n">
        <v>1</v>
      </c>
      <c r="Z20" s="67" t="n">
        <v>1</v>
      </c>
      <c r="AA20" s="67" t="n">
        <v>1</v>
      </c>
      <c r="AB20" s="67" t="n">
        <v>12</v>
      </c>
      <c r="AC20" s="67" t="n">
        <v>11</v>
      </c>
      <c r="AD20" s="67" t="n">
        <v>23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7" t="n">
        <v>0</v>
      </c>
      <c r="X21" s="67" t="n">
        <v>0</v>
      </c>
      <c r="Y21" s="67" t="n">
        <v>0</v>
      </c>
      <c r="Z21" s="67" t="n">
        <v>0</v>
      </c>
      <c r="AA21" s="67" t="n">
        <v>0</v>
      </c>
      <c r="AB21" s="67" t="n">
        <v>0</v>
      </c>
      <c r="AC21" s="67" t="n">
        <v>0</v>
      </c>
      <c r="AD21" s="67" t="n">
        <v>0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67" t="n">
        <v>2</v>
      </c>
      <c r="M22" s="67" t="n">
        <v>0</v>
      </c>
      <c r="N22" s="67" t="n">
        <v>6</v>
      </c>
      <c r="O22" s="67" t="n">
        <v>6</v>
      </c>
      <c r="P22" s="67" t="n">
        <v>5</v>
      </c>
      <c r="Q22" s="67" t="n">
        <v>5</v>
      </c>
      <c r="R22" s="67" t="n">
        <v>3</v>
      </c>
      <c r="S22" s="67" t="n">
        <v>4</v>
      </c>
      <c r="T22" s="67" t="n">
        <v>2</v>
      </c>
      <c r="U22" s="67" t="n">
        <v>1</v>
      </c>
      <c r="V22" s="67" t="n">
        <v>6</v>
      </c>
      <c r="W22" s="67" t="n">
        <v>0</v>
      </c>
      <c r="X22" s="67" t="n">
        <v>2</v>
      </c>
      <c r="Y22" s="67" t="n">
        <v>1</v>
      </c>
      <c r="Z22" s="67" t="n">
        <v>1</v>
      </c>
      <c r="AA22" s="67" t="n">
        <v>2</v>
      </c>
      <c r="AB22" s="67" t="n">
        <v>27</v>
      </c>
      <c r="AC22" s="67" t="n">
        <v>19</v>
      </c>
      <c r="AD22" s="67" t="n">
        <v>46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67" t="n">
        <v>2</v>
      </c>
      <c r="M23" s="67" t="n">
        <v>0</v>
      </c>
      <c r="N23" s="67" t="n">
        <v>7</v>
      </c>
      <c r="O23" s="67" t="n">
        <v>9</v>
      </c>
      <c r="P23" s="67" t="n">
        <v>10</v>
      </c>
      <c r="Q23" s="67" t="n">
        <v>11</v>
      </c>
      <c r="R23" s="67" t="n">
        <v>6</v>
      </c>
      <c r="S23" s="67" t="n">
        <v>8</v>
      </c>
      <c r="T23" s="67" t="n">
        <v>7</v>
      </c>
      <c r="U23" s="67" t="n">
        <v>2</v>
      </c>
      <c r="V23" s="67" t="n">
        <v>8</v>
      </c>
      <c r="W23" s="67" t="n">
        <v>7</v>
      </c>
      <c r="X23" s="67" t="n">
        <v>6</v>
      </c>
      <c r="Y23" s="67" t="n">
        <v>4</v>
      </c>
      <c r="Z23" s="67" t="n">
        <v>6</v>
      </c>
      <c r="AA23" s="67" t="n">
        <v>7</v>
      </c>
      <c r="AB23" s="67" t="n">
        <v>52</v>
      </c>
      <c r="AC23" s="67" t="n">
        <v>48</v>
      </c>
      <c r="AD23" s="67" t="n">
        <v>100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93" t="n">
        <v>0</v>
      </c>
      <c r="P27" s="33" t="n"/>
      <c r="Q27" s="33" t="n"/>
      <c r="R27" s="33" t="n"/>
      <c r="S27" s="93" t="n">
        <v>0</v>
      </c>
      <c r="T27" s="33" t="n"/>
      <c r="U27" s="33" t="n"/>
      <c r="V27" s="33" t="n"/>
      <c r="W27" s="93" t="n">
        <v>0</v>
      </c>
      <c r="X27" s="33" t="n"/>
      <c r="Y27" s="33" t="n"/>
      <c r="Z27" s="33" t="n"/>
      <c r="AA27" s="93" t="n">
        <v>0</v>
      </c>
      <c r="AB27" s="33" t="n"/>
      <c r="AC27" s="33" t="n"/>
      <c r="AD27" s="33" t="n"/>
    </row>
    <row r="28" ht="38.25" customHeight="1">
      <c r="A28" s="165" t="n">
        <v>1098</v>
      </c>
      <c r="B28" s="165" t="n">
        <v>151</v>
      </c>
      <c r="C28" s="165" t="n">
        <v>8</v>
      </c>
      <c r="D28" s="165" t="n">
        <v>49</v>
      </c>
      <c r="E28" s="165" t="n">
        <v>102</v>
      </c>
      <c r="F28" s="165" t="n">
        <v>0</v>
      </c>
      <c r="G28" s="165" t="n">
        <v>151</v>
      </c>
      <c r="H28" s="165" t="n">
        <v>2</v>
      </c>
      <c r="I28" s="165" t="n">
        <v>74</v>
      </c>
      <c r="J28" s="165" t="n">
        <v>9</v>
      </c>
      <c r="K28" s="165" t="n">
        <v>85</v>
      </c>
      <c r="L28" s="165" t="n">
        <v>31</v>
      </c>
      <c r="M28" s="165" t="n">
        <v>56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65" t="n">
        <v>0</v>
      </c>
      <c r="P29" s="178" t="n"/>
      <c r="Q29" s="178" t="n"/>
      <c r="R29" s="179" t="n"/>
      <c r="S29" s="165" t="n">
        <v>0</v>
      </c>
      <c r="T29" s="178" t="n"/>
      <c r="U29" s="178" t="n"/>
      <c r="V29" s="179" t="n"/>
      <c r="W29" s="165" t="n"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9" t="n">
        <v>0</v>
      </c>
      <c r="AC30" s="9" t="n">
        <v>0</v>
      </c>
      <c r="AD30" s="9" t="n"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9" t="n">
        <v>0</v>
      </c>
      <c r="AC31" s="9" t="n">
        <v>0</v>
      </c>
      <c r="AD31" s="9" t="n"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9" t="n">
        <v>0</v>
      </c>
      <c r="AC32" s="9" t="n">
        <v>0</v>
      </c>
      <c r="AD32" s="9" t="n"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67" t="n">
        <v>27</v>
      </c>
      <c r="C38" s="67" t="n">
        <v>0</v>
      </c>
      <c r="D38" s="67" t="n">
        <v>0</v>
      </c>
      <c r="E38" s="67" t="n">
        <v>0</v>
      </c>
      <c r="F38" s="67" t="n">
        <v>0</v>
      </c>
      <c r="G38" s="67" t="n">
        <v>0</v>
      </c>
      <c r="H38" s="67" t="n">
        <v>0</v>
      </c>
      <c r="I38" s="67" t="n">
        <v>0</v>
      </c>
      <c r="J38" s="67" t="n">
        <v>0</v>
      </c>
      <c r="K38" s="67" t="n">
        <v>0</v>
      </c>
      <c r="L38" s="67" t="n">
        <v>0</v>
      </c>
      <c r="M38" s="67" t="n"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67" t="n">
        <v>2</v>
      </c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</row>
    <row r="40" ht="24.9" customHeight="1">
      <c r="A40" s="165" t="inlineStr">
        <is>
          <t>Previously treated</t>
        </is>
      </c>
      <c r="B40" s="67" t="n">
        <v>0</v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67" t="n">
        <v>0</v>
      </c>
      <c r="I40" s="67" t="n">
        <v>0</v>
      </c>
      <c r="J40" s="67" t="n">
        <v>0</v>
      </c>
      <c r="K40" s="67" t="n">
        <v>0</v>
      </c>
      <c r="L40" s="67" t="n">
        <v>0</v>
      </c>
      <c r="M40" s="67" t="n">
        <v>0</v>
      </c>
      <c r="N40" s="51" t="n"/>
      <c r="O40" s="67" t="n">
        <v>37</v>
      </c>
      <c r="P40" s="67" t="n">
        <v>81</v>
      </c>
      <c r="Q40" s="67" t="n">
        <v>165</v>
      </c>
      <c r="R40" s="67" t="n">
        <v>2</v>
      </c>
      <c r="S40" s="67" t="n">
        <v>30</v>
      </c>
      <c r="T40" s="67" t="n">
        <v>86</v>
      </c>
      <c r="U40" s="67" t="n">
        <v>0</v>
      </c>
      <c r="V40" s="67" t="n">
        <v>2</v>
      </c>
      <c r="W40" s="67" t="n">
        <v>24</v>
      </c>
      <c r="X40" s="17" t="inlineStr">
        <is>
          <t>3HR</t>
        </is>
      </c>
      <c r="Y40" s="67" t="n">
        <v>0</v>
      </c>
      <c r="Z40" s="67" t="n">
        <v>0</v>
      </c>
      <c r="AA40" s="67" t="n">
        <v>0</v>
      </c>
      <c r="AB40" s="67" t="n">
        <v>0</v>
      </c>
      <c r="AC40" s="67" t="n">
        <v>0</v>
      </c>
      <c r="AD40" s="67" t="n">
        <v>0</v>
      </c>
    </row>
    <row r="41" ht="24.9" customHeight="1">
      <c r="A41" s="67" t="inlineStr">
        <is>
          <t>Total</t>
        </is>
      </c>
      <c r="B41" s="67" t="n">
        <v>29</v>
      </c>
      <c r="C41" s="67" t="n">
        <v>0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 s="174" t="inlineStr">
        <is>
          <t>Consolidated</t>
        </is>
      </c>
      <c r="I44" s="136" t="inlineStr">
        <is>
          <t xml:space="preserve">District : </t>
        </is>
      </c>
      <c r="K44" s="137" t="n">
        <v>0</v>
      </c>
      <c r="M44" s="136" t="inlineStr">
        <is>
          <t>Central :</t>
        </is>
      </c>
      <c r="O44" s="136" t="inlineStr">
        <is>
          <t>Khyber Pakhtunkhwa</t>
        </is>
      </c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98" t="inlineStr">
        <is>
          <t>of Year 2026</t>
        </is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67" t="n">
        <v>25</v>
      </c>
      <c r="M51" s="45" t="n"/>
      <c r="N51" s="67" t="n">
        <v>0</v>
      </c>
      <c r="O51" s="45" t="n"/>
      <c r="P51" s="67" t="n">
        <v>0</v>
      </c>
      <c r="Q51" s="33" t="n"/>
      <c r="R51" s="45" t="n"/>
      <c r="S51" s="67" t="n">
        <v>25</v>
      </c>
      <c r="T51" s="33" t="n"/>
      <c r="U51" s="45" t="n"/>
      <c r="V51" s="67" t="n">
        <v>0</v>
      </c>
      <c r="W51" s="33" t="n"/>
      <c r="X51" s="45" t="n"/>
      <c r="Y51" s="67" t="n">
        <v>0</v>
      </c>
      <c r="Z51" s="45" t="n"/>
      <c r="AA51" s="67" t="n">
        <v>0</v>
      </c>
      <c r="AB51" s="45" t="n"/>
      <c r="AC51" s="67" t="n">
        <v>25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67" t="n">
        <v>24</v>
      </c>
      <c r="M52" s="45" t="n"/>
      <c r="N52" s="67" t="n">
        <v>0</v>
      </c>
      <c r="O52" s="45" t="n"/>
      <c r="P52" s="67" t="n">
        <v>0</v>
      </c>
      <c r="Q52" s="33" t="n"/>
      <c r="R52" s="45" t="n"/>
      <c r="S52" s="67" t="n">
        <v>24</v>
      </c>
      <c r="T52" s="33" t="n"/>
      <c r="U52" s="45" t="n"/>
      <c r="V52" s="67" t="n">
        <v>0</v>
      </c>
      <c r="W52" s="33" t="n"/>
      <c r="X52" s="45" t="n"/>
      <c r="Y52" s="67" t="n">
        <v>0</v>
      </c>
      <c r="Z52" s="45" t="n"/>
      <c r="AA52" s="67" t="n">
        <v>0</v>
      </c>
      <c r="AB52" s="45" t="n"/>
      <c r="AC52" s="67" t="n">
        <v>24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67" t="n">
        <v>0</v>
      </c>
      <c r="M53" s="45" t="n"/>
      <c r="N53" s="67" t="n">
        <v>0</v>
      </c>
      <c r="O53" s="45" t="n"/>
      <c r="P53" s="67" t="n">
        <v>0</v>
      </c>
      <c r="Q53" s="33" t="n"/>
      <c r="R53" s="45" t="n"/>
      <c r="S53" s="67" t="n">
        <v>0</v>
      </c>
      <c r="T53" s="33" t="n"/>
      <c r="U53" s="45" t="n"/>
      <c r="V53" s="67" t="n">
        <v>0</v>
      </c>
      <c r="W53" s="33" t="n"/>
      <c r="X53" s="45" t="n"/>
      <c r="Y53" s="67" t="n">
        <v>0</v>
      </c>
      <c r="Z53" s="45" t="n"/>
      <c r="AA53" s="67" t="n">
        <v>0</v>
      </c>
      <c r="AB53" s="45" t="n"/>
      <c r="AC53" s="67" t="n">
        <v>0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67" t="n">
        <v>43</v>
      </c>
      <c r="M54" s="45" t="n"/>
      <c r="N54" s="67" t="n">
        <v>1</v>
      </c>
      <c r="O54" s="45" t="n"/>
      <c r="P54" s="67" t="n">
        <v>0</v>
      </c>
      <c r="Q54" s="33" t="n"/>
      <c r="R54" s="45" t="n"/>
      <c r="S54" s="67" t="n">
        <v>44</v>
      </c>
      <c r="T54" s="33" t="n"/>
      <c r="U54" s="45" t="n"/>
      <c r="V54" s="67" t="n">
        <v>0</v>
      </c>
      <c r="W54" s="33" t="n"/>
      <c r="X54" s="45" t="n"/>
      <c r="Y54" s="67" t="n">
        <v>0</v>
      </c>
      <c r="Z54" s="45" t="n"/>
      <c r="AA54" s="67" t="n">
        <v>0</v>
      </c>
      <c r="AB54" s="45" t="n"/>
      <c r="AC54" s="67" t="n">
        <v>44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67" t="n">
        <v>92</v>
      </c>
      <c r="M55" s="45" t="n"/>
      <c r="N55" s="67" t="n">
        <v>1</v>
      </c>
      <c r="O55" s="45" t="n"/>
      <c r="P55" s="67" t="n">
        <v>0</v>
      </c>
      <c r="Q55" s="33" t="n"/>
      <c r="R55" s="45" t="n"/>
      <c r="S55" s="67" t="n">
        <v>93</v>
      </c>
      <c r="T55" s="33" t="n"/>
      <c r="U55" s="45" t="n"/>
      <c r="V55" s="67" t="n">
        <v>0</v>
      </c>
      <c r="W55" s="33" t="n"/>
      <c r="X55" s="45" t="n"/>
      <c r="Y55" s="67" t="n">
        <v>0</v>
      </c>
      <c r="Z55" s="45" t="n"/>
      <c r="AA55" s="67" t="n">
        <v>0</v>
      </c>
      <c r="AB55" s="45" t="n"/>
      <c r="AC55" s="67" t="n">
        <v>93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67" t="n">
        <v>0</v>
      </c>
      <c r="M59" s="67" t="n">
        <v>0</v>
      </c>
      <c r="N59" s="67" t="n">
        <v>1</v>
      </c>
      <c r="O59" s="67" t="n">
        <v>0</v>
      </c>
      <c r="P59" s="67" t="n">
        <v>0</v>
      </c>
      <c r="Q59" s="67" t="n">
        <v>5</v>
      </c>
      <c r="R59" s="67" t="n">
        <v>2</v>
      </c>
      <c r="S59" s="67" t="n">
        <v>1</v>
      </c>
      <c r="T59" s="67" t="n">
        <v>1</v>
      </c>
      <c r="U59" s="67" t="n">
        <v>2</v>
      </c>
      <c r="V59" s="67" t="n">
        <v>2</v>
      </c>
      <c r="W59" s="67" t="n">
        <v>2</v>
      </c>
      <c r="X59" s="67" t="n">
        <v>5</v>
      </c>
      <c r="Y59" s="67" t="n">
        <v>1</v>
      </c>
      <c r="Z59" s="67" t="n">
        <v>1</v>
      </c>
      <c r="AA59" s="67" t="n">
        <v>2</v>
      </c>
      <c r="AB59" s="67" t="n">
        <v>12</v>
      </c>
      <c r="AC59" s="67" t="n">
        <v>13</v>
      </c>
      <c r="AD59" s="67" t="n">
        <v>25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67" t="n">
        <v>0</v>
      </c>
      <c r="M60" s="67" t="n">
        <v>0</v>
      </c>
      <c r="N60" s="67" t="n">
        <v>1</v>
      </c>
      <c r="O60" s="67" t="n">
        <v>1</v>
      </c>
      <c r="P60" s="67" t="n">
        <v>4</v>
      </c>
      <c r="Q60" s="67" t="n">
        <v>4</v>
      </c>
      <c r="R60" s="67" t="n">
        <v>5</v>
      </c>
      <c r="S60" s="67" t="n">
        <v>2</v>
      </c>
      <c r="T60" s="67" t="n">
        <v>2</v>
      </c>
      <c r="U60" s="67" t="n">
        <v>0</v>
      </c>
      <c r="V60" s="67" t="n">
        <v>1</v>
      </c>
      <c r="W60" s="67" t="n">
        <v>2</v>
      </c>
      <c r="X60" s="67" t="n">
        <v>0</v>
      </c>
      <c r="Y60" s="67" t="n">
        <v>1</v>
      </c>
      <c r="Z60" s="67" t="n">
        <v>1</v>
      </c>
      <c r="AA60" s="67" t="n">
        <v>0</v>
      </c>
      <c r="AB60" s="67" t="n">
        <v>14</v>
      </c>
      <c r="AC60" s="67" t="n">
        <v>10</v>
      </c>
      <c r="AD60" s="67" t="n">
        <v>24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0</v>
      </c>
      <c r="Q61" s="67" t="n">
        <v>0</v>
      </c>
      <c r="R61" s="67" t="n">
        <v>0</v>
      </c>
      <c r="S61" s="67" t="n">
        <v>0</v>
      </c>
      <c r="T61" s="67" t="n">
        <v>0</v>
      </c>
      <c r="U61" s="67" t="n">
        <v>0</v>
      </c>
      <c r="V61" s="67" t="n">
        <v>0</v>
      </c>
      <c r="W61" s="67" t="n">
        <v>0</v>
      </c>
      <c r="X61" s="67" t="n">
        <v>0</v>
      </c>
      <c r="Y61" s="67" t="n">
        <v>0</v>
      </c>
      <c r="Z61" s="67" t="n">
        <v>0</v>
      </c>
      <c r="AA61" s="67" t="n">
        <v>0</v>
      </c>
      <c r="AB61" s="67" t="n">
        <v>0</v>
      </c>
      <c r="AC61" s="67" t="n">
        <v>0</v>
      </c>
      <c r="AD61" s="67" t="n">
        <v>0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67" t="n">
        <v>0</v>
      </c>
      <c r="M62" s="67" t="n">
        <v>1</v>
      </c>
      <c r="N62" s="67" t="n">
        <v>5</v>
      </c>
      <c r="O62" s="67" t="n">
        <v>4</v>
      </c>
      <c r="P62" s="67" t="n">
        <v>4</v>
      </c>
      <c r="Q62" s="67" t="n">
        <v>3</v>
      </c>
      <c r="R62" s="67" t="n">
        <v>5</v>
      </c>
      <c r="S62" s="67" t="n">
        <v>2</v>
      </c>
      <c r="T62" s="67" t="n">
        <v>4</v>
      </c>
      <c r="U62" s="67" t="n">
        <v>2</v>
      </c>
      <c r="V62" s="67" t="n">
        <v>6</v>
      </c>
      <c r="W62" s="67" t="n">
        <v>2</v>
      </c>
      <c r="X62" s="67" t="n">
        <v>3</v>
      </c>
      <c r="Y62" s="67" t="n">
        <v>2</v>
      </c>
      <c r="Z62" s="67" t="n">
        <v>1</v>
      </c>
      <c r="AA62" s="67" t="n">
        <v>0</v>
      </c>
      <c r="AB62" s="67" t="n">
        <v>28</v>
      </c>
      <c r="AC62" s="67" t="n">
        <v>16</v>
      </c>
      <c r="AD62" s="67" t="n">
        <v>44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67" t="n">
        <v>0</v>
      </c>
      <c r="M63" s="67" t="n">
        <v>1</v>
      </c>
      <c r="N63" s="67" t="n">
        <v>7</v>
      </c>
      <c r="O63" s="67" t="n">
        <v>5</v>
      </c>
      <c r="P63" s="67" t="n">
        <v>8</v>
      </c>
      <c r="Q63" s="67" t="n">
        <v>12</v>
      </c>
      <c r="R63" s="67" t="n">
        <v>12</v>
      </c>
      <c r="S63" s="67" t="n">
        <v>5</v>
      </c>
      <c r="T63" s="67" t="n">
        <v>7</v>
      </c>
      <c r="U63" s="67" t="n">
        <v>4</v>
      </c>
      <c r="V63" s="67" t="n">
        <v>9</v>
      </c>
      <c r="W63" s="67" t="n">
        <v>6</v>
      </c>
      <c r="X63" s="67" t="n">
        <v>8</v>
      </c>
      <c r="Y63" s="67" t="n">
        <v>4</v>
      </c>
      <c r="Z63" s="67" t="n">
        <v>3</v>
      </c>
      <c r="AA63" s="67" t="n">
        <v>2</v>
      </c>
      <c r="AB63" s="67" t="n">
        <v>54</v>
      </c>
      <c r="AC63" s="67" t="n">
        <v>39</v>
      </c>
      <c r="AD63" s="67" t="n">
        <v>93</v>
      </c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93" t="n">
        <v>17</v>
      </c>
      <c r="P67" s="33" t="n"/>
      <c r="Q67" s="33" t="n"/>
      <c r="R67" s="33" t="n"/>
      <c r="S67" s="93" t="n">
        <v>0</v>
      </c>
      <c r="T67" s="33" t="n"/>
      <c r="U67" s="33" t="n"/>
      <c r="V67" s="33" t="n"/>
      <c r="W67" s="93" t="n">
        <v>0</v>
      </c>
      <c r="X67" s="33" t="n"/>
      <c r="Y67" s="33" t="n"/>
      <c r="Z67" s="33" t="n"/>
      <c r="AA67" s="93" t="n">
        <v>0</v>
      </c>
      <c r="AB67" s="33" t="n"/>
      <c r="AC67" s="33" t="n"/>
      <c r="AD67" s="33" t="n"/>
    </row>
    <row r="68" ht="38.25" customHeight="1">
      <c r="A68" s="193" t="n">
        <v>1107</v>
      </c>
      <c r="B68" s="193" t="n">
        <v>176</v>
      </c>
      <c r="C68" s="193" t="n">
        <v>7</v>
      </c>
      <c r="D68" s="193" t="n">
        <v>152</v>
      </c>
      <c r="E68" s="193" t="n">
        <v>18</v>
      </c>
      <c r="F68" s="193" t="n">
        <v>6</v>
      </c>
      <c r="G68" s="193" t="n">
        <v>176</v>
      </c>
      <c r="H68" s="193" t="n">
        <v>10</v>
      </c>
      <c r="I68" s="193" t="n">
        <v>8</v>
      </c>
      <c r="J68" s="193" t="n">
        <v>6</v>
      </c>
      <c r="K68" s="193" t="n">
        <v>24</v>
      </c>
      <c r="L68" s="193" t="n">
        <v>25</v>
      </c>
      <c r="M68" s="193" t="n">
        <v>24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65" t="n">
        <v>0</v>
      </c>
      <c r="P69" s="178" t="n"/>
      <c r="Q69" s="178" t="n"/>
      <c r="R69" s="179" t="n"/>
      <c r="S69" s="165" t="n">
        <v>0</v>
      </c>
      <c r="T69" s="178" t="n"/>
      <c r="U69" s="178" t="n"/>
      <c r="V69" s="179" t="n"/>
      <c r="W69" s="165" t="n">
        <v>0</v>
      </c>
      <c r="X69" s="178" t="n"/>
      <c r="Y69" s="178" t="n"/>
      <c r="Z69" s="179" t="n"/>
      <c r="AA69" s="8" t="n"/>
      <c r="AB69" s="8" t="inlineStr">
        <is>
          <t>0-4</t>
        </is>
      </c>
      <c r="AC69" s="9" t="inlineStr">
        <is>
          <t>5-14</t>
        </is>
      </c>
      <c r="AD69" s="40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9" t="n">
        <v>0</v>
      </c>
      <c r="AC70" s="9" t="n">
        <v>0</v>
      </c>
      <c r="AD70" s="9" t="n"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9" t="n">
        <v>0</v>
      </c>
      <c r="AC71" s="9" t="n">
        <v>0</v>
      </c>
      <c r="AD71" s="9" t="n"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9" t="n">
        <v>0</v>
      </c>
      <c r="AC72" s="9" t="n">
        <v>0</v>
      </c>
      <c r="AD72" s="9" t="n"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67" t="n">
        <v>14</v>
      </c>
      <c r="C78" s="67" t="n">
        <v>0</v>
      </c>
      <c r="D78" s="67" t="n">
        <v>0</v>
      </c>
      <c r="E78" s="67" t="n">
        <v>0</v>
      </c>
      <c r="F78" s="67" t="n">
        <v>0</v>
      </c>
      <c r="G78" s="67" t="n">
        <v>0</v>
      </c>
      <c r="H78" s="67" t="n">
        <v>0</v>
      </c>
      <c r="I78" s="67" t="n">
        <v>0</v>
      </c>
      <c r="J78" s="67" t="n">
        <v>0</v>
      </c>
      <c r="K78" s="67" t="n">
        <v>0</v>
      </c>
      <c r="L78" s="67" t="n">
        <v>0</v>
      </c>
      <c r="M78" s="67" t="n"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67" t="n">
        <v>0</v>
      </c>
      <c r="C79" s="67" t="n">
        <v>0</v>
      </c>
      <c r="D79" s="67" t="n">
        <v>0</v>
      </c>
      <c r="E79" s="67" t="n">
        <v>0</v>
      </c>
      <c r="F79" s="67" t="n">
        <v>0</v>
      </c>
      <c r="G79" s="67" t="n">
        <v>0</v>
      </c>
      <c r="H79" s="67" t="n">
        <v>0</v>
      </c>
      <c r="I79" s="67" t="n">
        <v>0</v>
      </c>
      <c r="J79" s="67" t="n">
        <v>0</v>
      </c>
      <c r="K79" s="67" t="n">
        <v>0</v>
      </c>
      <c r="L79" s="67" t="n">
        <v>0</v>
      </c>
      <c r="M79" s="67" t="n"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67" t="n">
        <v>0</v>
      </c>
      <c r="Z79" s="67" t="n">
        <v>0</v>
      </c>
      <c r="AA79" s="67" t="n">
        <v>0</v>
      </c>
      <c r="AB79" s="67" t="n">
        <v>0</v>
      </c>
      <c r="AC79" s="67" t="n">
        <v>0</v>
      </c>
      <c r="AD79" s="67" t="n">
        <v>0</v>
      </c>
    </row>
    <row r="80" ht="24.9" customHeight="1">
      <c r="A80" s="165" t="inlineStr">
        <is>
          <t>Previously treated</t>
        </is>
      </c>
      <c r="B80" s="67" t="n">
        <v>0</v>
      </c>
      <c r="C80" s="67" t="n">
        <v>0</v>
      </c>
      <c r="D80" s="67" t="n">
        <v>0</v>
      </c>
      <c r="E80" s="67" t="n">
        <v>0</v>
      </c>
      <c r="F80" s="67" t="n">
        <v>0</v>
      </c>
      <c r="G80" s="67" t="n">
        <v>0</v>
      </c>
      <c r="H80" s="67" t="n">
        <v>0</v>
      </c>
      <c r="I80" s="67" t="n">
        <v>0</v>
      </c>
      <c r="J80" s="67" t="n">
        <v>0</v>
      </c>
      <c r="K80" s="67" t="n">
        <v>0</v>
      </c>
      <c r="L80" s="67" t="n">
        <v>0</v>
      </c>
      <c r="M80" s="67" t="n">
        <v>0</v>
      </c>
      <c r="N80" s="51" t="n"/>
      <c r="O80" s="67" t="n">
        <v>27</v>
      </c>
      <c r="P80" s="67" t="n">
        <v>134</v>
      </c>
      <c r="Q80" s="67" t="n">
        <v>266</v>
      </c>
      <c r="R80" s="67" t="n">
        <v>3</v>
      </c>
      <c r="S80" s="67" t="n">
        <v>17</v>
      </c>
      <c r="T80" s="67" t="n">
        <v>87</v>
      </c>
      <c r="U80" s="67" t="n">
        <v>0</v>
      </c>
      <c r="V80" s="67" t="n">
        <v>0</v>
      </c>
      <c r="W80" s="67" t="n">
        <v>18</v>
      </c>
      <c r="X80" s="17" t="inlineStr">
        <is>
          <t>3HR</t>
        </is>
      </c>
      <c r="Y80" s="67" t="n">
        <v>0</v>
      </c>
      <c r="Z80" s="67" t="n">
        <v>0</v>
      </c>
      <c r="AA80" s="67" t="n">
        <v>0</v>
      </c>
      <c r="AB80" s="67" t="n">
        <v>0</v>
      </c>
      <c r="AC80" s="67" t="n">
        <v>0</v>
      </c>
      <c r="AD80" s="67" t="n">
        <v>0</v>
      </c>
    </row>
    <row r="81" ht="24.9" customHeight="1">
      <c r="A81" s="67" t="inlineStr">
        <is>
          <t>Total</t>
        </is>
      </c>
      <c r="B81" s="67" t="n">
        <v>14</v>
      </c>
      <c r="C81" s="67" t="n">
        <v>0</v>
      </c>
      <c r="D81" s="67" t="n">
        <v>0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67" t="n">
        <v>0</v>
      </c>
      <c r="Z81" s="67" t="n">
        <v>0</v>
      </c>
      <c r="AA81" s="67" t="n">
        <v>0</v>
      </c>
      <c r="AB81" s="67" t="n">
        <v>0</v>
      </c>
      <c r="AC81" s="67" t="n">
        <v>0</v>
      </c>
      <c r="AD81" s="67" t="n"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 s="174" t="inlineStr">
        <is>
          <t>Consolidated</t>
        </is>
      </c>
      <c r="I83" s="136" t="inlineStr">
        <is>
          <t xml:space="preserve">District : </t>
        </is>
      </c>
      <c r="K83" s="137" t="n">
        <v>0</v>
      </c>
      <c r="M83" s="136" t="inlineStr">
        <is>
          <t>Central :</t>
        </is>
      </c>
      <c r="O83" s="136" t="inlineStr">
        <is>
          <t>Khyber Pakhtunkhwa</t>
        </is>
      </c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98" t="inlineStr">
        <is>
          <t>of Year 2026</t>
        </is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67" t="n">
        <v>0</v>
      </c>
      <c r="M90" s="45" t="n"/>
      <c r="N90" s="67" t="n">
        <v>0</v>
      </c>
      <c r="O90" s="45" t="n"/>
      <c r="P90" s="67" t="n">
        <v>0</v>
      </c>
      <c r="Q90" s="33" t="n"/>
      <c r="R90" s="45" t="n"/>
      <c r="S90" s="67" t="n">
        <v>0</v>
      </c>
      <c r="T90" s="33" t="n"/>
      <c r="U90" s="45" t="n"/>
      <c r="V90" s="67" t="n">
        <v>0</v>
      </c>
      <c r="W90" s="33" t="n"/>
      <c r="X90" s="45" t="n"/>
      <c r="Y90" s="67" t="n">
        <v>0</v>
      </c>
      <c r="Z90" s="45" t="n"/>
      <c r="AA90" s="67" t="n">
        <v>0</v>
      </c>
      <c r="AB90" s="45" t="n"/>
      <c r="AC90" s="67" t="n"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67" t="n">
        <v>0</v>
      </c>
      <c r="M91" s="45" t="n"/>
      <c r="N91" s="67" t="n">
        <v>0</v>
      </c>
      <c r="O91" s="45" t="n"/>
      <c r="P91" s="67" t="n">
        <v>0</v>
      </c>
      <c r="Q91" s="33" t="n"/>
      <c r="R91" s="45" t="n"/>
      <c r="S91" s="67" t="n">
        <v>0</v>
      </c>
      <c r="T91" s="33" t="n"/>
      <c r="U91" s="45" t="n"/>
      <c r="V91" s="67" t="n">
        <v>0</v>
      </c>
      <c r="W91" s="33" t="n"/>
      <c r="X91" s="45" t="n"/>
      <c r="Y91" s="67" t="n">
        <v>0</v>
      </c>
      <c r="Z91" s="45" t="n"/>
      <c r="AA91" s="67" t="n">
        <v>0</v>
      </c>
      <c r="AB91" s="45" t="n"/>
      <c r="AC91" s="67" t="n"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67" t="n">
        <v>0</v>
      </c>
      <c r="M92" s="45" t="n"/>
      <c r="N92" s="67" t="n">
        <v>0</v>
      </c>
      <c r="O92" s="45" t="n"/>
      <c r="P92" s="67" t="n">
        <v>0</v>
      </c>
      <c r="Q92" s="33" t="n"/>
      <c r="R92" s="45" t="n"/>
      <c r="S92" s="67" t="n">
        <v>0</v>
      </c>
      <c r="T92" s="33" t="n"/>
      <c r="U92" s="45" t="n"/>
      <c r="V92" s="67" t="n">
        <v>0</v>
      </c>
      <c r="W92" s="33" t="n"/>
      <c r="X92" s="45" t="n"/>
      <c r="Y92" s="67" t="n">
        <v>0</v>
      </c>
      <c r="Z92" s="45" t="n"/>
      <c r="AA92" s="67" t="n">
        <v>0</v>
      </c>
      <c r="AB92" s="45" t="n"/>
      <c r="AC92" s="67" t="n"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67" t="n">
        <v>0</v>
      </c>
      <c r="M93" s="45" t="n"/>
      <c r="N93" s="67" t="n">
        <v>0</v>
      </c>
      <c r="O93" s="45" t="n"/>
      <c r="P93" s="67" t="n">
        <v>0</v>
      </c>
      <c r="Q93" s="33" t="n"/>
      <c r="R93" s="45" t="n"/>
      <c r="S93" s="67" t="n">
        <v>0</v>
      </c>
      <c r="T93" s="33" t="n"/>
      <c r="U93" s="45" t="n"/>
      <c r="V93" s="67" t="n">
        <v>0</v>
      </c>
      <c r="W93" s="33" t="n"/>
      <c r="X93" s="45" t="n"/>
      <c r="Y93" s="67" t="n">
        <v>0</v>
      </c>
      <c r="Z93" s="45" t="n"/>
      <c r="AA93" s="67" t="n">
        <v>0</v>
      </c>
      <c r="AB93" s="45" t="n"/>
      <c r="AC93" s="67" t="n"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67" t="n">
        <v>0</v>
      </c>
      <c r="M94" s="45" t="n"/>
      <c r="N94" s="67" t="n">
        <v>0</v>
      </c>
      <c r="O94" s="45" t="n"/>
      <c r="P94" s="67" t="n">
        <v>0</v>
      </c>
      <c r="Q94" s="33" t="n"/>
      <c r="R94" s="45" t="n"/>
      <c r="S94" s="67" t="n">
        <v>0</v>
      </c>
      <c r="T94" s="33" t="n"/>
      <c r="U94" s="45" t="n"/>
      <c r="V94" s="67" t="n">
        <v>0</v>
      </c>
      <c r="W94" s="33" t="n"/>
      <c r="X94" s="45" t="n"/>
      <c r="Y94" s="67" t="n">
        <v>0</v>
      </c>
      <c r="Z94" s="45" t="n"/>
      <c r="AA94" s="67" t="n">
        <v>0</v>
      </c>
      <c r="AB94" s="45" t="n"/>
      <c r="AC94" s="67" t="n"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0</v>
      </c>
      <c r="Q98" s="67" t="n">
        <v>0</v>
      </c>
      <c r="R98" s="67" t="n">
        <v>0</v>
      </c>
      <c r="S98" s="67" t="n">
        <v>0</v>
      </c>
      <c r="T98" s="67" t="n">
        <v>0</v>
      </c>
      <c r="U98" s="67" t="n">
        <v>0</v>
      </c>
      <c r="V98" s="67" t="n">
        <v>0</v>
      </c>
      <c r="W98" s="67" t="n">
        <v>0</v>
      </c>
      <c r="X98" s="67" t="n">
        <v>0</v>
      </c>
      <c r="Y98" s="67" t="n">
        <v>0</v>
      </c>
      <c r="Z98" s="67" t="n">
        <v>0</v>
      </c>
      <c r="AA98" s="67" t="n">
        <v>0</v>
      </c>
      <c r="AB98" s="67" t="n">
        <v>0</v>
      </c>
      <c r="AC98" s="67" t="n">
        <v>0</v>
      </c>
      <c r="AD98" s="67" t="n"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0</v>
      </c>
      <c r="Q99" s="67" t="n">
        <v>0</v>
      </c>
      <c r="R99" s="67" t="n">
        <v>0</v>
      </c>
      <c r="S99" s="67" t="n">
        <v>0</v>
      </c>
      <c r="T99" s="67" t="n">
        <v>0</v>
      </c>
      <c r="U99" s="67" t="n">
        <v>0</v>
      </c>
      <c r="V99" s="67" t="n">
        <v>0</v>
      </c>
      <c r="W99" s="67" t="n">
        <v>0</v>
      </c>
      <c r="X99" s="67" t="n">
        <v>0</v>
      </c>
      <c r="Y99" s="67" t="n">
        <v>0</v>
      </c>
      <c r="Z99" s="67" t="n">
        <v>0</v>
      </c>
      <c r="AA99" s="67" t="n">
        <v>0</v>
      </c>
      <c r="AB99" s="67" t="n">
        <v>0</v>
      </c>
      <c r="AC99" s="67" t="n">
        <v>0</v>
      </c>
      <c r="AD99" s="67" t="n"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67" t="n">
        <v>0</v>
      </c>
      <c r="M100" s="67" t="n">
        <v>0</v>
      </c>
      <c r="N100" s="67" t="n">
        <v>0</v>
      </c>
      <c r="O100" s="67" t="n">
        <v>0</v>
      </c>
      <c r="P100" s="67" t="n">
        <v>0</v>
      </c>
      <c r="Q100" s="67" t="n">
        <v>0</v>
      </c>
      <c r="R100" s="67" t="n">
        <v>0</v>
      </c>
      <c r="S100" s="67" t="n">
        <v>0</v>
      </c>
      <c r="T100" s="67" t="n">
        <v>0</v>
      </c>
      <c r="U100" s="67" t="n">
        <v>0</v>
      </c>
      <c r="V100" s="67" t="n">
        <v>0</v>
      </c>
      <c r="W100" s="67" t="n">
        <v>0</v>
      </c>
      <c r="X100" s="67" t="n">
        <v>0</v>
      </c>
      <c r="Y100" s="67" t="n">
        <v>0</v>
      </c>
      <c r="Z100" s="67" t="n">
        <v>0</v>
      </c>
      <c r="AA100" s="67" t="n">
        <v>0</v>
      </c>
      <c r="AB100" s="67" t="n">
        <v>0</v>
      </c>
      <c r="AC100" s="67" t="n">
        <v>0</v>
      </c>
      <c r="AD100" s="67" t="n"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67" t="n">
        <v>0</v>
      </c>
      <c r="M101" s="67" t="n">
        <v>0</v>
      </c>
      <c r="N101" s="67" t="n">
        <v>0</v>
      </c>
      <c r="O101" s="67" t="n">
        <v>0</v>
      </c>
      <c r="P101" s="67" t="n">
        <v>0</v>
      </c>
      <c r="Q101" s="67" t="n">
        <v>0</v>
      </c>
      <c r="R101" s="67" t="n">
        <v>0</v>
      </c>
      <c r="S101" s="67" t="n">
        <v>0</v>
      </c>
      <c r="T101" s="67" t="n">
        <v>0</v>
      </c>
      <c r="U101" s="67" t="n">
        <v>0</v>
      </c>
      <c r="V101" s="67" t="n">
        <v>0</v>
      </c>
      <c r="W101" s="67" t="n">
        <v>0</v>
      </c>
      <c r="X101" s="67" t="n">
        <v>0</v>
      </c>
      <c r="Y101" s="67" t="n">
        <v>0</v>
      </c>
      <c r="Z101" s="67" t="n">
        <v>0</v>
      </c>
      <c r="AA101" s="67" t="n">
        <v>0</v>
      </c>
      <c r="AB101" s="67" t="n">
        <v>0</v>
      </c>
      <c r="AC101" s="67" t="n">
        <v>0</v>
      </c>
      <c r="AD101" s="67" t="n"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67" t="n">
        <v>0</v>
      </c>
      <c r="M102" s="67" t="n">
        <v>0</v>
      </c>
      <c r="N102" s="67" t="n">
        <v>0</v>
      </c>
      <c r="O102" s="67" t="n">
        <v>0</v>
      </c>
      <c r="P102" s="67" t="n">
        <v>0</v>
      </c>
      <c r="Q102" s="67" t="n">
        <v>0</v>
      </c>
      <c r="R102" s="67" t="n">
        <v>0</v>
      </c>
      <c r="S102" s="67" t="n">
        <v>0</v>
      </c>
      <c r="T102" s="67" t="n">
        <v>0</v>
      </c>
      <c r="U102" s="67" t="n">
        <v>0</v>
      </c>
      <c r="V102" s="67" t="n">
        <v>0</v>
      </c>
      <c r="W102" s="67" t="n">
        <v>0</v>
      </c>
      <c r="X102" s="67" t="n">
        <v>0</v>
      </c>
      <c r="Y102" s="67" t="n">
        <v>0</v>
      </c>
      <c r="Z102" s="67" t="n">
        <v>0</v>
      </c>
      <c r="AA102" s="67" t="n">
        <v>0</v>
      </c>
      <c r="AB102" s="67" t="n">
        <v>0</v>
      </c>
      <c r="AC102" s="67" t="n">
        <v>0</v>
      </c>
      <c r="AD102" s="67" t="n"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93" t="n">
        <v>0</v>
      </c>
      <c r="P106" s="33" t="n"/>
      <c r="Q106" s="33" t="n"/>
      <c r="R106" s="33" t="n"/>
      <c r="S106" s="93" t="n">
        <v>0</v>
      </c>
      <c r="T106" s="33" t="n"/>
      <c r="U106" s="33" t="n"/>
      <c r="V106" s="33" t="n"/>
      <c r="W106" s="93" t="n">
        <v>0</v>
      </c>
      <c r="X106" s="33" t="n"/>
      <c r="Y106" s="33" t="n"/>
      <c r="Z106" s="33" t="n"/>
      <c r="AA106" s="93" t="n">
        <v>0</v>
      </c>
      <c r="AB106" s="33" t="n"/>
      <c r="AC106" s="33" t="n"/>
      <c r="AD106" s="33" t="n"/>
    </row>
    <row r="107" ht="38.25" customHeight="1">
      <c r="A107" s="165" t="n">
        <v>0</v>
      </c>
      <c r="B107" s="165" t="n">
        <v>0</v>
      </c>
      <c r="C107" s="165" t="n">
        <v>0</v>
      </c>
      <c r="D107" s="165" t="n">
        <v>0</v>
      </c>
      <c r="E107" s="165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65" t="n">
        <v>0</v>
      </c>
      <c r="P108" s="178" t="n"/>
      <c r="Q108" s="178" t="n"/>
      <c r="R108" s="179" t="n"/>
      <c r="S108" s="165" t="n">
        <v>0</v>
      </c>
      <c r="T108" s="178" t="n"/>
      <c r="U108" s="178" t="n"/>
      <c r="V108" s="179" t="n"/>
      <c r="W108" s="165" t="n">
        <v>0</v>
      </c>
      <c r="X108" s="178" t="n"/>
      <c r="Y108" s="178" t="n"/>
      <c r="Z108" s="179" t="n"/>
      <c r="AA108" s="8" t="n"/>
      <c r="AB108" s="8" t="inlineStr">
        <is>
          <t>0-4</t>
        </is>
      </c>
      <c r="AC108" s="9" t="inlineStr">
        <is>
          <t>5-14</t>
        </is>
      </c>
      <c r="AD108" s="40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9" t="n">
        <v>0</v>
      </c>
      <c r="AC109" s="9" t="n">
        <v>0</v>
      </c>
      <c r="AD109" s="9" t="n"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9" t="n">
        <v>0</v>
      </c>
      <c r="AC110" s="9" t="n">
        <v>0</v>
      </c>
      <c r="AD110" s="9" t="n"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9" t="n">
        <v>0</v>
      </c>
      <c r="AC111" s="9" t="n">
        <v>0</v>
      </c>
      <c r="AD111" s="9" t="n"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67" t="n">
        <v>0</v>
      </c>
      <c r="C117" s="67" t="n">
        <v>0</v>
      </c>
      <c r="D117" s="67" t="n">
        <v>0</v>
      </c>
      <c r="E117" s="67" t="n">
        <v>0</v>
      </c>
      <c r="F117" s="67" t="n">
        <v>0</v>
      </c>
      <c r="G117" s="67" t="n">
        <v>0</v>
      </c>
      <c r="H117" s="67" t="n">
        <v>0</v>
      </c>
      <c r="I117" s="67" t="n">
        <v>0</v>
      </c>
      <c r="J117" s="67" t="n">
        <v>0</v>
      </c>
      <c r="K117" s="67" t="n">
        <v>0</v>
      </c>
      <c r="L117" s="67" t="n">
        <v>0</v>
      </c>
      <c r="M117" s="67" t="n"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67" t="n">
        <v>0</v>
      </c>
      <c r="C118" s="67" t="n">
        <v>0</v>
      </c>
      <c r="D118" s="67" t="n">
        <v>0</v>
      </c>
      <c r="E118" s="67" t="n">
        <v>0</v>
      </c>
      <c r="F118" s="67" t="n">
        <v>0</v>
      </c>
      <c r="G118" s="67" t="n">
        <v>0</v>
      </c>
      <c r="H118" s="67" t="n">
        <v>0</v>
      </c>
      <c r="I118" s="67" t="n">
        <v>0</v>
      </c>
      <c r="J118" s="67" t="n">
        <v>0</v>
      </c>
      <c r="K118" s="67" t="n">
        <v>0</v>
      </c>
      <c r="L118" s="67" t="n">
        <v>0</v>
      </c>
      <c r="M118" s="67" t="n"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67" t="n">
        <v>0</v>
      </c>
      <c r="Z118" s="67" t="n">
        <v>0</v>
      </c>
      <c r="AA118" s="67" t="n">
        <v>0</v>
      </c>
      <c r="AB118" s="67" t="n">
        <v>0</v>
      </c>
      <c r="AC118" s="67" t="n">
        <v>0</v>
      </c>
      <c r="AD118" s="67" t="n">
        <v>0</v>
      </c>
    </row>
    <row r="119" ht="24.9" customHeight="1">
      <c r="A119" s="165" t="inlineStr">
        <is>
          <t>Previously treated</t>
        </is>
      </c>
      <c r="B119" s="67" t="n">
        <v>0</v>
      </c>
      <c r="C119" s="67" t="n">
        <v>0</v>
      </c>
      <c r="D119" s="67" t="n">
        <v>0</v>
      </c>
      <c r="E119" s="67" t="n">
        <v>0</v>
      </c>
      <c r="F119" s="67" t="n">
        <v>0</v>
      </c>
      <c r="G119" s="67" t="n">
        <v>0</v>
      </c>
      <c r="H119" s="67" t="n">
        <v>0</v>
      </c>
      <c r="I119" s="67" t="n">
        <v>0</v>
      </c>
      <c r="J119" s="67" t="n">
        <v>0</v>
      </c>
      <c r="K119" s="67" t="n">
        <v>0</v>
      </c>
      <c r="L119" s="67" t="n">
        <v>0</v>
      </c>
      <c r="M119" s="67" t="n">
        <v>0</v>
      </c>
      <c r="N119" s="51" t="n"/>
      <c r="O119" s="67" t="n">
        <v>0</v>
      </c>
      <c r="P119" s="67" t="n">
        <v>0</v>
      </c>
      <c r="Q119" s="67" t="n">
        <v>0</v>
      </c>
      <c r="R119" s="67" t="n">
        <v>0</v>
      </c>
      <c r="S119" s="67" t="n">
        <v>0</v>
      </c>
      <c r="T119" s="67" t="n">
        <v>0</v>
      </c>
      <c r="U119" s="67" t="n">
        <v>0</v>
      </c>
      <c r="V119" s="67" t="n">
        <v>0</v>
      </c>
      <c r="W119" s="67" t="n">
        <v>0</v>
      </c>
      <c r="X119" s="17" t="inlineStr">
        <is>
          <t>3HR</t>
        </is>
      </c>
      <c r="Y119" s="67" t="n">
        <v>0</v>
      </c>
      <c r="Z119" s="67" t="n">
        <v>0</v>
      </c>
      <c r="AA119" s="67" t="n">
        <v>0</v>
      </c>
      <c r="AB119" s="67" t="n">
        <v>0</v>
      </c>
      <c r="AC119" s="67" t="n">
        <v>0</v>
      </c>
      <c r="AD119" s="67" t="n">
        <v>0</v>
      </c>
    </row>
    <row r="120" ht="24.9" customHeight="1">
      <c r="A120" s="67" t="inlineStr">
        <is>
          <t>Total</t>
        </is>
      </c>
      <c r="B120" s="67" t="n">
        <v>0</v>
      </c>
      <c r="C120" s="67" t="n">
        <v>0</v>
      </c>
      <c r="D120" s="67" t="n">
        <v>0</v>
      </c>
      <c r="E120" s="67" t="n">
        <v>0</v>
      </c>
      <c r="F120" s="67" t="n">
        <v>0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</v>
      </c>
      <c r="M120" s="67" t="n"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67" t="n">
        <v>0</v>
      </c>
      <c r="Z120" s="67" t="n">
        <v>0</v>
      </c>
      <c r="AA120" s="67" t="n">
        <v>0</v>
      </c>
      <c r="AB120" s="67" t="n">
        <v>0</v>
      </c>
      <c r="AC120" s="67" t="n">
        <v>0</v>
      </c>
      <c r="AD120" s="67" t="n"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 s="174" t="inlineStr">
        <is>
          <t>Consolidated</t>
        </is>
      </c>
      <c r="I122" s="136" t="inlineStr">
        <is>
          <t xml:space="preserve">District : </t>
        </is>
      </c>
      <c r="K122" s="137" t="n">
        <v>0</v>
      </c>
      <c r="M122" s="136" t="inlineStr">
        <is>
          <t>Central :</t>
        </is>
      </c>
      <c r="O122" s="136" t="inlineStr">
        <is>
          <t>Khyber Pakhtunkhwa</t>
        </is>
      </c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98" t="inlineStr">
        <is>
          <t>of Year 2026</t>
        </is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67" t="n">
        <v>0</v>
      </c>
      <c r="M129" s="45" t="n"/>
      <c r="N129" s="67" t="n">
        <v>0</v>
      </c>
      <c r="O129" s="45" t="n"/>
      <c r="P129" s="67" t="n">
        <v>0</v>
      </c>
      <c r="Q129" s="33" t="n"/>
      <c r="R129" s="45" t="n"/>
      <c r="S129" s="67" t="n">
        <v>0</v>
      </c>
      <c r="T129" s="33" t="n"/>
      <c r="U129" s="45" t="n"/>
      <c r="V129" s="67" t="n">
        <v>0</v>
      </c>
      <c r="W129" s="33" t="n"/>
      <c r="X129" s="45" t="n"/>
      <c r="Y129" s="67" t="n">
        <v>0</v>
      </c>
      <c r="Z129" s="45" t="n"/>
      <c r="AA129" s="67" t="n">
        <v>0</v>
      </c>
      <c r="AB129" s="45" t="n"/>
      <c r="AC129" s="67" t="n"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67" t="n">
        <v>0</v>
      </c>
      <c r="M130" s="45" t="n"/>
      <c r="N130" s="67" t="n">
        <v>0</v>
      </c>
      <c r="O130" s="45" t="n"/>
      <c r="P130" s="67" t="n">
        <v>0</v>
      </c>
      <c r="Q130" s="33" t="n"/>
      <c r="R130" s="45" t="n"/>
      <c r="S130" s="67" t="n">
        <v>0</v>
      </c>
      <c r="T130" s="33" t="n"/>
      <c r="U130" s="45" t="n"/>
      <c r="V130" s="67" t="n">
        <v>0</v>
      </c>
      <c r="W130" s="33" t="n"/>
      <c r="X130" s="45" t="n"/>
      <c r="Y130" s="67" t="n">
        <v>0</v>
      </c>
      <c r="Z130" s="45" t="n"/>
      <c r="AA130" s="67" t="n">
        <v>0</v>
      </c>
      <c r="AB130" s="45" t="n"/>
      <c r="AC130" s="67" t="n"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67" t="n">
        <v>0</v>
      </c>
      <c r="M131" s="45" t="n"/>
      <c r="N131" s="67" t="n">
        <v>0</v>
      </c>
      <c r="O131" s="45" t="n"/>
      <c r="P131" s="67" t="n">
        <v>0</v>
      </c>
      <c r="Q131" s="33" t="n"/>
      <c r="R131" s="45" t="n"/>
      <c r="S131" s="67" t="n">
        <v>0</v>
      </c>
      <c r="T131" s="33" t="n"/>
      <c r="U131" s="45" t="n"/>
      <c r="V131" s="67" t="n">
        <v>0</v>
      </c>
      <c r="W131" s="33" t="n"/>
      <c r="X131" s="45" t="n"/>
      <c r="Y131" s="67" t="n">
        <v>0</v>
      </c>
      <c r="Z131" s="45" t="n"/>
      <c r="AA131" s="67" t="n">
        <v>0</v>
      </c>
      <c r="AB131" s="45" t="n"/>
      <c r="AC131" s="67" t="n"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67" t="n">
        <v>0</v>
      </c>
      <c r="M132" s="45" t="n"/>
      <c r="N132" s="67" t="n">
        <v>0</v>
      </c>
      <c r="O132" s="45" t="n"/>
      <c r="P132" s="67" t="n">
        <v>0</v>
      </c>
      <c r="Q132" s="33" t="n"/>
      <c r="R132" s="45" t="n"/>
      <c r="S132" s="67" t="n">
        <v>0</v>
      </c>
      <c r="T132" s="33" t="n"/>
      <c r="U132" s="45" t="n"/>
      <c r="V132" s="67" t="n">
        <v>0</v>
      </c>
      <c r="W132" s="33" t="n"/>
      <c r="X132" s="45" t="n"/>
      <c r="Y132" s="67" t="n">
        <v>0</v>
      </c>
      <c r="Z132" s="45" t="n"/>
      <c r="AA132" s="67" t="n">
        <v>0</v>
      </c>
      <c r="AB132" s="45" t="n"/>
      <c r="AC132" s="67" t="n"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67" t="n">
        <v>0</v>
      </c>
      <c r="M133" s="45" t="n"/>
      <c r="N133" s="67" t="n">
        <v>0</v>
      </c>
      <c r="O133" s="45" t="n"/>
      <c r="P133" s="67" t="n">
        <v>0</v>
      </c>
      <c r="Q133" s="33" t="n"/>
      <c r="R133" s="45" t="n"/>
      <c r="S133" s="67" t="n">
        <v>0</v>
      </c>
      <c r="T133" s="33" t="n"/>
      <c r="U133" s="45" t="n"/>
      <c r="V133" s="67" t="n">
        <v>0</v>
      </c>
      <c r="W133" s="33" t="n"/>
      <c r="X133" s="45" t="n"/>
      <c r="Y133" s="67" t="n">
        <v>0</v>
      </c>
      <c r="Z133" s="45" t="n"/>
      <c r="AA133" s="67" t="n">
        <v>0</v>
      </c>
      <c r="AB133" s="45" t="n"/>
      <c r="AC133" s="67" t="n"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67" t="n">
        <v>0</v>
      </c>
      <c r="M137" s="67" t="n">
        <v>0</v>
      </c>
      <c r="N137" s="67" t="n">
        <v>0</v>
      </c>
      <c r="O137" s="67" t="n">
        <v>0</v>
      </c>
      <c r="P137" s="67" t="n">
        <v>0</v>
      </c>
      <c r="Q137" s="67" t="n">
        <v>0</v>
      </c>
      <c r="R137" s="67" t="n">
        <v>0</v>
      </c>
      <c r="S137" s="67" t="n">
        <v>0</v>
      </c>
      <c r="T137" s="67" t="n">
        <v>0</v>
      </c>
      <c r="U137" s="67" t="n">
        <v>0</v>
      </c>
      <c r="V137" s="67" t="n">
        <v>0</v>
      </c>
      <c r="W137" s="67" t="n">
        <v>0</v>
      </c>
      <c r="X137" s="67" t="n">
        <v>0</v>
      </c>
      <c r="Y137" s="67" t="n">
        <v>0</v>
      </c>
      <c r="Z137" s="67" t="n">
        <v>0</v>
      </c>
      <c r="AA137" s="67" t="n">
        <v>0</v>
      </c>
      <c r="AB137" s="67" t="n">
        <v>0</v>
      </c>
      <c r="AC137" s="67" t="n">
        <v>0</v>
      </c>
      <c r="AD137" s="67" t="n"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67" t="n">
        <v>0</v>
      </c>
      <c r="M138" s="67" t="n">
        <v>0</v>
      </c>
      <c r="N138" s="67" t="n">
        <v>0</v>
      </c>
      <c r="O138" s="67" t="n">
        <v>0</v>
      </c>
      <c r="P138" s="67" t="n">
        <v>0</v>
      </c>
      <c r="Q138" s="67" t="n">
        <v>0</v>
      </c>
      <c r="R138" s="67" t="n">
        <v>0</v>
      </c>
      <c r="S138" s="67" t="n">
        <v>0</v>
      </c>
      <c r="T138" s="67" t="n">
        <v>0</v>
      </c>
      <c r="U138" s="67" t="n">
        <v>0</v>
      </c>
      <c r="V138" s="67" t="n">
        <v>0</v>
      </c>
      <c r="W138" s="67" t="n">
        <v>0</v>
      </c>
      <c r="X138" s="67" t="n">
        <v>0</v>
      </c>
      <c r="Y138" s="67" t="n">
        <v>0</v>
      </c>
      <c r="Z138" s="67" t="n">
        <v>0</v>
      </c>
      <c r="AA138" s="67" t="n">
        <v>0</v>
      </c>
      <c r="AB138" s="67" t="n">
        <v>0</v>
      </c>
      <c r="AC138" s="67" t="n">
        <v>0</v>
      </c>
      <c r="AD138" s="67" t="n"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67" t="n">
        <v>0</v>
      </c>
      <c r="M139" s="67" t="n">
        <v>0</v>
      </c>
      <c r="N139" s="67" t="n">
        <v>0</v>
      </c>
      <c r="O139" s="67" t="n">
        <v>0</v>
      </c>
      <c r="P139" s="67" t="n">
        <v>0</v>
      </c>
      <c r="Q139" s="67" t="n">
        <v>0</v>
      </c>
      <c r="R139" s="67" t="n">
        <v>0</v>
      </c>
      <c r="S139" s="67" t="n">
        <v>0</v>
      </c>
      <c r="T139" s="67" t="n">
        <v>0</v>
      </c>
      <c r="U139" s="67" t="n">
        <v>0</v>
      </c>
      <c r="V139" s="67" t="n">
        <v>0</v>
      </c>
      <c r="W139" s="67" t="n">
        <v>0</v>
      </c>
      <c r="X139" s="67" t="n">
        <v>0</v>
      </c>
      <c r="Y139" s="67" t="n">
        <v>0</v>
      </c>
      <c r="Z139" s="67" t="n">
        <v>0</v>
      </c>
      <c r="AA139" s="67" t="n">
        <v>0</v>
      </c>
      <c r="AB139" s="67" t="n">
        <v>0</v>
      </c>
      <c r="AC139" s="67" t="n">
        <v>0</v>
      </c>
      <c r="AD139" s="67" t="n"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67" t="n">
        <v>0</v>
      </c>
      <c r="M140" s="67" t="n">
        <v>0</v>
      </c>
      <c r="N140" s="67" t="n">
        <v>0</v>
      </c>
      <c r="O140" s="67" t="n">
        <v>0</v>
      </c>
      <c r="P140" s="67" t="n">
        <v>0</v>
      </c>
      <c r="Q140" s="67" t="n">
        <v>0</v>
      </c>
      <c r="R140" s="67" t="n">
        <v>0</v>
      </c>
      <c r="S140" s="67" t="n">
        <v>0</v>
      </c>
      <c r="T140" s="67" t="n">
        <v>0</v>
      </c>
      <c r="U140" s="67" t="n">
        <v>0</v>
      </c>
      <c r="V140" s="67" t="n">
        <v>0</v>
      </c>
      <c r="W140" s="67" t="n">
        <v>0</v>
      </c>
      <c r="X140" s="67" t="n">
        <v>0</v>
      </c>
      <c r="Y140" s="67" t="n">
        <v>0</v>
      </c>
      <c r="Z140" s="67" t="n">
        <v>0</v>
      </c>
      <c r="AA140" s="67" t="n">
        <v>0</v>
      </c>
      <c r="AB140" s="67" t="n">
        <v>0</v>
      </c>
      <c r="AC140" s="67" t="n">
        <v>0</v>
      </c>
      <c r="AD140" s="67" t="n"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0</v>
      </c>
      <c r="Q141" s="67" t="n">
        <v>0</v>
      </c>
      <c r="R141" s="67" t="n">
        <v>0</v>
      </c>
      <c r="S141" s="67" t="n">
        <v>0</v>
      </c>
      <c r="T141" s="67" t="n">
        <v>0</v>
      </c>
      <c r="U141" s="67" t="n">
        <v>0</v>
      </c>
      <c r="V141" s="67" t="n">
        <v>0</v>
      </c>
      <c r="W141" s="67" t="n">
        <v>0</v>
      </c>
      <c r="X141" s="67" t="n">
        <v>0</v>
      </c>
      <c r="Y141" s="67" t="n">
        <v>0</v>
      </c>
      <c r="Z141" s="67" t="n">
        <v>0</v>
      </c>
      <c r="AA141" s="67" t="n">
        <v>0</v>
      </c>
      <c r="AB141" s="67" t="n">
        <v>0</v>
      </c>
      <c r="AC141" s="67" t="n">
        <v>0</v>
      </c>
      <c r="AD141" s="67" t="n"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93" t="n">
        <v>0</v>
      </c>
      <c r="P145" s="33" t="n"/>
      <c r="Q145" s="33" t="n"/>
      <c r="R145" s="33" t="n"/>
      <c r="S145" s="93" t="n">
        <v>0</v>
      </c>
      <c r="T145" s="33" t="n"/>
      <c r="U145" s="33" t="n"/>
      <c r="V145" s="33" t="n"/>
      <c r="W145" s="93" t="n">
        <v>0</v>
      </c>
      <c r="X145" s="33" t="n"/>
      <c r="Y145" s="33" t="n"/>
      <c r="Z145" s="33" t="n"/>
      <c r="AA145" s="93" t="n">
        <v>0</v>
      </c>
      <c r="AB145" s="33" t="n"/>
      <c r="AC145" s="33" t="n"/>
      <c r="AD145" s="33" t="n"/>
    </row>
    <row r="146" ht="38.25" customHeight="1">
      <c r="A146" s="165" t="n">
        <v>0</v>
      </c>
      <c r="B146" s="165" t="n">
        <v>0</v>
      </c>
      <c r="C146" s="165" t="n">
        <v>0</v>
      </c>
      <c r="D146" s="165" t="n">
        <v>0</v>
      </c>
      <c r="E146" s="165" t="n">
        <v>0</v>
      </c>
      <c r="F146" s="165" t="n">
        <v>0</v>
      </c>
      <c r="G146" s="165" t="n">
        <v>0</v>
      </c>
      <c r="H146" s="165" t="n">
        <v>0</v>
      </c>
      <c r="I146" s="165" t="n">
        <v>0</v>
      </c>
      <c r="J146" s="165" t="n">
        <v>0</v>
      </c>
      <c r="K146" s="165" t="n">
        <v>0</v>
      </c>
      <c r="L146" s="165" t="n">
        <v>0</v>
      </c>
      <c r="M146" s="165" t="n"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65" t="n">
        <v>0</v>
      </c>
      <c r="P147" s="178" t="n"/>
      <c r="Q147" s="178" t="n"/>
      <c r="R147" s="179" t="n"/>
      <c r="S147" s="165" t="n">
        <v>0</v>
      </c>
      <c r="T147" s="178" t="n"/>
      <c r="U147" s="178" t="n"/>
      <c r="V147" s="179" t="n"/>
      <c r="W147" s="165" t="n">
        <v>0</v>
      </c>
      <c r="X147" s="178" t="n"/>
      <c r="Y147" s="178" t="n"/>
      <c r="Z147" s="179" t="n"/>
      <c r="AA147" s="8" t="n"/>
      <c r="AB147" s="8" t="inlineStr">
        <is>
          <t>0-4</t>
        </is>
      </c>
      <c r="AC147" s="9" t="inlineStr">
        <is>
          <t>5-14</t>
        </is>
      </c>
      <c r="AD147" s="40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9" t="n">
        <v>0</v>
      </c>
      <c r="AC148" s="9" t="n">
        <v>0</v>
      </c>
      <c r="AD148" s="9" t="n"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9" t="n">
        <v>0</v>
      </c>
      <c r="AC149" s="9" t="n">
        <v>0</v>
      </c>
      <c r="AD149" s="9" t="n"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9" t="n">
        <v>0</v>
      </c>
      <c r="AC150" s="9" t="n">
        <v>0</v>
      </c>
      <c r="AD150" s="9" t="n"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4.2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67" t="n">
        <v>0</v>
      </c>
      <c r="C156" s="67" t="n">
        <v>0</v>
      </c>
      <c r="D156" s="67" t="n">
        <v>0</v>
      </c>
      <c r="E156" s="67" t="n">
        <v>0</v>
      </c>
      <c r="F156" s="67" t="n">
        <v>0</v>
      </c>
      <c r="G156" s="67" t="n">
        <v>0</v>
      </c>
      <c r="H156" s="67" t="n">
        <v>0</v>
      </c>
      <c r="I156" s="67" t="n">
        <v>0</v>
      </c>
      <c r="J156" s="67" t="n">
        <v>0</v>
      </c>
      <c r="K156" s="67" t="n">
        <v>0</v>
      </c>
      <c r="L156" s="67" t="n">
        <v>0</v>
      </c>
      <c r="M156" s="67" t="n"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67" t="n">
        <v>0</v>
      </c>
      <c r="C157" s="67" t="n">
        <v>0</v>
      </c>
      <c r="D157" s="67" t="n">
        <v>0</v>
      </c>
      <c r="E157" s="67" t="n">
        <v>0</v>
      </c>
      <c r="F157" s="67" t="n">
        <v>0</v>
      </c>
      <c r="G157" s="67" t="n">
        <v>0</v>
      </c>
      <c r="H157" s="67" t="n">
        <v>0</v>
      </c>
      <c r="I157" s="67" t="n">
        <v>0</v>
      </c>
      <c r="J157" s="67" t="n">
        <v>0</v>
      </c>
      <c r="K157" s="67" t="n">
        <v>0</v>
      </c>
      <c r="L157" s="67" t="n">
        <v>0</v>
      </c>
      <c r="M157" s="67" t="n"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67" t="n">
        <v>0</v>
      </c>
      <c r="Z157" s="67" t="n">
        <v>0</v>
      </c>
      <c r="AA157" s="67" t="n">
        <v>0</v>
      </c>
      <c r="AB157" s="67" t="n">
        <v>0</v>
      </c>
      <c r="AC157" s="67" t="n">
        <v>0</v>
      </c>
      <c r="AD157" s="67" t="n">
        <v>0</v>
      </c>
    </row>
    <row r="158" ht="24.9" customHeight="1">
      <c r="A158" s="165" t="inlineStr">
        <is>
          <t>Previously treated</t>
        </is>
      </c>
      <c r="B158" s="67" t="n">
        <v>0</v>
      </c>
      <c r="C158" s="67" t="n">
        <v>0</v>
      </c>
      <c r="D158" s="67" t="n">
        <v>0</v>
      </c>
      <c r="E158" s="67" t="n">
        <v>0</v>
      </c>
      <c r="F158" s="67" t="n">
        <v>0</v>
      </c>
      <c r="G158" s="67" t="n">
        <v>0</v>
      </c>
      <c r="H158" s="67" t="n">
        <v>0</v>
      </c>
      <c r="I158" s="67" t="n">
        <v>0</v>
      </c>
      <c r="J158" s="67" t="n">
        <v>0</v>
      </c>
      <c r="K158" s="67" t="n">
        <v>0</v>
      </c>
      <c r="L158" s="67" t="n">
        <v>0</v>
      </c>
      <c r="M158" s="67" t="n">
        <v>0</v>
      </c>
      <c r="N158" s="51" t="n"/>
      <c r="O158" s="67" t="n">
        <v>0</v>
      </c>
      <c r="P158" s="67" t="n">
        <v>0</v>
      </c>
      <c r="Q158" s="67" t="n">
        <v>0</v>
      </c>
      <c r="R158" s="67" t="n">
        <v>0</v>
      </c>
      <c r="S158" s="67" t="n">
        <v>0</v>
      </c>
      <c r="T158" s="67" t="n">
        <v>0</v>
      </c>
      <c r="U158" s="67" t="n">
        <v>0</v>
      </c>
      <c r="V158" s="67" t="n">
        <v>0</v>
      </c>
      <c r="W158" s="67" t="n">
        <v>0</v>
      </c>
      <c r="X158" s="17" t="inlineStr">
        <is>
          <t>3HR</t>
        </is>
      </c>
      <c r="Y158" s="67" t="n">
        <v>0</v>
      </c>
      <c r="Z158" s="67" t="n">
        <v>0</v>
      </c>
      <c r="AA158" s="67" t="n">
        <v>0</v>
      </c>
      <c r="AB158" s="67" t="n">
        <v>0</v>
      </c>
      <c r="AC158" s="67" t="n">
        <v>0</v>
      </c>
      <c r="AD158" s="67" t="n">
        <v>0</v>
      </c>
    </row>
    <row r="159" ht="24.9" customHeight="1">
      <c r="A159" s="67" t="inlineStr">
        <is>
          <t>Total</t>
        </is>
      </c>
      <c r="B159" s="67" t="n">
        <v>0</v>
      </c>
      <c r="C159" s="67" t="n">
        <v>0</v>
      </c>
      <c r="D159" s="67" t="n">
        <v>0</v>
      </c>
      <c r="E159" s="67" t="n">
        <v>0</v>
      </c>
      <c r="F159" s="67" t="n">
        <v>0</v>
      </c>
      <c r="G159" s="67" t="n">
        <v>0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0</v>
      </c>
      <c r="M159" s="67" t="n"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67" t="n">
        <v>0</v>
      </c>
      <c r="Z159" s="67" t="n">
        <v>0</v>
      </c>
      <c r="AA159" s="67" t="n">
        <v>0</v>
      </c>
      <c r="AB159" s="67" t="n">
        <v>0</v>
      </c>
      <c r="AC159" s="67" t="n">
        <v>0</v>
      </c>
      <c r="AD159" s="67" t="n"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74" t="inlineStr">
        <is>
          <t>Consolidated</t>
        </is>
      </c>
      <c r="I161" s="136" t="inlineStr">
        <is>
          <t xml:space="preserve">District : </t>
        </is>
      </c>
      <c r="K161" s="137" t="n">
        <v>0</v>
      </c>
      <c r="M161" s="136" t="inlineStr">
        <is>
          <t>Central :</t>
        </is>
      </c>
      <c r="O161" s="136" t="inlineStr">
        <is>
          <t>Khyber Pakhtunkhwa</t>
        </is>
      </c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 t="inlineStr">
        <is>
          <t>of Year 2026</t>
        </is>
      </c>
    </row>
    <row r="162" ht="15" customHeight="1"/>
    <row r="163" ht="15.6" customHeight="1">
      <c r="A163" s="99" t="inlineStr">
        <is>
          <t>Name of TB Coodinator/Facility incharge  :</t>
        </is>
      </c>
      <c r="I163" s="100" t="inlineStr">
        <is>
          <t>___________________________________________________</t>
        </is>
      </c>
      <c r="P163" s="21" t="n"/>
      <c r="Q163" s="21" t="n"/>
      <c r="U163" s="101" t="inlineStr">
        <is>
          <t>Date of completion of this form :</t>
        </is>
      </c>
      <c r="AA163" s="102" t="inlineStr">
        <is>
          <t>_______________________</t>
        </is>
      </c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" customHeight="1">
      <c r="A165" s="177" t="inlineStr">
        <is>
          <t xml:space="preserve">Block 1: </t>
        </is>
      </c>
      <c r="B165" s="178" t="n"/>
      <c r="C165" s="178" t="n"/>
      <c r="D165" s="178" t="n"/>
      <c r="E165" s="178" t="n"/>
      <c r="F165" s="178" t="n"/>
      <c r="G165" s="178" t="n"/>
      <c r="H165" s="178" t="n"/>
      <c r="I165" s="178" t="n"/>
      <c r="J165" s="178" t="n"/>
      <c r="K165" s="179" t="n"/>
      <c r="L165" s="67" t="inlineStr">
        <is>
          <t>New (N)</t>
        </is>
      </c>
      <c r="M165" s="179" t="n"/>
      <c r="N165" s="67" t="inlineStr">
        <is>
          <t>Relapse ®</t>
        </is>
      </c>
      <c r="O165" s="179" t="n"/>
      <c r="P165" s="165" t="inlineStr">
        <is>
          <t>Previous Treatment History Unknown
(UK)</t>
        </is>
      </c>
      <c r="Q165" s="178" t="n"/>
      <c r="R165" s="179" t="n"/>
      <c r="S165" s="165" t="inlineStr">
        <is>
          <t>New episode
(N+R+UK)</t>
        </is>
      </c>
      <c r="T165" s="178" t="n"/>
      <c r="U165" s="179" t="n"/>
      <c r="V165" s="67" t="inlineStr">
        <is>
          <t>Re - registered Cases ( Excluding Recurrent cases)</t>
        </is>
      </c>
      <c r="W165" s="33" t="n"/>
      <c r="X165" s="33" t="n"/>
      <c r="Y165" s="33" t="n"/>
      <c r="Z165" s="33" t="n"/>
      <c r="AA165" s="33" t="n"/>
      <c r="AB165" s="45" t="n"/>
      <c r="AC165" s="67" t="inlineStr">
        <is>
          <t>Total</t>
        </is>
      </c>
      <c r="AD165" s="179" t="n"/>
    </row>
    <row r="166" ht="23.25" customHeight="1">
      <c r="A166" s="180" t="inlineStr">
        <is>
          <t>All TB Cases Registered</t>
        </is>
      </c>
      <c r="K166" s="181" t="n"/>
      <c r="L166" s="182" t="n"/>
      <c r="M166" s="181" t="n"/>
      <c r="N166" s="182" t="n"/>
      <c r="O166" s="181" t="n"/>
      <c r="P166" s="182" t="n"/>
      <c r="R166" s="181" t="n"/>
      <c r="S166" s="182" t="n"/>
      <c r="U166" s="181" t="n"/>
      <c r="V166" s="165" t="inlineStr">
        <is>
          <t>Treatment after failure</t>
        </is>
      </c>
      <c r="W166" s="178" t="n"/>
      <c r="X166" s="179" t="n"/>
      <c r="Y166" s="165" t="inlineStr">
        <is>
          <t>Treatment after lost to follow-up</t>
        </is>
      </c>
      <c r="Z166" s="179" t="n"/>
      <c r="AA166" s="165" t="inlineStr">
        <is>
          <t>Other</t>
        </is>
      </c>
      <c r="AB166" s="179" t="n"/>
      <c r="AC166" s="182" t="n"/>
      <c r="AD166" s="181" t="n"/>
    </row>
    <row r="167">
      <c r="A167" s="183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184" t="n"/>
      <c r="L167" s="183" t="n"/>
      <c r="M167" s="184" t="n"/>
      <c r="N167" s="183" t="n"/>
      <c r="O167" s="184" t="n"/>
      <c r="P167" s="183" t="n"/>
      <c r="Q167" s="22" t="n"/>
      <c r="R167" s="184" t="n"/>
      <c r="S167" s="183" t="n"/>
      <c r="T167" s="22" t="n"/>
      <c r="U167" s="184" t="n"/>
      <c r="V167" s="183" t="n"/>
      <c r="W167" s="22" t="n"/>
      <c r="X167" s="184" t="n"/>
      <c r="Y167" s="183" t="n"/>
      <c r="Z167" s="184" t="n"/>
      <c r="AA167" s="183" t="n"/>
      <c r="AB167" s="184" t="n"/>
      <c r="AC167" s="183" t="n"/>
      <c r="AD167" s="184" t="n"/>
    </row>
    <row r="168" ht="24.9" customHeight="1">
      <c r="A168" s="185" t="inlineStr">
        <is>
          <t>Pulmonary, Bacteriologically Confermid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67" t="n">
        <v>54</v>
      </c>
      <c r="M168" s="45" t="n"/>
      <c r="N168" s="67" t="n">
        <v>2</v>
      </c>
      <c r="O168" s="45" t="n"/>
      <c r="P168" s="26" t="n">
        <v>0</v>
      </c>
      <c r="Q168" s="33" t="n"/>
      <c r="R168" s="45" t="n"/>
      <c r="S168" s="67" t="n">
        <v>56</v>
      </c>
      <c r="T168" s="33" t="n"/>
      <c r="U168" s="45" t="n"/>
      <c r="V168" s="26" t="n">
        <v>0</v>
      </c>
      <c r="W168" s="33" t="n"/>
      <c r="X168" s="45" t="n"/>
      <c r="Y168" s="67" t="n">
        <v>0</v>
      </c>
      <c r="Z168" s="45" t="n"/>
      <c r="AA168" s="67" t="n">
        <v>0</v>
      </c>
      <c r="AB168" s="45" t="n"/>
      <c r="AC168" s="67" t="n">
        <v>56</v>
      </c>
      <c r="AD168" s="45" t="n"/>
    </row>
    <row r="169" ht="24.9" customHeight="1">
      <c r="A169" s="185" t="inlineStr">
        <is>
          <t>Pulmonary , Clinically Diagnosed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67" t="n">
        <v>47</v>
      </c>
      <c r="M169" s="45" t="n"/>
      <c r="N169" s="67" t="n">
        <v>0</v>
      </c>
      <c r="O169" s="45" t="n"/>
      <c r="P169" s="26" t="n">
        <v>0</v>
      </c>
      <c r="Q169" s="33" t="n"/>
      <c r="R169" s="45" t="n"/>
      <c r="S169" s="67" t="n">
        <v>47</v>
      </c>
      <c r="T169" s="33" t="n"/>
      <c r="U169" s="45" t="n"/>
      <c r="V169" s="26" t="n">
        <v>0</v>
      </c>
      <c r="W169" s="33" t="n"/>
      <c r="X169" s="45" t="n"/>
      <c r="Y169" s="67" t="n">
        <v>0</v>
      </c>
      <c r="Z169" s="45" t="n"/>
      <c r="AA169" s="67" t="n">
        <v>0</v>
      </c>
      <c r="AB169" s="45" t="n"/>
      <c r="AC169" s="67" t="n">
        <v>47</v>
      </c>
      <c r="AD169" s="45" t="n"/>
    </row>
    <row r="170" ht="24.9" customHeight="1">
      <c r="A170" s="185" t="inlineStr">
        <is>
          <t>Extra Pulmonary, Bacteriologically Confermid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67" t="n">
        <v>0</v>
      </c>
      <c r="M170" s="45" t="n"/>
      <c r="N170" s="67" t="n">
        <v>0</v>
      </c>
      <c r="O170" s="45" t="n"/>
      <c r="P170" s="26" t="n">
        <v>0</v>
      </c>
      <c r="Q170" s="33" t="n"/>
      <c r="R170" s="45" t="n"/>
      <c r="S170" s="67" t="n">
        <v>0</v>
      </c>
      <c r="T170" s="33" t="n"/>
      <c r="U170" s="45" t="n"/>
      <c r="V170" s="26" t="n">
        <v>0</v>
      </c>
      <c r="W170" s="33" t="n"/>
      <c r="X170" s="45" t="n"/>
      <c r="Y170" s="67" t="n">
        <v>0</v>
      </c>
      <c r="Z170" s="45" t="n"/>
      <c r="AA170" s="67" t="n">
        <v>0</v>
      </c>
      <c r="AB170" s="45" t="n"/>
      <c r="AC170" s="67" t="n">
        <v>0</v>
      </c>
      <c r="AD170" s="45" t="n"/>
    </row>
    <row r="171" ht="24.9" customHeight="1">
      <c r="A171" s="185" t="inlineStr">
        <is>
          <t>Extra Pulmonary , Clinically Diagnosed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67" t="n">
        <v>89</v>
      </c>
      <c r="M171" s="45" t="n"/>
      <c r="N171" s="67" t="n">
        <v>1</v>
      </c>
      <c r="O171" s="45" t="n"/>
      <c r="P171" s="26" t="n">
        <v>0</v>
      </c>
      <c r="Q171" s="33" t="n"/>
      <c r="R171" s="45" t="n"/>
      <c r="S171" s="67" t="n">
        <v>90</v>
      </c>
      <c r="T171" s="33" t="n"/>
      <c r="U171" s="45" t="n"/>
      <c r="V171" s="26" t="n">
        <v>0</v>
      </c>
      <c r="W171" s="33" t="n"/>
      <c r="X171" s="45" t="n"/>
      <c r="Y171" s="67" t="n">
        <v>0</v>
      </c>
      <c r="Z171" s="45" t="n"/>
      <c r="AA171" s="67" t="n">
        <v>0</v>
      </c>
      <c r="AB171" s="45" t="n"/>
      <c r="AC171" s="67" t="n">
        <v>90</v>
      </c>
      <c r="AD171" s="45" t="n"/>
    </row>
    <row r="172" ht="24.9" customHeight="1">
      <c r="A172" s="185" t="inlineStr">
        <is>
          <t>Total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45" t="n"/>
      <c r="L172" s="67" t="n">
        <v>190</v>
      </c>
      <c r="M172" s="45" t="n"/>
      <c r="N172" s="67" t="n">
        <v>3</v>
      </c>
      <c r="O172" s="45" t="n"/>
      <c r="P172" s="67" t="n">
        <v>0</v>
      </c>
      <c r="Q172" s="33" t="n"/>
      <c r="R172" s="45" t="n"/>
      <c r="S172" s="67" t="n">
        <v>193</v>
      </c>
      <c r="T172" s="33" t="n"/>
      <c r="U172" s="45" t="n"/>
      <c r="V172" s="67" t="n">
        <v>0</v>
      </c>
      <c r="W172" s="33" t="n"/>
      <c r="X172" s="45" t="n"/>
      <c r="Y172" s="67" t="n">
        <v>0</v>
      </c>
      <c r="Z172" s="45" t="n"/>
      <c r="AA172" s="67" t="n">
        <v>0</v>
      </c>
      <c r="AB172" s="45" t="n"/>
      <c r="AC172" s="67" t="n">
        <v>193</v>
      </c>
      <c r="AD172" s="45" t="n"/>
    </row>
    <row r="173" ht="15.6" customHeight="1">
      <c r="A173" s="23" t="inlineStr">
        <is>
          <t>Block 2: All New, Relapse and previous treatment history unknown Cases registered during the period by Age Group and Gender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5" t="n"/>
    </row>
    <row r="174" ht="21.75" customHeight="1">
      <c r="A174" s="186" t="n"/>
      <c r="B174" s="178" t="n"/>
      <c r="C174" s="178" t="n"/>
      <c r="D174" s="178" t="n"/>
      <c r="E174" s="178" t="n"/>
      <c r="F174" s="178" t="n"/>
      <c r="G174" s="178" t="n"/>
      <c r="H174" s="178" t="n"/>
      <c r="I174" s="178" t="n"/>
      <c r="J174" s="178" t="n"/>
      <c r="K174" s="179" t="n"/>
      <c r="L174" s="67" t="inlineStr">
        <is>
          <t>0-4</t>
        </is>
      </c>
      <c r="M174" s="45" t="n"/>
      <c r="N174" s="187" t="inlineStr">
        <is>
          <t>5-14</t>
        </is>
      </c>
      <c r="O174" s="45" t="n"/>
      <c r="P174" s="188" t="inlineStr">
        <is>
          <t>15-24</t>
        </is>
      </c>
      <c r="Q174" s="45" t="n"/>
      <c r="R174" s="188" t="inlineStr">
        <is>
          <t>25-34</t>
        </is>
      </c>
      <c r="S174" s="45" t="n"/>
      <c r="T174" s="188" t="inlineStr">
        <is>
          <t>35-44</t>
        </is>
      </c>
      <c r="U174" s="45" t="n"/>
      <c r="V174" s="188" t="inlineStr">
        <is>
          <t>45-54</t>
        </is>
      </c>
      <c r="W174" s="45" t="n"/>
      <c r="X174" s="188" t="inlineStr">
        <is>
          <t>55-64</t>
        </is>
      </c>
      <c r="Y174" s="45" t="n"/>
      <c r="Z174" s="188" t="inlineStr">
        <is>
          <t>65 &amp; Above</t>
        </is>
      </c>
      <c r="AA174" s="45" t="n"/>
      <c r="AB174" s="188" t="inlineStr">
        <is>
          <t>Total</t>
        </is>
      </c>
      <c r="AC174" s="45" t="n"/>
      <c r="AD174" s="189" t="inlineStr">
        <is>
          <t>Grand
Total</t>
        </is>
      </c>
    </row>
    <row r="175">
      <c r="A175" s="183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184" t="n"/>
      <c r="L175" s="67" t="inlineStr">
        <is>
          <t>M</t>
        </is>
      </c>
      <c r="M175" s="67" t="inlineStr">
        <is>
          <t>F</t>
        </is>
      </c>
      <c r="N175" s="67" t="inlineStr">
        <is>
          <t>M</t>
        </is>
      </c>
      <c r="O175" s="67" t="inlineStr">
        <is>
          <t>F</t>
        </is>
      </c>
      <c r="P175" s="67" t="inlineStr">
        <is>
          <t>M</t>
        </is>
      </c>
      <c r="Q175" s="67" t="inlineStr">
        <is>
          <t>F</t>
        </is>
      </c>
      <c r="R175" s="67" t="inlineStr">
        <is>
          <t>M</t>
        </is>
      </c>
      <c r="S175" s="67" t="inlineStr">
        <is>
          <t>F</t>
        </is>
      </c>
      <c r="T175" s="67" t="inlineStr">
        <is>
          <t>M</t>
        </is>
      </c>
      <c r="U175" s="67" t="inlineStr">
        <is>
          <t>F</t>
        </is>
      </c>
      <c r="V175" s="67" t="inlineStr">
        <is>
          <t>M</t>
        </is>
      </c>
      <c r="W175" s="67" t="inlineStr">
        <is>
          <t>F</t>
        </is>
      </c>
      <c r="X175" s="67" t="inlineStr">
        <is>
          <t>M</t>
        </is>
      </c>
      <c r="Y175" s="67" t="inlineStr">
        <is>
          <t>F</t>
        </is>
      </c>
      <c r="Z175" s="67" t="inlineStr">
        <is>
          <t>M</t>
        </is>
      </c>
      <c r="AA175" s="67" t="inlineStr">
        <is>
          <t>F</t>
        </is>
      </c>
      <c r="AB175" s="67" t="inlineStr">
        <is>
          <t>M</t>
        </is>
      </c>
      <c r="AC175" s="67" t="inlineStr">
        <is>
          <t>F</t>
        </is>
      </c>
      <c r="AD175" s="190" t="n"/>
    </row>
    <row r="176" ht="18" customHeight="1">
      <c r="A176" s="185" t="inlineStr">
        <is>
          <t>Pulmonary, Bacteriologically Confermid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67" t="n">
        <v>0</v>
      </c>
      <c r="M176" s="67" t="n">
        <v>0</v>
      </c>
      <c r="N176" s="67" t="n">
        <v>2</v>
      </c>
      <c r="O176" s="67" t="n">
        <v>1</v>
      </c>
      <c r="P176" s="67" t="n">
        <v>2</v>
      </c>
      <c r="Q176" s="67" t="n">
        <v>10</v>
      </c>
      <c r="R176" s="67" t="n">
        <v>3</v>
      </c>
      <c r="S176" s="67" t="n">
        <v>2</v>
      </c>
      <c r="T176" s="67" t="n">
        <v>4</v>
      </c>
      <c r="U176" s="67" t="n">
        <v>2</v>
      </c>
      <c r="V176" s="67" t="n">
        <v>3</v>
      </c>
      <c r="W176" s="67" t="n">
        <v>7</v>
      </c>
      <c r="X176" s="67" t="n">
        <v>6</v>
      </c>
      <c r="Y176" s="67" t="n">
        <v>3</v>
      </c>
      <c r="Z176" s="67" t="n">
        <v>5</v>
      </c>
      <c r="AA176" s="67" t="n">
        <v>6</v>
      </c>
      <c r="AB176" s="67" t="n">
        <v>25</v>
      </c>
      <c r="AC176" s="67" t="n">
        <v>31</v>
      </c>
      <c r="AD176" s="67" t="n">
        <v>56</v>
      </c>
    </row>
    <row r="177" ht="18" customHeight="1">
      <c r="A177" s="185" t="inlineStr">
        <is>
          <t>Pulmonary , Clinically Diagnosed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67" t="n">
        <v>0</v>
      </c>
      <c r="M177" s="67" t="n">
        <v>0</v>
      </c>
      <c r="N177" s="67" t="n">
        <v>1</v>
      </c>
      <c r="O177" s="67" t="n">
        <v>3</v>
      </c>
      <c r="P177" s="67" t="n">
        <v>7</v>
      </c>
      <c r="Q177" s="67" t="n">
        <v>5</v>
      </c>
      <c r="R177" s="67" t="n">
        <v>7</v>
      </c>
      <c r="S177" s="67" t="n">
        <v>5</v>
      </c>
      <c r="T177" s="67" t="n">
        <v>4</v>
      </c>
      <c r="U177" s="67" t="n">
        <v>1</v>
      </c>
      <c r="V177" s="67" t="n">
        <v>2</v>
      </c>
      <c r="W177" s="67" t="n">
        <v>4</v>
      </c>
      <c r="X177" s="67" t="n">
        <v>3</v>
      </c>
      <c r="Y177" s="67" t="n">
        <v>2</v>
      </c>
      <c r="Z177" s="67" t="n">
        <v>2</v>
      </c>
      <c r="AA177" s="67" t="n">
        <v>1</v>
      </c>
      <c r="AB177" s="67" t="n">
        <v>26</v>
      </c>
      <c r="AC177" s="67" t="n">
        <v>21</v>
      </c>
      <c r="AD177" s="67" t="n">
        <v>47</v>
      </c>
    </row>
    <row r="178" ht="18" customHeight="1">
      <c r="A178" s="185" t="inlineStr">
        <is>
          <t>Extra Pulmonary, Bacteriologically Confermid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67" t="n">
        <v>0</v>
      </c>
      <c r="M178" s="67" t="n">
        <v>0</v>
      </c>
      <c r="N178" s="67" t="n">
        <v>0</v>
      </c>
      <c r="O178" s="67" t="n">
        <v>0</v>
      </c>
      <c r="P178" s="67" t="n">
        <v>0</v>
      </c>
      <c r="Q178" s="67" t="n">
        <v>0</v>
      </c>
      <c r="R178" s="67" t="n">
        <v>0</v>
      </c>
      <c r="S178" s="67" t="n">
        <v>0</v>
      </c>
      <c r="T178" s="67" t="n">
        <v>0</v>
      </c>
      <c r="U178" s="67" t="n">
        <v>0</v>
      </c>
      <c r="V178" s="67" t="n">
        <v>0</v>
      </c>
      <c r="W178" s="67" t="n">
        <v>0</v>
      </c>
      <c r="X178" s="67" t="n">
        <v>0</v>
      </c>
      <c r="Y178" s="67" t="n">
        <v>0</v>
      </c>
      <c r="Z178" s="67" t="n">
        <v>0</v>
      </c>
      <c r="AA178" s="67" t="n">
        <v>0</v>
      </c>
      <c r="AB178" s="67" t="n">
        <v>0</v>
      </c>
      <c r="AC178" s="67" t="n">
        <v>0</v>
      </c>
      <c r="AD178" s="67" t="n">
        <v>0</v>
      </c>
    </row>
    <row r="179" ht="18" customHeight="1">
      <c r="A179" s="185" t="inlineStr">
        <is>
          <t>Extra Pulmonary , Clinically Diagnosed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67" t="n">
        <v>2</v>
      </c>
      <c r="M179" s="67" t="n">
        <v>1</v>
      </c>
      <c r="N179" s="67" t="n">
        <v>11</v>
      </c>
      <c r="O179" s="67" t="n">
        <v>10</v>
      </c>
      <c r="P179" s="67" t="n">
        <v>9</v>
      </c>
      <c r="Q179" s="67" t="n">
        <v>8</v>
      </c>
      <c r="R179" s="67" t="n">
        <v>8</v>
      </c>
      <c r="S179" s="67" t="n">
        <v>6</v>
      </c>
      <c r="T179" s="67" t="n">
        <v>6</v>
      </c>
      <c r="U179" s="67" t="n">
        <v>3</v>
      </c>
      <c r="V179" s="67" t="n">
        <v>12</v>
      </c>
      <c r="W179" s="67" t="n">
        <v>2</v>
      </c>
      <c r="X179" s="67" t="n">
        <v>5</v>
      </c>
      <c r="Y179" s="67" t="n">
        <v>3</v>
      </c>
      <c r="Z179" s="67" t="n">
        <v>2</v>
      </c>
      <c r="AA179" s="67" t="n">
        <v>2</v>
      </c>
      <c r="AB179" s="67" t="n">
        <v>55</v>
      </c>
      <c r="AC179" s="67" t="n">
        <v>35</v>
      </c>
      <c r="AD179" s="67" t="n">
        <v>90</v>
      </c>
    </row>
    <row r="180" ht="18" customHeight="1">
      <c r="A180" s="67" t="inlineStr">
        <is>
          <t>Total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45" t="n"/>
      <c r="L180" s="67" t="n">
        <v>2</v>
      </c>
      <c r="M180" s="67" t="n">
        <v>1</v>
      </c>
      <c r="N180" s="67" t="n">
        <v>14</v>
      </c>
      <c r="O180" s="67" t="n">
        <v>14</v>
      </c>
      <c r="P180" s="67" t="n">
        <v>18</v>
      </c>
      <c r="Q180" s="67" t="n">
        <v>23</v>
      </c>
      <c r="R180" s="67" t="n">
        <v>18</v>
      </c>
      <c r="S180" s="67" t="n">
        <v>13</v>
      </c>
      <c r="T180" s="67" t="n">
        <v>14</v>
      </c>
      <c r="U180" s="67" t="n">
        <v>6</v>
      </c>
      <c r="V180" s="67" t="n">
        <v>17</v>
      </c>
      <c r="W180" s="67" t="n">
        <v>13</v>
      </c>
      <c r="X180" s="67" t="n">
        <v>14</v>
      </c>
      <c r="Y180" s="67" t="n">
        <v>8</v>
      </c>
      <c r="Z180" s="67" t="n">
        <v>9</v>
      </c>
      <c r="AA180" s="67" t="n">
        <v>9</v>
      </c>
      <c r="AB180" s="67" t="n">
        <v>106</v>
      </c>
      <c r="AC180" s="67" t="n">
        <v>87</v>
      </c>
      <c r="AD180" s="67" t="n">
        <v>193</v>
      </c>
    </row>
    <row r="181" ht="6.75" customHeight="1">
      <c r="A181" s="27" t="n"/>
      <c r="B181" s="28" t="n"/>
      <c r="C181" s="28" t="n"/>
      <c r="D181" s="28" t="n"/>
      <c r="E181" s="28" t="n"/>
      <c r="F181" s="29" t="n"/>
      <c r="G181" s="29" t="n"/>
      <c r="H181" s="30" t="n"/>
      <c r="I181" s="30" t="n"/>
      <c r="J181" s="30" t="n"/>
      <c r="K181" s="30" t="n"/>
      <c r="L181" s="30" t="n"/>
      <c r="M181" s="30" t="n"/>
      <c r="N181" s="31" t="n"/>
      <c r="O181" s="30" t="n"/>
      <c r="P181" s="87" t="n"/>
      <c r="Q181" s="45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3" t="n"/>
    </row>
    <row r="182" ht="18" customHeight="1">
      <c r="A182" s="34" t="inlineStr">
        <is>
          <t>Block 3: Presumptive TB Cases Identified Laboratory Diagnosis and use of WRD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6" t="n"/>
      <c r="N182" s="37" t="n"/>
      <c r="O182" s="34" t="inlineStr">
        <is>
          <t>Block 4 :  TB HIV  Activities</t>
        </is>
      </c>
      <c r="P182" s="35" t="n"/>
      <c r="Q182" s="35" t="n"/>
      <c r="R182" s="35" t="n"/>
      <c r="S182" s="35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25" t="n"/>
    </row>
    <row r="183" ht="45" customHeight="1">
      <c r="A183" s="6" t="inlineStr">
        <is>
          <t>Total
New OPD in Quarter</t>
        </is>
      </c>
      <c r="B183" s="88" t="inlineStr">
        <is>
          <t>No. of presumptive TB cases identified</t>
        </is>
      </c>
      <c r="C183" s="179" t="n"/>
      <c r="D183" s="6" t="inlineStr">
        <is>
          <t>No. of Presumptive TB
Patients tested 
Using</t>
        </is>
      </c>
      <c r="E183" s="33" t="n"/>
      <c r="F183" s="33" t="n"/>
      <c r="G183" s="45" t="n"/>
      <c r="H183" s="6" t="inlineStr">
        <is>
          <t>Among Presumptive 
TB cases tested  number reported B+</t>
        </is>
      </c>
      <c r="I183" s="33" t="n"/>
      <c r="J183" s="33" t="n"/>
      <c r="K183" s="45" t="n"/>
      <c r="L183" s="6" t="inlineStr">
        <is>
          <t>Among all
registered
number of
B+ TB
Cases</t>
        </is>
      </c>
      <c r="M183" s="6" t="inlineStr">
        <is>
          <t>Amoung All
(N+R+UK)
number tested
by Gene Xpert</t>
        </is>
      </c>
      <c r="N183" s="5" t="n"/>
      <c r="O183" s="165" t="inlineStr">
        <is>
          <t>No. of TB patients
tested for HIV</t>
        </is>
      </c>
      <c r="P183" s="33" t="n"/>
      <c r="Q183" s="33" t="n"/>
      <c r="R183" s="45" t="n"/>
      <c r="S183" s="165" t="inlineStr">
        <is>
          <t>HIV Reactive</t>
        </is>
      </c>
      <c r="T183" s="33" t="n"/>
      <c r="U183" s="33" t="n"/>
      <c r="V183" s="45" t="n"/>
      <c r="W183" s="165" t="inlineStr">
        <is>
          <t>TB Patients confirmed
positive for HIV</t>
        </is>
      </c>
      <c r="X183" s="33" t="n"/>
      <c r="Y183" s="33" t="n"/>
      <c r="Z183" s="45" t="n"/>
      <c r="AA183" s="165" t="inlineStr">
        <is>
          <t>HIV positive TB Patients put on ART</t>
        </is>
      </c>
      <c r="AB183" s="33" t="n"/>
      <c r="AC183" s="33" t="n"/>
      <c r="AD183" s="45" t="n"/>
    </row>
    <row r="184" ht="48" customHeight="1">
      <c r="A184" s="190" t="n"/>
      <c r="B184" s="6" t="inlineStr">
        <is>
          <t>Total</t>
        </is>
      </c>
      <c r="C184" s="88" t="inlineStr">
        <is>
          <t>Through
Community
Referrals (LHWs)</t>
        </is>
      </c>
      <c r="D184" s="88" t="inlineStr">
        <is>
          <t>AFB</t>
        </is>
      </c>
      <c r="E184" s="88" t="inlineStr">
        <is>
          <t>Xp &amp;
AFB</t>
        </is>
      </c>
      <c r="F184" s="88" t="inlineStr">
        <is>
          <t>XP</t>
        </is>
      </c>
      <c r="G184" s="7" t="inlineStr">
        <is>
          <t>G.Tot</t>
        </is>
      </c>
      <c r="H184" s="7" t="inlineStr">
        <is>
          <t>AFB</t>
        </is>
      </c>
      <c r="I184" s="88" t="inlineStr">
        <is>
          <t>AFB +
Xpert</t>
        </is>
      </c>
      <c r="J184" s="7" t="inlineStr">
        <is>
          <t>Xpert</t>
        </is>
      </c>
      <c r="K184" s="7" t="inlineStr">
        <is>
          <t>G.Tot</t>
        </is>
      </c>
      <c r="L184" s="190" t="n"/>
      <c r="M184" s="190" t="n"/>
      <c r="N184" s="5" t="n"/>
      <c r="O184" s="93" t="n">
        <v>17</v>
      </c>
      <c r="P184" s="33" t="n"/>
      <c r="Q184" s="33" t="n"/>
      <c r="R184" s="33" t="n"/>
      <c r="S184" s="93" t="n">
        <v>0</v>
      </c>
      <c r="T184" s="33" t="n"/>
      <c r="U184" s="33" t="n"/>
      <c r="V184" s="33" t="n"/>
      <c r="W184" s="93" t="n">
        <v>0</v>
      </c>
      <c r="X184" s="33" t="n"/>
      <c r="Y184" s="33" t="n"/>
      <c r="Z184" s="33" t="n"/>
      <c r="AA184" s="93" t="n">
        <v>0</v>
      </c>
      <c r="AB184" s="33" t="n"/>
      <c r="AC184" s="33" t="n"/>
      <c r="AD184" s="33" t="n"/>
    </row>
    <row r="185" ht="38.25" customHeight="1">
      <c r="A185" s="193" t="n">
        <v>2205</v>
      </c>
      <c r="B185" s="193" t="n">
        <v>327</v>
      </c>
      <c r="C185" s="193" t="n">
        <v>15</v>
      </c>
      <c r="D185" s="193" t="n">
        <v>201</v>
      </c>
      <c r="E185" s="193" t="n">
        <v>120</v>
      </c>
      <c r="F185" s="193" t="n">
        <v>6</v>
      </c>
      <c r="G185" s="193" t="n">
        <v>327</v>
      </c>
      <c r="H185" s="193" t="n">
        <v>12</v>
      </c>
      <c r="I185" s="193" t="n">
        <v>82</v>
      </c>
      <c r="J185" s="193" t="n">
        <v>15</v>
      </c>
      <c r="K185" s="193" t="n">
        <v>109</v>
      </c>
      <c r="L185" s="193" t="n">
        <v>56</v>
      </c>
      <c r="M185" s="193" t="n">
        <v>80</v>
      </c>
      <c r="N185" s="5" t="n"/>
      <c r="O185" s="165" t="inlineStr">
        <is>
          <t xml:space="preserve">HIV patient tested for TB </t>
        </is>
      </c>
      <c r="P185" s="33" t="n"/>
      <c r="Q185" s="33" t="n"/>
      <c r="R185" s="45" t="n"/>
      <c r="S185" s="165" t="inlineStr">
        <is>
          <t>HIV patients 
diagnosed  for TB</t>
        </is>
      </c>
      <c r="T185" s="33" t="n"/>
      <c r="U185" s="33" t="n"/>
      <c r="V185" s="45" t="n"/>
      <c r="W185" s="165" t="inlineStr">
        <is>
          <t>TB HIV patients put on
 TB Tx</t>
        </is>
      </c>
      <c r="X185" s="33" t="n"/>
      <c r="Y185" s="33" t="n"/>
      <c r="Z185" s="45" t="n"/>
      <c r="AA185" s="165" t="inlineStr">
        <is>
          <t>HIV positive TB negative
patients on TPT</t>
        </is>
      </c>
      <c r="AB185" s="33" t="n"/>
      <c r="AC185" s="33" t="n"/>
      <c r="AD185" s="45" t="n"/>
    </row>
    <row r="186" ht="19.5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65" t="n">
        <v>0</v>
      </c>
      <c r="P186" s="178" t="n"/>
      <c r="Q186" s="178" t="n"/>
      <c r="R186" s="179" t="n"/>
      <c r="S186" s="165" t="n">
        <v>0</v>
      </c>
      <c r="T186" s="178" t="n"/>
      <c r="U186" s="178" t="n"/>
      <c r="V186" s="179" t="n"/>
      <c r="W186" s="165" t="n">
        <v>0</v>
      </c>
      <c r="X186" s="178" t="n"/>
      <c r="Y186" s="178" t="n"/>
      <c r="Z186" s="179" t="n"/>
      <c r="AA186" s="8" t="n"/>
      <c r="AB186" s="8" t="inlineStr">
        <is>
          <t>0-4</t>
        </is>
      </c>
      <c r="AC186" s="9" t="inlineStr">
        <is>
          <t>5-14</t>
        </is>
      </c>
      <c r="AD186" s="40" t="inlineStr">
        <is>
          <t>15 +</t>
        </is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6H</t>
        </is>
      </c>
      <c r="AB187" s="67" t="n">
        <v>0</v>
      </c>
      <c r="AC187" s="67" t="n">
        <v>0</v>
      </c>
      <c r="AD187" s="67" t="n">
        <v>0</v>
      </c>
    </row>
    <row r="188" ht="18" customHeight="1">
      <c r="A188" s="191" t="n"/>
      <c r="B188" s="191" t="n"/>
      <c r="C188" s="191" t="n"/>
      <c r="D188" s="191" t="n"/>
      <c r="E188" s="191" t="n"/>
      <c r="F188" s="191" t="n"/>
      <c r="G188" s="191" t="n"/>
      <c r="H188" s="191" t="n"/>
      <c r="I188" s="191" t="n"/>
      <c r="J188" s="191" t="n"/>
      <c r="K188" s="191" t="n"/>
      <c r="L188" s="191" t="n"/>
      <c r="M188" s="191" t="n"/>
      <c r="N188" s="39" t="n"/>
      <c r="O188" s="182" t="n"/>
      <c r="R188" s="181" t="n"/>
      <c r="S188" s="182" t="n"/>
      <c r="V188" s="181" t="n"/>
      <c r="W188" s="182" t="n"/>
      <c r="Z188" s="181" t="n"/>
      <c r="AA188" s="10" t="inlineStr">
        <is>
          <t>3HR</t>
        </is>
      </c>
      <c r="AB188" s="67" t="n">
        <v>0</v>
      </c>
      <c r="AC188" s="67" t="n">
        <v>0</v>
      </c>
      <c r="AD188" s="67" t="n">
        <v>0</v>
      </c>
    </row>
    <row r="189" ht="18" customHeight="1">
      <c r="A189" s="190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39" t="n"/>
      <c r="O189" s="183" t="n"/>
      <c r="P189" s="22" t="n"/>
      <c r="Q189" s="22" t="n"/>
      <c r="R189" s="184" t="n"/>
      <c r="S189" s="183" t="n"/>
      <c r="T189" s="22" t="n"/>
      <c r="U189" s="22" t="n"/>
      <c r="V189" s="184" t="n"/>
      <c r="W189" s="183" t="n"/>
      <c r="X189" s="22" t="n"/>
      <c r="Y189" s="22" t="n"/>
      <c r="Z189" s="184" t="n"/>
      <c r="AA189" s="10" t="inlineStr">
        <is>
          <t>3 HP</t>
        </is>
      </c>
      <c r="AB189" s="67" t="n">
        <v>0</v>
      </c>
      <c r="AC189" s="67" t="n">
        <v>0</v>
      </c>
      <c r="AD189" s="67" t="n">
        <v>0</v>
      </c>
    </row>
    <row r="190" ht="8.25" customHeight="1">
      <c r="A190" s="11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4" t="n"/>
      <c r="O190" s="43" t="n"/>
      <c r="P190" s="43" t="n"/>
      <c r="Q190" s="43" t="n"/>
      <c r="R190" s="43" t="n"/>
      <c r="S190" s="43" t="n"/>
      <c r="T190" s="43" t="n"/>
      <c r="U190" s="43" t="n"/>
      <c r="V190" s="12" t="n"/>
      <c r="W190" s="12" t="n"/>
      <c r="X190" s="12" t="n"/>
      <c r="Y190" s="12" t="n"/>
      <c r="Z190" s="12" t="n"/>
      <c r="AA190" s="12" t="n"/>
      <c r="AB190" s="43" t="n"/>
      <c r="AC190" s="43" t="n"/>
      <c r="AD190" s="45" t="n"/>
    </row>
    <row r="191" ht="18" customHeight="1">
      <c r="A191" s="34" t="inlineStr">
        <is>
          <t>Block 5 :  Bacteriologically Confermid TB Cases with DST Result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6" t="n"/>
      <c r="N191" s="46" t="n"/>
      <c r="O191" s="34" t="inlineStr">
        <is>
          <t>Block 6 :  Contact Tracing HH *</t>
        </is>
      </c>
      <c r="P191" s="36" t="n"/>
      <c r="Q191" s="35" t="n"/>
      <c r="R191" s="4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8" t="n"/>
      <c r="AC191" s="38" t="n"/>
      <c r="AD191" s="48" t="n"/>
    </row>
    <row r="192" ht="18" customHeight="1">
      <c r="A192" s="80" t="inlineStr">
        <is>
          <t>Sensitive =S
Resistance = R</t>
        </is>
      </c>
      <c r="B192" s="81" t="inlineStr">
        <is>
          <t>PTB</t>
        </is>
      </c>
      <c r="C192" s="33" t="n"/>
      <c r="D192" s="33" t="n"/>
      <c r="E192" s="33" t="n"/>
      <c r="F192" s="33" t="n"/>
      <c r="G192" s="45" t="n"/>
      <c r="H192" s="81" t="inlineStr">
        <is>
          <t>EPTB</t>
        </is>
      </c>
      <c r="I192" s="33" t="n"/>
      <c r="J192" s="33" t="n"/>
      <c r="K192" s="33" t="n"/>
      <c r="L192" s="33" t="n"/>
      <c r="M192" s="45" t="n"/>
      <c r="N192" s="49" t="n"/>
      <c r="O192" s="6" t="inlineStr">
        <is>
          <t>Total No. of HH
of B+ PTB</t>
        </is>
      </c>
      <c r="P192" s="178" t="n"/>
      <c r="Q192" s="179" t="n"/>
      <c r="R192" s="6" t="inlineStr">
        <is>
          <t>No. of HH contacts of
B+ PTB Cases
Screened</t>
        </is>
      </c>
      <c r="S192" s="178" t="n"/>
      <c r="T192" s="179" t="n"/>
      <c r="U192" s="6" t="inlineStr">
        <is>
          <t>No. of TB 
Cases diagnosed Amoung HH
contact
screened</t>
        </is>
      </c>
      <c r="V192" s="178" t="n"/>
      <c r="W192" s="179" t="n"/>
      <c r="X192" s="6" t="inlineStr">
        <is>
          <t>No. of HH Contacts 
Initiated on TPT</t>
        </is>
      </c>
      <c r="Y192" s="178" t="n"/>
      <c r="Z192" s="178" t="n"/>
      <c r="AA192" s="179" t="n"/>
      <c r="AB192" s="6" t="inlineStr">
        <is>
          <t>HIV negative 
Immuno - compromised on 
TPT</t>
        </is>
      </c>
      <c r="AC192" s="178" t="n"/>
      <c r="AD192" s="179" t="n"/>
    </row>
    <row r="193" ht="20.25" customHeight="1">
      <c r="A193" s="191" t="n"/>
      <c r="B193" s="67" t="inlineStr">
        <is>
          <t>Rifampicin</t>
        </is>
      </c>
      <c r="C193" s="45" t="n"/>
      <c r="D193" s="67" t="inlineStr">
        <is>
          <t>Isoniazid</t>
        </is>
      </c>
      <c r="E193" s="45" t="n"/>
      <c r="F193" s="67" t="inlineStr">
        <is>
          <t>Fluoroquninolone</t>
        </is>
      </c>
      <c r="G193" s="45" t="n"/>
      <c r="H193" s="67" t="inlineStr">
        <is>
          <t>Rifampicin</t>
        </is>
      </c>
      <c r="I193" s="45" t="n"/>
      <c r="J193" s="67" t="inlineStr">
        <is>
          <t>Isoniazid</t>
        </is>
      </c>
      <c r="K193" s="45" t="n"/>
      <c r="L193" s="67" t="inlineStr">
        <is>
          <t>Fluoroquninolone</t>
        </is>
      </c>
      <c r="M193" s="45" t="n"/>
      <c r="N193" s="50" t="n"/>
      <c r="O193" s="182" t="n"/>
      <c r="Q193" s="181" t="n"/>
      <c r="R193" s="182" t="n"/>
      <c r="T193" s="181" t="n"/>
      <c r="U193" s="182" t="n"/>
      <c r="W193" s="181" t="n"/>
      <c r="X193" s="182" t="n"/>
      <c r="AA193" s="181" t="n"/>
      <c r="AB193" s="182" t="n"/>
      <c r="AD193" s="181" t="n"/>
    </row>
    <row r="194" ht="16.5" customHeight="1">
      <c r="A194" s="190" t="n"/>
      <c r="B194" s="67" t="inlineStr">
        <is>
          <t>S</t>
        </is>
      </c>
      <c r="C194" s="67" t="inlineStr">
        <is>
          <t>R</t>
        </is>
      </c>
      <c r="D194" s="67" t="inlineStr">
        <is>
          <t>S</t>
        </is>
      </c>
      <c r="E194" s="67" t="inlineStr">
        <is>
          <t>R</t>
        </is>
      </c>
      <c r="F194" s="67" t="inlineStr">
        <is>
          <t>S</t>
        </is>
      </c>
      <c r="G194" s="67" t="inlineStr">
        <is>
          <t>R</t>
        </is>
      </c>
      <c r="H194" s="67" t="inlineStr">
        <is>
          <t>S</t>
        </is>
      </c>
      <c r="I194" s="67" t="inlineStr">
        <is>
          <t>R</t>
        </is>
      </c>
      <c r="J194" s="67" t="inlineStr">
        <is>
          <t>S</t>
        </is>
      </c>
      <c r="K194" s="67" t="inlineStr">
        <is>
          <t>R</t>
        </is>
      </c>
      <c r="L194" s="67" t="inlineStr">
        <is>
          <t>S</t>
        </is>
      </c>
      <c r="M194" s="67" t="inlineStr">
        <is>
          <t>R</t>
        </is>
      </c>
      <c r="N194" s="51" t="n"/>
      <c r="O194" s="182" t="n"/>
      <c r="Q194" s="181" t="n"/>
      <c r="R194" s="182" t="n"/>
      <c r="T194" s="181" t="n"/>
      <c r="U194" s="182" t="n"/>
      <c r="W194" s="181" t="n"/>
      <c r="X194" s="183" t="n"/>
      <c r="Y194" s="22" t="n"/>
      <c r="Z194" s="22" t="n"/>
      <c r="AA194" s="184" t="n"/>
      <c r="AB194" s="183" t="n"/>
      <c r="AC194" s="22" t="n"/>
      <c r="AD194" s="184" t="n"/>
    </row>
    <row r="195" ht="24.9" customHeight="1">
      <c r="A195" s="67" t="inlineStr">
        <is>
          <t>New + UK</t>
        </is>
      </c>
      <c r="B195" s="67" t="n">
        <v>41</v>
      </c>
      <c r="C195" s="67" t="n">
        <v>0</v>
      </c>
      <c r="D195" s="67" t="n">
        <v>0</v>
      </c>
      <c r="E195" s="67" t="n">
        <v>0</v>
      </c>
      <c r="F195" s="67" t="n">
        <v>0</v>
      </c>
      <c r="G195" s="67" t="n">
        <v>0</v>
      </c>
      <c r="H195" s="67" t="n">
        <v>0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0</v>
      </c>
      <c r="N195" s="51" t="n"/>
      <c r="O195" s="183" t="n"/>
      <c r="P195" s="22" t="n"/>
      <c r="Q195" s="184" t="n"/>
      <c r="R195" s="183" t="n"/>
      <c r="S195" s="22" t="n"/>
      <c r="T195" s="184" t="n"/>
      <c r="U195" s="183" t="n"/>
      <c r="V195" s="22" t="n"/>
      <c r="W195" s="184" t="n"/>
      <c r="X195" s="17" t="n"/>
      <c r="Y195" s="13" t="inlineStr">
        <is>
          <t>0-4</t>
        </is>
      </c>
      <c r="Z195" s="15" t="inlineStr">
        <is>
          <t>5-14</t>
        </is>
      </c>
      <c r="AA195" s="16" t="inlineStr">
        <is>
          <t>15+</t>
        </is>
      </c>
      <c r="AB195" s="13" t="inlineStr">
        <is>
          <t>0-4</t>
        </is>
      </c>
      <c r="AC195" s="15" t="inlineStr">
        <is>
          <t>5-14</t>
        </is>
      </c>
      <c r="AD195" s="16" t="inlineStr">
        <is>
          <t>15+</t>
        </is>
      </c>
    </row>
    <row r="196" ht="24.9" customHeight="1">
      <c r="A196" s="67" t="inlineStr">
        <is>
          <t>Relapse</t>
        </is>
      </c>
      <c r="B196" s="67" t="n">
        <v>2</v>
      </c>
      <c r="C196" s="67" t="n">
        <v>0</v>
      </c>
      <c r="D196" s="67" t="n">
        <v>0</v>
      </c>
      <c r="E196" s="67" t="n">
        <v>0</v>
      </c>
      <c r="F196" s="67" t="n">
        <v>0</v>
      </c>
      <c r="G196" s="67" t="n">
        <v>0</v>
      </c>
      <c r="H196" s="67" t="n">
        <v>0</v>
      </c>
      <c r="I196" s="67" t="n">
        <v>0</v>
      </c>
      <c r="J196" s="67" t="n">
        <v>0</v>
      </c>
      <c r="K196" s="67" t="n">
        <v>0</v>
      </c>
      <c r="L196" s="67" t="n">
        <v>0</v>
      </c>
      <c r="M196" s="67" t="n">
        <v>0</v>
      </c>
      <c r="N196" s="51" t="n"/>
      <c r="O196" s="7" t="inlineStr">
        <is>
          <t>0-4</t>
        </is>
      </c>
      <c r="P196" s="52" t="inlineStr">
        <is>
          <t>5-14</t>
        </is>
      </c>
      <c r="Q196" s="14" t="inlineStr">
        <is>
          <t>15 +</t>
        </is>
      </c>
      <c r="R196" s="13" t="inlineStr">
        <is>
          <t>0-4</t>
        </is>
      </c>
      <c r="S196" s="14" t="inlineStr">
        <is>
          <t>5-14</t>
        </is>
      </c>
      <c r="T196" s="14" t="inlineStr">
        <is>
          <t>15 +</t>
        </is>
      </c>
      <c r="U196" s="13" t="inlineStr">
        <is>
          <t>0-4</t>
        </is>
      </c>
      <c r="V196" s="14" t="inlineStr">
        <is>
          <t>5-14</t>
        </is>
      </c>
      <c r="W196" s="14" t="inlineStr">
        <is>
          <t>15 +</t>
        </is>
      </c>
      <c r="X196" s="17" t="inlineStr">
        <is>
          <t>6H</t>
        </is>
      </c>
      <c r="Y196" s="67" t="n">
        <v>0</v>
      </c>
      <c r="Z196" s="67" t="n">
        <v>0</v>
      </c>
      <c r="AA196" s="67" t="n">
        <v>0</v>
      </c>
      <c r="AB196" s="67" t="n">
        <v>0</v>
      </c>
      <c r="AC196" s="67" t="n">
        <v>0</v>
      </c>
      <c r="AD196" s="67" t="n">
        <v>0</v>
      </c>
    </row>
    <row r="197" ht="24.9" customHeight="1">
      <c r="A197" s="165" t="inlineStr">
        <is>
          <t>Previously treated</t>
        </is>
      </c>
      <c r="B197" s="67" t="n">
        <v>0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51" t="n"/>
      <c r="O197" s="67" t="n">
        <v>64</v>
      </c>
      <c r="P197" s="67" t="n">
        <v>215</v>
      </c>
      <c r="Q197" s="67" t="n">
        <v>431</v>
      </c>
      <c r="R197" s="67" t="n">
        <v>5</v>
      </c>
      <c r="S197" s="67" t="n">
        <v>47</v>
      </c>
      <c r="T197" s="67" t="n">
        <v>173</v>
      </c>
      <c r="U197" s="67" t="n">
        <v>0</v>
      </c>
      <c r="V197" s="67" t="n">
        <v>2</v>
      </c>
      <c r="W197" s="67" t="n">
        <v>42</v>
      </c>
      <c r="X197" s="17" t="inlineStr">
        <is>
          <t>3HR</t>
        </is>
      </c>
      <c r="Y197" s="67" t="n">
        <v>0</v>
      </c>
      <c r="Z197" s="67" t="n">
        <v>0</v>
      </c>
      <c r="AA197" s="67" t="n">
        <v>0</v>
      </c>
      <c r="AB197" s="67" t="n">
        <v>0</v>
      </c>
      <c r="AC197" s="67" t="n">
        <v>0</v>
      </c>
      <c r="AD197" s="67" t="n">
        <v>0</v>
      </c>
    </row>
    <row r="198" ht="24.9" customHeight="1">
      <c r="A198" s="67" t="inlineStr">
        <is>
          <t>Total</t>
        </is>
      </c>
      <c r="B198" s="67" t="n">
        <v>43</v>
      </c>
      <c r="C198" s="67" t="n">
        <v>0</v>
      </c>
      <c r="D198" s="67" t="n">
        <v>0</v>
      </c>
      <c r="E198" s="67" t="n">
        <v>0</v>
      </c>
      <c r="F198" s="67" t="n">
        <v>0</v>
      </c>
      <c r="G198" s="67" t="n">
        <v>0</v>
      </c>
      <c r="H198" s="67" t="n">
        <v>0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51" t="n"/>
      <c r="O198" s="190" t="n"/>
      <c r="P198" s="190" t="n"/>
      <c r="Q198" s="190" t="n"/>
      <c r="R198" s="190" t="n"/>
      <c r="S198" s="190" t="n"/>
      <c r="T198" s="190" t="n"/>
      <c r="U198" s="190" t="n"/>
      <c r="V198" s="190" t="n"/>
      <c r="W198" s="190" t="n"/>
      <c r="X198" s="53" t="inlineStr">
        <is>
          <t>3 HP</t>
        </is>
      </c>
      <c r="Y198" s="67" t="n">
        <v>0</v>
      </c>
      <c r="Z198" s="67" t="n">
        <v>0</v>
      </c>
      <c r="AA198" s="67" t="n">
        <v>0</v>
      </c>
      <c r="AB198" s="67" t="n">
        <v>0</v>
      </c>
      <c r="AC198" s="67" t="n">
        <v>0</v>
      </c>
      <c r="AD198" s="67" t="n">
        <v>0</v>
      </c>
    </row>
  </sheetData>
  <mergeCells count="727">
    <mergeCell ref="A176:K176"/>
    <mergeCell ref="S14:U14"/>
    <mergeCell ref="U158:U159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A44:D44"/>
    <mergeCell ref="R80:R81"/>
    <mergeCell ref="AC161:AD162"/>
    <mergeCell ref="T80:T81"/>
    <mergeCell ref="B68:B72"/>
    <mergeCell ref="S15:U15"/>
    <mergeCell ref="S144:V144"/>
    <mergeCell ref="AA106:AD106"/>
    <mergeCell ref="AD174:AD175"/>
    <mergeCell ref="V168:X168"/>
    <mergeCell ref="N169:O169"/>
    <mergeCell ref="S172:U172"/>
    <mergeCell ref="Y129:Z129"/>
    <mergeCell ref="AA105:AD105"/>
    <mergeCell ref="P165:R167"/>
    <mergeCell ref="I46:O46"/>
    <mergeCell ref="P12:R12"/>
    <mergeCell ref="V8:AB8"/>
    <mergeCell ref="R135:S135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D185:D189"/>
    <mergeCell ref="N168:O168"/>
    <mergeCell ref="S93:U93"/>
    <mergeCell ref="A82:X82"/>
    <mergeCell ref="P24:Q24"/>
    <mergeCell ref="O114:Q117"/>
    <mergeCell ref="AA11:AB11"/>
    <mergeCell ref="H154:I154"/>
    <mergeCell ref="AC11:AD11"/>
    <mergeCell ref="V94:X94"/>
    <mergeCell ref="J154:K154"/>
    <mergeCell ref="B154:C154"/>
    <mergeCell ref="S170:U170"/>
    <mergeCell ref="G146:G150"/>
    <mergeCell ref="AA92:AB92"/>
    <mergeCell ref="I146:I150"/>
    <mergeCell ref="R197:R198"/>
    <mergeCell ref="P90:R90"/>
    <mergeCell ref="L66:L67"/>
    <mergeCell ref="T197:T198"/>
    <mergeCell ref="A135:K136"/>
    <mergeCell ref="H105:K105"/>
    <mergeCell ref="A59:K59"/>
    <mergeCell ref="L57:M57"/>
    <mergeCell ref="D68:D72"/>
    <mergeCell ref="W67:Z67"/>
    <mergeCell ref="T40:T41"/>
    <mergeCell ref="A61:K61"/>
    <mergeCell ref="N171:O171"/>
    <mergeCell ref="V40:V41"/>
    <mergeCell ref="A124:H124"/>
    <mergeCell ref="L87:M89"/>
    <mergeCell ref="Z43:AA43"/>
    <mergeCell ref="Y169:Z169"/>
    <mergeCell ref="A114:A116"/>
    <mergeCell ref="O69:R72"/>
    <mergeCell ref="A160:X160"/>
    <mergeCell ref="F107:F111"/>
    <mergeCell ref="A90:K90"/>
    <mergeCell ref="O161:R161"/>
    <mergeCell ref="H107:H111"/>
    <mergeCell ref="N52:O52"/>
    <mergeCell ref="Z3:AA3"/>
    <mergeCell ref="U44:Y45"/>
    <mergeCell ref="U85:Z85"/>
    <mergeCell ref="S197:S198"/>
    <mergeCell ref="A129:K129"/>
    <mergeCell ref="M66:M67"/>
    <mergeCell ref="U197:U198"/>
    <mergeCell ref="V87:AB87"/>
    <mergeCell ref="V49:X50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AC172:AD172"/>
    <mergeCell ref="F185:F189"/>
    <mergeCell ref="B144:C144"/>
    <mergeCell ref="T57:U57"/>
    <mergeCell ref="Y53:Z53"/>
    <mergeCell ref="Y130:Z130"/>
    <mergeCell ref="O186:R189"/>
    <mergeCell ref="AA130:AB130"/>
    <mergeCell ref="O153:Q156"/>
    <mergeCell ref="Y55:Z55"/>
    <mergeCell ref="F28:F32"/>
    <mergeCell ref="H28:H32"/>
    <mergeCell ref="N96:O96"/>
    <mergeCell ref="U161:Y162"/>
    <mergeCell ref="P96:Q96"/>
    <mergeCell ref="X75:AA77"/>
    <mergeCell ref="H75:M75"/>
    <mergeCell ref="S184:V184"/>
    <mergeCell ref="S171:U171"/>
    <mergeCell ref="K44:L44"/>
    <mergeCell ref="V126:AB126"/>
    <mergeCell ref="M183:M184"/>
    <mergeCell ref="S92:U92"/>
    <mergeCell ref="R153:T156"/>
    <mergeCell ref="AC126:AD128"/>
    <mergeCell ref="AA28:AD28"/>
    <mergeCell ref="L26:L27"/>
    <mergeCell ref="C185:C189"/>
    <mergeCell ref="E185:E189"/>
    <mergeCell ref="P93:R93"/>
    <mergeCell ref="S94:U94"/>
    <mergeCell ref="G185:G189"/>
    <mergeCell ref="L129:M129"/>
    <mergeCell ref="Z17:AA17"/>
    <mergeCell ref="Z82:AA82"/>
    <mergeCell ref="AB57:AC57"/>
    <mergeCell ref="F146:F150"/>
    <mergeCell ref="Z161:AB162"/>
    <mergeCell ref="H146:H150"/>
    <mergeCell ref="L52:M52"/>
    <mergeCell ref="O4:R4"/>
    <mergeCell ref="B76:C76"/>
    <mergeCell ref="A192:A194"/>
    <mergeCell ref="W69:Z72"/>
    <mergeCell ref="U40:U41"/>
    <mergeCell ref="S8:U10"/>
    <mergeCell ref="W40:W41"/>
    <mergeCell ref="P130:R130"/>
    <mergeCell ref="Z44:AB45"/>
    <mergeCell ref="S131:U131"/>
    <mergeCell ref="Z160:AA160"/>
    <mergeCell ref="F193:G193"/>
    <mergeCell ref="H193:I193"/>
    <mergeCell ref="O29:R32"/>
    <mergeCell ref="L13:M13"/>
    <mergeCell ref="A66:A67"/>
    <mergeCell ref="Z135:AA135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172:M172"/>
    <mergeCell ref="L55:M55"/>
    <mergeCell ref="A9:K10"/>
    <mergeCell ref="S27:V27"/>
    <mergeCell ref="L171:M171"/>
    <mergeCell ref="K68:K72"/>
    <mergeCell ref="W186:Z189"/>
    <mergeCell ref="AA133:AB133"/>
    <mergeCell ref="L36:M36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AB192:AD194"/>
    <mergeCell ref="G28:G32"/>
    <mergeCell ref="H114:M114"/>
    <mergeCell ref="U163:Z163"/>
    <mergeCell ref="I28:I32"/>
    <mergeCell ref="AA124:AD124"/>
    <mergeCell ref="M161:N161"/>
    <mergeCell ref="AC122:AD123"/>
    <mergeCell ref="A122:D122"/>
    <mergeCell ref="L183:L184"/>
    <mergeCell ref="B115:C115"/>
    <mergeCell ref="AA13:AB13"/>
    <mergeCell ref="AC13:AD13"/>
    <mergeCell ref="L53:M53"/>
    <mergeCell ref="A161:D161"/>
    <mergeCell ref="N53:O53"/>
    <mergeCell ref="O185:R185"/>
    <mergeCell ref="A6:H6"/>
    <mergeCell ref="O106:R106"/>
    <mergeCell ref="L130:M130"/>
    <mergeCell ref="AA15:AB15"/>
    <mergeCell ref="N130:O130"/>
    <mergeCell ref="AC15:AD15"/>
    <mergeCell ref="H26:K26"/>
    <mergeCell ref="A172:K172"/>
    <mergeCell ref="O105:R105"/>
    <mergeCell ref="S87:U89"/>
    <mergeCell ref="A99:K99"/>
    <mergeCell ref="L132:M132"/>
    <mergeCell ref="V53:X53"/>
    <mergeCell ref="M68:M72"/>
    <mergeCell ref="O107:R107"/>
    <mergeCell ref="V48:AB48"/>
    <mergeCell ref="A101:K101"/>
    <mergeCell ref="P133:R133"/>
    <mergeCell ref="P54:R54"/>
    <mergeCell ref="I83:J83"/>
    <mergeCell ref="H35:M35"/>
    <mergeCell ref="M107:M111"/>
    <mergeCell ref="AA26:AD26"/>
    <mergeCell ref="H144:K144"/>
    <mergeCell ref="Z122:AB123"/>
    <mergeCell ref="AD17:AD18"/>
    <mergeCell ref="O183:R183"/>
    <mergeCell ref="B26:C26"/>
    <mergeCell ref="AA68:AD68"/>
    <mergeCell ref="X96:Y96"/>
    <mergeCell ref="AA166:AB167"/>
    <mergeCell ref="D115:E115"/>
    <mergeCell ref="M44:N44"/>
    <mergeCell ref="L174:M174"/>
    <mergeCell ref="N174:O174"/>
    <mergeCell ref="N51:O51"/>
    <mergeCell ref="H153:M153"/>
    <mergeCell ref="M185:M189"/>
    <mergeCell ref="W28:Z28"/>
    <mergeCell ref="AC92:AD92"/>
    <mergeCell ref="V54:X54"/>
    <mergeCell ref="S53:U53"/>
    <mergeCell ref="AA144:AD144"/>
    <mergeCell ref="P171:R171"/>
    <mergeCell ref="O68:R68"/>
    <mergeCell ref="H36:I36"/>
    <mergeCell ref="J36:K36"/>
    <mergeCell ref="S55:U55"/>
    <mergeCell ref="B192:G192"/>
    <mergeCell ref="L92:M92"/>
    <mergeCell ref="N92:O92"/>
    <mergeCell ref="T119:T120"/>
    <mergeCell ref="S158:S159"/>
    <mergeCell ref="V119:V120"/>
    <mergeCell ref="AD135:AD136"/>
    <mergeCell ref="AA54:AB54"/>
    <mergeCell ref="E4:H4"/>
    <mergeCell ref="Y90:Z90"/>
    <mergeCell ref="W183:Z183"/>
    <mergeCell ref="A85:H85"/>
    <mergeCell ref="L94:M94"/>
    <mergeCell ref="AC54:AD54"/>
    <mergeCell ref="V130:X130"/>
    <mergeCell ref="A8:K8"/>
    <mergeCell ref="O184:R184"/>
    <mergeCell ref="W185:Z185"/>
    <mergeCell ref="A100:K100"/>
    <mergeCell ref="A171:K171"/>
    <mergeCell ref="W106:Z106"/>
    <mergeCell ref="A165:K165"/>
    <mergeCell ref="L185:L189"/>
    <mergeCell ref="N133:O133"/>
    <mergeCell ref="V166:X167"/>
    <mergeCell ref="L169:M169"/>
    <mergeCell ref="W105:Z105"/>
    <mergeCell ref="A102:K102"/>
    <mergeCell ref="Y131:Z131"/>
    <mergeCell ref="S126:U128"/>
    <mergeCell ref="AA131:AB131"/>
    <mergeCell ref="N135:O135"/>
    <mergeCell ref="U192:W195"/>
    <mergeCell ref="U122:Y123"/>
    <mergeCell ref="P64:Q64"/>
    <mergeCell ref="P135:Q135"/>
    <mergeCell ref="AA163:AD163"/>
    <mergeCell ref="R57:S57"/>
    <mergeCell ref="L48:M50"/>
    <mergeCell ref="X192:AA194"/>
    <mergeCell ref="A168:K168"/>
    <mergeCell ref="A183:A184"/>
    <mergeCell ref="Y14:Z14"/>
    <mergeCell ref="Y11:Z11"/>
    <mergeCell ref="F154:G154"/>
    <mergeCell ref="O28:R28"/>
    <mergeCell ref="E146:E150"/>
    <mergeCell ref="N17:O17"/>
    <mergeCell ref="P197:P198"/>
    <mergeCell ref="P17:Q17"/>
    <mergeCell ref="I163:O163"/>
    <mergeCell ref="A21:K21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P181:Q181"/>
    <mergeCell ref="O44:R44"/>
    <mergeCell ref="U124:Z124"/>
    <mergeCell ref="J115:K115"/>
    <mergeCell ref="L115:M115"/>
    <mergeCell ref="P131:R131"/>
    <mergeCell ref="B107:B111"/>
    <mergeCell ref="A52:K52"/>
    <mergeCell ref="M122:N122"/>
    <mergeCell ref="D107:D111"/>
    <mergeCell ref="Y91:Z91"/>
    <mergeCell ref="H66:K66"/>
    <mergeCell ref="AA46:AD46"/>
    <mergeCell ref="AA91:AB91"/>
    <mergeCell ref="L131:M131"/>
    <mergeCell ref="O197:O198"/>
    <mergeCell ref="X153:AA155"/>
    <mergeCell ref="Q197:Q198"/>
    <mergeCell ref="Y93:Z93"/>
    <mergeCell ref="AA93:AB93"/>
    <mergeCell ref="W107:Z107"/>
    <mergeCell ref="P158:P159"/>
    <mergeCell ref="V11:X11"/>
    <mergeCell ref="R158:R159"/>
    <mergeCell ref="AC87:AD89"/>
    <mergeCell ref="A68:A72"/>
    <mergeCell ref="AA170:AB170"/>
    <mergeCell ref="V169:X169"/>
    <mergeCell ref="V96:W96"/>
    <mergeCell ref="AA184:AD184"/>
    <mergeCell ref="P13:R13"/>
    <mergeCell ref="Y172:Z172"/>
    <mergeCell ref="A42:AD42"/>
    <mergeCell ref="B185:B189"/>
    <mergeCell ref="O80:O81"/>
    <mergeCell ref="P15:R15"/>
    <mergeCell ref="E83:H83"/>
    <mergeCell ref="A55:K55"/>
    <mergeCell ref="S168:U168"/>
    <mergeCell ref="S51:U51"/>
    <mergeCell ref="R192:T195"/>
    <mergeCell ref="L96:M96"/>
    <mergeCell ref="Y12:Z12"/>
    <mergeCell ref="I4:J4"/>
    <mergeCell ref="A88:K89"/>
    <mergeCell ref="AA12:AB12"/>
    <mergeCell ref="L90:M90"/>
    <mergeCell ref="N90:O90"/>
    <mergeCell ref="T174:U174"/>
    <mergeCell ref="O35:Q38"/>
    <mergeCell ref="V174:W174"/>
    <mergeCell ref="H76:I76"/>
    <mergeCell ref="S169:U169"/>
    <mergeCell ref="J76:K76"/>
    <mergeCell ref="AC52:AD52"/>
    <mergeCell ref="L154:M154"/>
    <mergeCell ref="AA14:AB14"/>
    <mergeCell ref="AB153:AD155"/>
    <mergeCell ref="AC4:AD5"/>
    <mergeCell ref="A185:A189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B146:B150"/>
    <mergeCell ref="D36:E36"/>
    <mergeCell ref="V132:X132"/>
    <mergeCell ref="D146:D150"/>
    <mergeCell ref="AA67:AD67"/>
    <mergeCell ref="P172:R172"/>
    <mergeCell ref="S69:V72"/>
    <mergeCell ref="O40:O41"/>
    <mergeCell ref="Q40:Q41"/>
    <mergeCell ref="S40:S41"/>
    <mergeCell ref="AB174:AC174"/>
    <mergeCell ref="AA27:AD27"/>
    <mergeCell ref="AA172:AB172"/>
    <mergeCell ref="A107:A111"/>
    <mergeCell ref="J193:K193"/>
    <mergeCell ref="C107:C111"/>
    <mergeCell ref="A49:K50"/>
    <mergeCell ref="L193:M193"/>
    <mergeCell ref="V12:X12"/>
    <mergeCell ref="D193:E193"/>
    <mergeCell ref="A126:K126"/>
    <mergeCell ref="I44:J44"/>
    <mergeCell ref="O26:R26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A48:K48"/>
    <mergeCell ref="P170:R170"/>
    <mergeCell ref="AA127:AB128"/>
    <mergeCell ref="G68:G72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M105:M106"/>
    <mergeCell ref="Y51:Z51"/>
    <mergeCell ref="A28:A32"/>
    <mergeCell ref="A137:K137"/>
    <mergeCell ref="C28:C32"/>
    <mergeCell ref="I124:O124"/>
    <mergeCell ref="N170:O170"/>
    <mergeCell ref="AC55:AD55"/>
    <mergeCell ref="L8:M10"/>
    <mergeCell ref="O145:R145"/>
    <mergeCell ref="AA171:AB171"/>
    <mergeCell ref="A139:K139"/>
    <mergeCell ref="AC171:AD171"/>
    <mergeCell ref="V133:X133"/>
    <mergeCell ref="N172:O172"/>
    <mergeCell ref="P92:R92"/>
    <mergeCell ref="AA6:AD6"/>
    <mergeCell ref="S108:V111"/>
    <mergeCell ref="Z83:AB84"/>
    <mergeCell ref="J146:J150"/>
    <mergeCell ref="L146:L150"/>
    <mergeCell ref="S90:U90"/>
    <mergeCell ref="U6:Z6"/>
    <mergeCell ref="W197:W198"/>
    <mergeCell ref="P94:R94"/>
    <mergeCell ref="A140:K140"/>
    <mergeCell ref="A63:K63"/>
    <mergeCell ref="A146:A150"/>
    <mergeCell ref="C146:C150"/>
    <mergeCell ref="I68:I72"/>
    <mergeCell ref="A92:K92"/>
    <mergeCell ref="N54:O54"/>
    <mergeCell ref="H183:K183"/>
    <mergeCell ref="I107:I111"/>
    <mergeCell ref="P40:P41"/>
    <mergeCell ref="K107:K111"/>
    <mergeCell ref="A94:K94"/>
    <mergeCell ref="R40:R41"/>
    <mergeCell ref="P8:R10"/>
    <mergeCell ref="V15:X15"/>
    <mergeCell ref="V51:X51"/>
    <mergeCell ref="AC130:AD130"/>
    <mergeCell ref="O66:R66"/>
    <mergeCell ref="A83:D83"/>
    <mergeCell ref="D144:G144"/>
    <mergeCell ref="A87:K87"/>
    <mergeCell ref="U153:W156"/>
    <mergeCell ref="V197:V198"/>
    <mergeCell ref="A144:A145"/>
    <mergeCell ref="A133:K133"/>
    <mergeCell ref="W68:Z68"/>
    <mergeCell ref="AA168:AB168"/>
    <mergeCell ref="P87:R89"/>
    <mergeCell ref="AC168:AD168"/>
    <mergeCell ref="L144:L145"/>
    <mergeCell ref="Y166:Z167"/>
    <mergeCell ref="L76:M76"/>
    <mergeCell ref="N132:O132"/>
    <mergeCell ref="B153:G153"/>
    <mergeCell ref="U75:W78"/>
    <mergeCell ref="L168:M168"/>
    <mergeCell ref="I185:I189"/>
    <mergeCell ref="K185:K189"/>
    <mergeCell ref="V80:V81"/>
    <mergeCell ref="S28:V28"/>
    <mergeCell ref="F68:F72"/>
    <mergeCell ref="W144:Z144"/>
    <mergeCell ref="Y88:Z89"/>
    <mergeCell ref="L11:M11"/>
    <mergeCell ref="AA129:AB129"/>
    <mergeCell ref="AB35:AD37"/>
    <mergeCell ref="H192:M192"/>
    <mergeCell ref="P119:P120"/>
    <mergeCell ref="R119:R120"/>
    <mergeCell ref="AC48:AD50"/>
    <mergeCell ref="V135:W135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AA185:AD185"/>
    <mergeCell ref="O147:R150"/>
    <mergeCell ref="S106:V106"/>
    <mergeCell ref="H185:H189"/>
    <mergeCell ref="AC91:AD91"/>
    <mergeCell ref="P168:R168"/>
    <mergeCell ref="L133:M133"/>
    <mergeCell ref="S105:V105"/>
    <mergeCell ref="L165:M167"/>
    <mergeCell ref="D154:E154"/>
    <mergeCell ref="K146:K150"/>
    <mergeCell ref="N8:O10"/>
    <mergeCell ref="M146:M150"/>
    <mergeCell ref="V90:X90"/>
    <mergeCell ref="A127:K128"/>
    <mergeCell ref="L51:M51"/>
    <mergeCell ref="E44:H44"/>
    <mergeCell ref="AC94:AD94"/>
    <mergeCell ref="N57:O57"/>
    <mergeCell ref="P57:Q57"/>
    <mergeCell ref="H68:H72"/>
    <mergeCell ref="V129:X129"/>
    <mergeCell ref="A166:K167"/>
    <mergeCell ref="N87:O89"/>
    <mergeCell ref="AA55:AB55"/>
    <mergeCell ref="AA169:AB169"/>
    <mergeCell ref="O75:Q78"/>
    <mergeCell ref="AC169:AD169"/>
    <mergeCell ref="V131:X131"/>
    <mergeCell ref="J107:J111"/>
    <mergeCell ref="AA88:AB89"/>
    <mergeCell ref="P52:R52"/>
    <mergeCell ref="L17:M17"/>
    <mergeCell ref="N11:O11"/>
    <mergeCell ref="M28:M32"/>
    <mergeCell ref="B193:C193"/>
    <mergeCell ref="Y15:Z15"/>
    <mergeCell ref="A105:A106"/>
    <mergeCell ref="O67:R67"/>
    <mergeCell ref="P91:R91"/>
    <mergeCell ref="AC131:AD131"/>
    <mergeCell ref="A57:K58"/>
    <mergeCell ref="A3:X3"/>
    <mergeCell ref="L12:M12"/>
    <mergeCell ref="N12:O12"/>
    <mergeCell ref="N165:O167"/>
    <mergeCell ref="A54:K54"/>
    <mergeCell ref="U4:Y5"/>
    <mergeCell ref="I122:J122"/>
    <mergeCell ref="I6:O6"/>
    <mergeCell ref="L14:M14"/>
    <mergeCell ref="N14:O14"/>
    <mergeCell ref="J185:J189"/>
    <mergeCell ref="AA53:AB53"/>
    <mergeCell ref="S54:U54"/>
    <mergeCell ref="P103:Q103"/>
    <mergeCell ref="W26:Z26"/>
    <mergeCell ref="S186:V189"/>
    <mergeCell ref="AC90:AD90"/>
    <mergeCell ref="P55:R55"/>
    <mergeCell ref="J28:J32"/>
    <mergeCell ref="S107:V107"/>
    <mergeCell ref="L28:L32"/>
    <mergeCell ref="O119:O120"/>
    <mergeCell ref="Y9:Z10"/>
    <mergeCell ref="P169:R169"/>
    <mergeCell ref="B183:C183"/>
    <mergeCell ref="Q119:Q120"/>
    <mergeCell ref="A22:K22"/>
    <mergeCell ref="AA9:AB10"/>
    <mergeCell ref="R96:S96"/>
    <mergeCell ref="T96:U96"/>
    <mergeCell ref="AA146:AD146"/>
    <mergeCell ref="W184:Z184"/>
    <mergeCell ref="S130:U130"/>
    <mergeCell ref="A174:K175"/>
    <mergeCell ref="AA66:AD66"/>
    <mergeCell ref="N129:O129"/>
    <mergeCell ref="S132:U132"/>
    <mergeCell ref="M144:M145"/>
    <mergeCell ref="A11:K11"/>
    <mergeCell ref="B66:C66"/>
    <mergeCell ref="A98:K98"/>
    <mergeCell ref="AC44:AD45"/>
    <mergeCell ref="A169:K169"/>
    <mergeCell ref="V170:X170"/>
    <mergeCell ref="N131:O131"/>
    <mergeCell ref="AC12:AD12"/>
    <mergeCell ref="X57:Y57"/>
    <mergeCell ref="Z57:AA57"/>
    <mergeCell ref="X174:Y174"/>
    <mergeCell ref="D26:G26"/>
    <mergeCell ref="K122:L122"/>
    <mergeCell ref="P174:Q174"/>
    <mergeCell ref="Z174:AA174"/>
    <mergeCell ref="U35:W38"/>
    <mergeCell ref="R174:S174"/>
    <mergeCell ref="A96:K97"/>
    <mergeCell ref="L126:M128"/>
    <mergeCell ref="D76:E76"/>
    <mergeCell ref="A26:A27"/>
    <mergeCell ref="F76:G76"/>
    <mergeCell ref="V172:X172"/>
    <mergeCell ref="S133:U133"/>
    <mergeCell ref="AC14:AD14"/>
    <mergeCell ref="P53:R53"/>
    <mergeCell ref="A177:K177"/>
    <mergeCell ref="E122:H122"/>
    <mergeCell ref="A163:H163"/>
    <mergeCell ref="B114:G114"/>
    <mergeCell ref="A179:K179"/>
    <mergeCell ref="A153:A155"/>
    <mergeCell ref="V9:X10"/>
    <mergeCell ref="Q80:Q81"/>
    <mergeCell ref="B35:G35"/>
    <mergeCell ref="P132:R132"/>
    <mergeCell ref="A121:X121"/>
    <mergeCell ref="S80:S81"/>
    <mergeCell ref="Y170:Z170"/>
    <mergeCell ref="N13:O13"/>
    <mergeCell ref="S29:V32"/>
    <mergeCell ref="A91:K91"/>
    <mergeCell ref="V52:X52"/>
    <mergeCell ref="U46:Z46"/>
    <mergeCell ref="A180:K180"/>
    <mergeCell ref="R35:T38"/>
    <mergeCell ref="P142:Q142"/>
    <mergeCell ref="AC132:AD132"/>
    <mergeCell ref="A93:K93"/>
    <mergeCell ref="W147:Z150"/>
    <mergeCell ref="Z4:AB5"/>
    <mergeCell ref="N55:O55"/>
    <mergeCell ref="K83:L83"/>
    <mergeCell ref="W27:Z27"/>
    <mergeCell ref="M83:N83"/>
    <mergeCell ref="AB75:AD77"/>
    <mergeCell ref="U114:W117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O158:O159"/>
    <mergeCell ref="A12:K12"/>
    <mergeCell ref="Z121:AA121"/>
    <mergeCell ref="O83:R83"/>
    <mergeCell ref="I161:J161"/>
    <mergeCell ref="C68:C72"/>
    <mergeCell ref="K161:L161"/>
    <mergeCell ref="E68:E72"/>
    <mergeCell ref="Y168:Z168"/>
    <mergeCell ref="F115:G115"/>
    <mergeCell ref="I85:O85"/>
    <mergeCell ref="L107:L111"/>
    <mergeCell ref="R17:S17"/>
    <mergeCell ref="A14:K14"/>
    <mergeCell ref="T17:U17"/>
    <mergeCell ref="Y13:Z13"/>
    <mergeCell ref="E161:H161"/>
    <mergeCell ref="S185:V185"/>
    <mergeCell ref="M26:M27"/>
    <mergeCell ref="S165:U167"/>
    <mergeCell ref="S12:U12"/>
    <mergeCell ref="AA51:AB51"/>
    <mergeCell ref="D66:G66"/>
    <mergeCell ref="AC51:AD51"/>
    <mergeCell ref="A170:K170"/>
    <mergeCell ref="W29:Z32"/>
    <mergeCell ref="O192:Q195"/>
    <mergeCell ref="L170:M170"/>
    <mergeCell ref="L135:M135"/>
    <mergeCell ref="P11:R11"/>
    <mergeCell ref="Y171:Z171"/>
    <mergeCell ref="A130:K130"/>
    <mergeCell ref="X35:AA37"/>
    <mergeCell ref="W108:Z111"/>
    <mergeCell ref="Y49:Z50"/>
    <mergeCell ref="A138:K138"/>
    <mergeCell ref="O108:R111"/>
    <mergeCell ref="A132:K132"/>
    <mergeCell ref="N126:O128"/>
    <mergeCell ref="A17:K18"/>
    <mergeCell ref="P80:P81"/>
    <mergeCell ref="V127:X128"/>
    <mergeCell ref="Z96:AA96"/>
    <mergeCell ref="V165:AB165"/>
    <mergeCell ref="AC8:AD10"/>
    <mergeCell ref="S129:U129"/>
    <mergeCell ref="AB96:AC96"/>
    <mergeCell ref="N48:O50"/>
    <mergeCell ref="H115:I115"/>
    <mergeCell ref="A43:X43"/>
    <mergeCell ref="AC165:AD167"/>
    <mergeCell ref="D183:G183"/>
    <mergeCell ref="AD57:AD58"/>
    <mergeCell ref="L54:M54"/>
    <mergeCell ref="B75:G75"/>
    <mergeCell ref="E107:E111"/>
    <mergeCell ref="G107:G111"/>
    <mergeCell ref="P51:R51"/>
    <mergeCell ref="Y127:Z128"/>
    <mergeCell ref="S66:V66"/>
    <mergeCell ref="A75:A77"/>
    <mergeCell ref="AD96:AD97"/>
    <mergeCell ref="W66:Z66"/>
    <mergeCell ref="A20:K20"/>
    <mergeCell ref="R114:T117"/>
    <mergeCell ref="S68:V68"/>
    <mergeCell ref="A13:K13"/>
    <mergeCell ref="K4:L4"/>
    <mergeCell ref="M4:N4"/>
  </mergeCells>
  <printOptions horizontalCentered="1"/>
  <pageMargins left="0.25" right="0.25" top="0.25" bottom="0.25" header="0.25" footer="0.25"/>
  <pageSetup orientation="landscape" paperSize="9" scale="63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2:AD197"/>
  <sheetViews>
    <sheetView topLeftCell="E180" zoomScaleNormal="100" zoomScaleSheetLayoutView="100" workbookViewId="0">
      <selection activeCell="S196" sqref="S196:S197"/>
    </sheetView>
  </sheetViews>
  <sheetFormatPr baseColWidth="8" defaultRowHeight="13.8"/>
  <cols>
    <col width="11.6640625" customWidth="1" min="1" max="1"/>
    <col width="9" customWidth="1" min="2" max="2"/>
    <col width="11.109375" customWidth="1" min="3" max="3"/>
    <col width="7.33203125" customWidth="1" min="4" max="8"/>
    <col width="7.6640625" customWidth="1" min="9" max="9"/>
    <col width="8.33203125" customWidth="1" min="10" max="10"/>
    <col width="7.33203125" customWidth="1" min="11" max="11"/>
    <col width="9.6640625" customWidth="1" min="12" max="12"/>
    <col width="9.109375" customWidth="1" min="13" max="13"/>
    <col width="7.33203125" customWidth="1" min="14" max="14"/>
    <col width="6.33203125" customWidth="1" min="15" max="16"/>
    <col width="7.109375" customWidth="1" min="17" max="17"/>
    <col width="6" customWidth="1" min="18" max="18"/>
    <col width="6.33203125" customWidth="1" min="19" max="19"/>
    <col width="6.6640625" customWidth="1" min="20" max="20"/>
    <col width="6.33203125" customWidth="1" min="21" max="21"/>
    <col width="5.33203125" customWidth="1" min="22" max="23"/>
    <col width="7.33203125" customWidth="1" min="24" max="30"/>
  </cols>
  <sheetData>
    <row r="1" ht="7.5" customHeight="1"/>
    <row r="2" ht="18" customHeight="1">
      <c r="A2" s="148" t="inlineStr">
        <is>
          <t xml:space="preserve">  QUARTERLY REPORT ON TB CASES REGISTRATION</t>
        </is>
      </c>
    </row>
    <row r="3" ht="21" customHeight="1">
      <c r="A3" s="146" t="inlineStr">
        <is>
          <t xml:space="preserve">                                                                       INDIVIDUAL/CONSOLIDATED (TICK ONE)</t>
        </is>
      </c>
      <c r="Y3" s="1" t="n"/>
      <c r="Z3" s="133" t="inlineStr">
        <is>
          <t>TB - 07</t>
        </is>
      </c>
      <c r="AB3" s="1" t="n"/>
      <c r="AC3" s="1" t="n"/>
      <c r="AD3" s="1" t="n"/>
    </row>
    <row r="4" ht="30.9" customHeight="1">
      <c r="A4" s="134" t="inlineStr">
        <is>
          <t xml:space="preserve">Name of TB Care Facility (BMU) :  </t>
        </is>
      </c>
      <c r="E4" s="176" t="inlineStr">
        <is>
          <t>All Project Total</t>
        </is>
      </c>
      <c r="I4" s="136" t="n"/>
      <c r="K4" s="176" t="inlineStr">
        <is>
          <t>Consolidated</t>
        </is>
      </c>
      <c r="O4" s="136" t="n"/>
      <c r="S4" s="20" t="n"/>
      <c r="T4" s="2" t="n"/>
      <c r="U4" s="139" t="inlineStr">
        <is>
          <t xml:space="preserve">Patients registered during  </t>
        </is>
      </c>
      <c r="Z4" s="147" t="inlineStr">
        <is>
          <t>1st Quarter</t>
        </is>
      </c>
      <c r="AC4" s="98" t="inlineStr">
        <is>
          <t>of Year 2026</t>
        </is>
      </c>
    </row>
    <row r="5" ht="5.25" customHeight="1"/>
    <row r="6" ht="15.75" customHeight="1">
      <c r="A6" s="99" t="inlineStr">
        <is>
          <t>Name of TB Coodinator/Facility incharge  :</t>
        </is>
      </c>
      <c r="I6" s="100" t="inlineStr">
        <is>
          <t>___________________________________________________</t>
        </is>
      </c>
      <c r="P6" s="21" t="n"/>
      <c r="Q6" s="21" t="n"/>
      <c r="U6" s="101" t="inlineStr">
        <is>
          <t>Date of completion of this form :</t>
        </is>
      </c>
      <c r="AA6" s="102" t="inlineStr">
        <is>
          <t>_______________________</t>
        </is>
      </c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5" customHeight="1">
      <c r="A8" s="177" t="inlineStr">
        <is>
          <t xml:space="preserve">Block 1: 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67" t="inlineStr">
        <is>
          <t>New (N)</t>
        </is>
      </c>
      <c r="M8" s="179" t="n"/>
      <c r="N8" s="67" t="inlineStr">
        <is>
          <t>Relapse ®</t>
        </is>
      </c>
      <c r="O8" s="179" t="n"/>
      <c r="P8" s="165" t="inlineStr">
        <is>
          <t>Previous Treatment History Unknown
(UK)</t>
        </is>
      </c>
      <c r="Q8" s="178" t="n"/>
      <c r="R8" s="179" t="n"/>
      <c r="S8" s="165" t="inlineStr">
        <is>
          <t>New episode
(N+R+UK)</t>
        </is>
      </c>
      <c r="T8" s="178" t="n"/>
      <c r="U8" s="179" t="n"/>
      <c r="V8" s="67" t="inlineStr">
        <is>
          <t>Re - registered Cases ( Excluding Recurrent cases)</t>
        </is>
      </c>
      <c r="W8" s="33" t="n"/>
      <c r="X8" s="33" t="n"/>
      <c r="Y8" s="33" t="n"/>
      <c r="Z8" s="33" t="n"/>
      <c r="AA8" s="33" t="n"/>
      <c r="AB8" s="45" t="n"/>
      <c r="AC8" s="67" t="inlineStr">
        <is>
          <t>Total</t>
        </is>
      </c>
      <c r="AD8" s="179" t="n"/>
    </row>
    <row r="9" ht="23.25" customHeight="1">
      <c r="A9" s="180" t="inlineStr">
        <is>
          <t>All TB Cases Registered</t>
        </is>
      </c>
      <c r="K9" s="181" t="n"/>
      <c r="L9" s="182" t="n"/>
      <c r="M9" s="181" t="n"/>
      <c r="N9" s="182" t="n"/>
      <c r="O9" s="181" t="n"/>
      <c r="P9" s="182" t="n"/>
      <c r="R9" s="181" t="n"/>
      <c r="S9" s="182" t="n"/>
      <c r="U9" s="181" t="n"/>
      <c r="V9" s="165" t="inlineStr">
        <is>
          <t>Treatment after failure</t>
        </is>
      </c>
      <c r="W9" s="178" t="n"/>
      <c r="X9" s="179" t="n"/>
      <c r="Y9" s="165" t="inlineStr">
        <is>
          <t>Treatment after lost to follow-up</t>
        </is>
      </c>
      <c r="Z9" s="179" t="n"/>
      <c r="AA9" s="165" t="inlineStr">
        <is>
          <t>Other</t>
        </is>
      </c>
      <c r="AB9" s="179" t="n"/>
      <c r="AC9" s="182" t="n"/>
      <c r="AD9" s="181" t="n"/>
    </row>
    <row r="10">
      <c r="A10" s="183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184" t="n"/>
      <c r="L10" s="183" t="n"/>
      <c r="M10" s="184" t="n"/>
      <c r="N10" s="183" t="n"/>
      <c r="O10" s="184" t="n"/>
      <c r="P10" s="183" t="n"/>
      <c r="Q10" s="22" t="n"/>
      <c r="R10" s="184" t="n"/>
      <c r="S10" s="183" t="n"/>
      <c r="T10" s="22" t="n"/>
      <c r="U10" s="184" t="n"/>
      <c r="V10" s="183" t="n"/>
      <c r="W10" s="22" t="n"/>
      <c r="X10" s="184" t="n"/>
      <c r="Y10" s="183" t="n"/>
      <c r="Z10" s="184" t="n"/>
      <c r="AA10" s="183" t="n"/>
      <c r="AB10" s="184" t="n"/>
      <c r="AC10" s="183" t="n"/>
      <c r="AD10" s="184" t="n"/>
    </row>
    <row r="11" ht="24.9" customHeight="1">
      <c r="A11" s="185" t="inlineStr">
        <is>
          <t>Pulmonary, Bacteriologically Confermid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45" t="n"/>
      <c r="L11" s="4">
        <f>SUM(MPR!L11+KARACHI!L11+SINDH!L11+'GILGIT BALTISTAN'!L11:M11+'AZAD KHASHMIR'!L11:M11+'KHYBER PAKHTUNKHWA'!L11:M11)</f>
        <v>812</v>
      </c>
      <c r="M11" s="45" t="n"/>
      <c r="N11" s="4">
        <f>SUM(MPR!N11+KARACHI!N11+SINDH!N11+'GILGIT BALTISTAN'!N11:O11+'AZAD KHASHMIR'!N11:O11+'KHYBER PAKHTUNKHWA'!N11:O11)</f>
        <v>96</v>
      </c>
      <c r="O11" s="45" t="n"/>
      <c r="P11" s="4">
        <f>SUM(MPR!P11+KARACHI!P11+SINDH!P11+'GILGIT BALTISTAN'!P11:R11+'AZAD KHASHMIR'!P11:R11+'KHYBER PAKHTUNKHWA'!P11:R11)</f>
        <v>1</v>
      </c>
      <c r="Q11" s="33" t="n"/>
      <c r="R11" s="45" t="n"/>
      <c r="S11" s="4">
        <f>SUM(L11+N11+P11)</f>
        <v>909</v>
      </c>
      <c r="T11" s="33" t="n"/>
      <c r="U11" s="45" t="n"/>
      <c r="V11" s="4">
        <f>SUM(MPR!V11+KARACHI!V11+SINDH!V11+'GILGIT BALTISTAN'!V11:X11+'AZAD KHASHMIR'!V11:X11+'KHYBER PAKHTUNKHWA'!V11:X11)</f>
        <v>0</v>
      </c>
      <c r="W11" s="33" t="n"/>
      <c r="X11" s="45" t="n"/>
      <c r="Y11" s="4">
        <f>SUM(MPR!Y11+KARACHI!Y11+SINDH!Y11+'GILGIT BALTISTAN'!Y11:Z11+'AZAD KHASHMIR'!Y11:Z11+'KHYBER PAKHTUNKHWA'!Y11:Z11)</f>
        <v>3</v>
      </c>
      <c r="Z11" s="45" t="n"/>
      <c r="AA11" s="4">
        <f>SUM(MPR!AA11+KARACHI!AA11+SINDH!AA11+'GILGIT BALTISTAN'!AA11:AB11+'AZAD KHASHMIR'!AA11:AB11+'KHYBER PAKHTUNKHWA'!AA11:AB11)</f>
        <v>5</v>
      </c>
      <c r="AB11" s="45" t="n"/>
      <c r="AC11" s="4">
        <f>SUM(L11+N11+P11+V11+Y11+AA11)</f>
        <v>917</v>
      </c>
      <c r="AD11" s="45" t="n"/>
    </row>
    <row r="12" ht="24.9" customHeight="1">
      <c r="A12" s="185" t="inlineStr">
        <is>
          <t>Pulmonary , Clinically Diagnosed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5" t="n"/>
      <c r="L12" s="4">
        <f>SUM(MPR!L12+KARACHI!L12+SINDH!L12+'GILGIT BALTISTAN'!L12:M12+'AZAD KHASHMIR'!L12:M12+'KHYBER PAKHTUNKHWA'!L12:M12)</f>
        <v>1204</v>
      </c>
      <c r="M12" s="45" t="n"/>
      <c r="N12" s="4">
        <f>SUM(MPR!N12+KARACHI!N12+SINDH!N12+'GILGIT BALTISTAN'!N12:O12+'AZAD KHASHMIR'!N12:O12+'KHYBER PAKHTUNKHWA'!N12:O12)</f>
        <v>28</v>
      </c>
      <c r="O12" s="45" t="n"/>
      <c r="P12" s="4">
        <f>SUM(MPR!P12+KARACHI!P12+SINDH!P12+'GILGIT BALTISTAN'!P12:R12+'AZAD KHASHMIR'!P12:R12+'KHYBER PAKHTUNKHWA'!P12:R12)</f>
        <v>2</v>
      </c>
      <c r="Q12" s="33" t="n"/>
      <c r="R12" s="45" t="n"/>
      <c r="S12" s="4">
        <f>SUM(L12+N12+P12)</f>
        <v>1234</v>
      </c>
      <c r="T12" s="33" t="n"/>
      <c r="U12" s="45" t="n"/>
      <c r="V12" s="4">
        <f>SUM(MPR!V12+KARACHI!V12+SINDH!V12+'GILGIT BALTISTAN'!V12:X12+'AZAD KHASHMIR'!V12:X12+'KHYBER PAKHTUNKHWA'!V12:X12)</f>
        <v>0</v>
      </c>
      <c r="W12" s="33" t="n"/>
      <c r="X12" s="45" t="n"/>
      <c r="Y12" s="4">
        <f>SUM(MPR!Y12+KARACHI!Y12+SINDH!Y12+'GILGIT BALTISTAN'!Y12:Z12+'AZAD KHASHMIR'!Y12:Z12+'KHYBER PAKHTUNKHWA'!Y12:Z12)</f>
        <v>3</v>
      </c>
      <c r="Z12" s="45" t="n"/>
      <c r="AA12" s="4">
        <f>SUM(MPR!AA12+KARACHI!AA12+SINDH!AA12+'GILGIT BALTISTAN'!AA12:AB12+'AZAD KHASHMIR'!AA12:AB12+'KHYBER PAKHTUNKHWA'!AA12:AB12)</f>
        <v>2</v>
      </c>
      <c r="AB12" s="45" t="n"/>
      <c r="AC12" s="4">
        <f>SUM(L12+N12+P12+V12+Y12+AA12)</f>
        <v>1239</v>
      </c>
      <c r="AD12" s="45" t="n"/>
    </row>
    <row r="13" ht="24.9" customHeight="1">
      <c r="A13" s="185" t="inlineStr">
        <is>
          <t>Extra Pulmonary, Bacteriologically Confermid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45" t="n"/>
      <c r="L13" s="4">
        <f>SUM(MPR!L13+KARACHI!L13+SINDH!L13+'GILGIT BALTISTAN'!L13:M13+'AZAD KHASHMIR'!L13:M13+'KHYBER PAKHTUNKHWA'!L13:M13)</f>
        <v>5</v>
      </c>
      <c r="M13" s="45" t="n"/>
      <c r="N13" s="4">
        <f>SUM(MPR!N13+KARACHI!N13+SINDH!N13+'GILGIT BALTISTAN'!N13:O13+'AZAD KHASHMIR'!N13:O13+'KHYBER PAKHTUNKHWA'!N13:O13)</f>
        <v>0</v>
      </c>
      <c r="O13" s="45" t="n"/>
      <c r="P13" s="4">
        <f>SUM(MPR!P13+KARACHI!P13+SINDH!P13+'GILGIT BALTISTAN'!P13:R13+'AZAD KHASHMIR'!P13:R13+'KHYBER PAKHTUNKHWA'!P13:R13)</f>
        <v>0</v>
      </c>
      <c r="Q13" s="33" t="n"/>
      <c r="R13" s="45" t="n"/>
      <c r="S13" s="4">
        <f>SUM(L13+N13+P13)</f>
        <v>5</v>
      </c>
      <c r="T13" s="33" t="n"/>
      <c r="U13" s="45" t="n"/>
      <c r="V13" s="4">
        <f>SUM(MPR!V13+KARACHI!V13+SINDH!V13+'GILGIT BALTISTAN'!V13:X13+'AZAD KHASHMIR'!V13:X13+'KHYBER PAKHTUNKHWA'!V13:X13)</f>
        <v>0</v>
      </c>
      <c r="W13" s="33" t="n"/>
      <c r="X13" s="45" t="n"/>
      <c r="Y13" s="4">
        <f>SUM(MPR!Y13+KARACHI!Y13+SINDH!Y13+'GILGIT BALTISTAN'!Y13:Z13+'AZAD KHASHMIR'!Y13:Z13+'KHYBER PAKHTUNKHWA'!Y13:Z13)</f>
        <v>0</v>
      </c>
      <c r="Z13" s="45" t="n"/>
      <c r="AA13" s="4">
        <f>SUM(MPR!AA13+KARACHI!AA13+SINDH!AA13+'GILGIT BALTISTAN'!AA13:AB13+'AZAD KHASHMIR'!AA13:AB13+'KHYBER PAKHTUNKHWA'!AA13:AB13)</f>
        <v>1</v>
      </c>
      <c r="AB13" s="45" t="n"/>
      <c r="AC13" s="4">
        <f>SUM(L13+N13+P13+V13+Y13+AA13)</f>
        <v>6</v>
      </c>
      <c r="AD13" s="45" t="n"/>
    </row>
    <row r="14" ht="24.9" customHeight="1">
      <c r="A14" s="185" t="inlineStr">
        <is>
          <t>Extra Pulmonary , Clinically Diagnosed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45" t="n"/>
      <c r="L14" s="4">
        <f>SUM(MPR!L14+KARACHI!L14+SINDH!L14+'GILGIT BALTISTAN'!L14:M14+'AZAD KHASHMIR'!L14:M14+'KHYBER PAKHTUNKHWA'!L14:M14)</f>
        <v>768</v>
      </c>
      <c r="M14" s="45" t="n"/>
      <c r="N14" s="4">
        <f>SUM(MPR!N14+KARACHI!N14+SINDH!N14+'GILGIT BALTISTAN'!N14:O14+'AZAD KHASHMIR'!N14:O14+'KHYBER PAKHTUNKHWA'!N14:O14)</f>
        <v>10</v>
      </c>
      <c r="O14" s="45" t="n"/>
      <c r="P14" s="4">
        <f>SUM(MPR!P14+KARACHI!P14+SINDH!P14+'GILGIT BALTISTAN'!P14:R14+'AZAD KHASHMIR'!P14:R14+'KHYBER PAKHTUNKHWA'!P14:R14)</f>
        <v>0</v>
      </c>
      <c r="Q14" s="33" t="n"/>
      <c r="R14" s="45" t="n"/>
      <c r="S14" s="4">
        <f>SUM(L14+N14+P14)</f>
        <v>778</v>
      </c>
      <c r="T14" s="33" t="n"/>
      <c r="U14" s="45" t="n"/>
      <c r="V14" s="4">
        <f>SUM(MPR!V14+KARACHI!V14+SINDH!V14+'GILGIT BALTISTAN'!V14:X14+'AZAD KHASHMIR'!V14:X14+'KHYBER PAKHTUNKHWA'!V14:X14)</f>
        <v>0</v>
      </c>
      <c r="W14" s="33" t="n"/>
      <c r="X14" s="45" t="n"/>
      <c r="Y14" s="4">
        <f>SUM(MPR!Y14+KARACHI!Y14+SINDH!Y14+'GILGIT BALTISTAN'!Y14:Z14+'AZAD KHASHMIR'!Y14:Z14+'KHYBER PAKHTUNKHWA'!Y14:Z14)</f>
        <v>1</v>
      </c>
      <c r="Z14" s="45" t="n"/>
      <c r="AA14" s="4">
        <f>SUM(MPR!AA14+KARACHI!AA14+SINDH!AA14+'GILGIT BALTISTAN'!AA14:AB14+'AZAD KHASHMIR'!AA14:AB14+'KHYBER PAKHTUNKHWA'!AA14:AB14)</f>
        <v>4</v>
      </c>
      <c r="AB14" s="45" t="n"/>
      <c r="AC14" s="4">
        <f>SUM(L14+N14+P14+V14+Y14+AA14)</f>
        <v>783</v>
      </c>
      <c r="AD14" s="45" t="n"/>
    </row>
    <row r="15" ht="24.9" customHeight="1">
      <c r="A15" s="185" t="inlineStr">
        <is>
          <t>Total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45" t="n"/>
      <c r="L15" s="4">
        <f>SUM(L11:M14)</f>
        <v>2789</v>
      </c>
      <c r="M15" s="45" t="n"/>
      <c r="N15" s="4">
        <f>SUM(N11:O14)</f>
        <v>134</v>
      </c>
      <c r="O15" s="45" t="n"/>
      <c r="P15" s="4">
        <f>SUM(P11:R14)</f>
        <v>3</v>
      </c>
      <c r="Q15" s="33" t="n"/>
      <c r="R15" s="45" t="n"/>
      <c r="S15" s="4">
        <f>SUM(L15+N15+P15)</f>
        <v>2926</v>
      </c>
      <c r="T15" s="33" t="n"/>
      <c r="U15" s="45" t="n"/>
      <c r="V15" s="4">
        <f>SUM(V11:X14)</f>
        <v>0</v>
      </c>
      <c r="W15" s="33" t="n"/>
      <c r="X15" s="45" t="n"/>
      <c r="Y15" s="4">
        <f>SUM(Y11:Z14)</f>
        <v>7</v>
      </c>
      <c r="Z15" s="45" t="n"/>
      <c r="AA15" s="4">
        <f>SUM(AA11:AB14)</f>
        <v>12</v>
      </c>
      <c r="AB15" s="45" t="n"/>
      <c r="AC15" s="4">
        <f>SUM(L15+N15+P15+V15+Y15+AA15)</f>
        <v>2945</v>
      </c>
      <c r="AD15" s="45" t="n"/>
    </row>
    <row r="16" ht="15.6" customHeight="1">
      <c r="A16" s="23" t="inlineStr">
        <is>
          <t>Block 2: All New, Relapse and previous treatment history unknown Cases registered during the period by Age Group and Gender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</row>
    <row r="17" ht="21.75" customHeight="1">
      <c r="A17" s="186" t="n"/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67" t="inlineStr">
        <is>
          <t>0-4</t>
        </is>
      </c>
      <c r="M17" s="45" t="n"/>
      <c r="N17" s="187" t="inlineStr">
        <is>
          <t>5-14</t>
        </is>
      </c>
      <c r="O17" s="45" t="n"/>
      <c r="P17" s="188" t="inlineStr">
        <is>
          <t>15-24</t>
        </is>
      </c>
      <c r="Q17" s="45" t="n"/>
      <c r="R17" s="188" t="inlineStr">
        <is>
          <t>25-34</t>
        </is>
      </c>
      <c r="S17" s="45" t="n"/>
      <c r="T17" s="188" t="inlineStr">
        <is>
          <t>35-44</t>
        </is>
      </c>
      <c r="U17" s="45" t="n"/>
      <c r="V17" s="188" t="inlineStr">
        <is>
          <t>45-54</t>
        </is>
      </c>
      <c r="W17" s="45" t="n"/>
      <c r="X17" s="188" t="inlineStr">
        <is>
          <t>55-64</t>
        </is>
      </c>
      <c r="Y17" s="45" t="n"/>
      <c r="Z17" s="188" t="inlineStr">
        <is>
          <t>65 &amp; Above</t>
        </is>
      </c>
      <c r="AA17" s="45" t="n"/>
      <c r="AB17" s="188" t="inlineStr">
        <is>
          <t>Total</t>
        </is>
      </c>
      <c r="AC17" s="45" t="n"/>
      <c r="AD17" s="189" t="inlineStr">
        <is>
          <t>Grand
Total</t>
        </is>
      </c>
    </row>
    <row r="18">
      <c r="A18" s="183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184" t="n"/>
      <c r="L18" s="67" t="inlineStr">
        <is>
          <t>M</t>
        </is>
      </c>
      <c r="M18" s="67" t="inlineStr">
        <is>
          <t>F</t>
        </is>
      </c>
      <c r="N18" s="67" t="inlineStr">
        <is>
          <t>M</t>
        </is>
      </c>
      <c r="O18" s="67" t="inlineStr">
        <is>
          <t>F</t>
        </is>
      </c>
      <c r="P18" s="67" t="inlineStr">
        <is>
          <t>M</t>
        </is>
      </c>
      <c r="Q18" s="67" t="inlineStr">
        <is>
          <t>F</t>
        </is>
      </c>
      <c r="R18" s="67" t="inlineStr">
        <is>
          <t>M</t>
        </is>
      </c>
      <c r="S18" s="67" t="inlineStr">
        <is>
          <t>F</t>
        </is>
      </c>
      <c r="T18" s="67" t="inlineStr">
        <is>
          <t>M</t>
        </is>
      </c>
      <c r="U18" s="67" t="inlineStr">
        <is>
          <t>F</t>
        </is>
      </c>
      <c r="V18" s="67" t="inlineStr">
        <is>
          <t>M</t>
        </is>
      </c>
      <c r="W18" s="67" t="inlineStr">
        <is>
          <t>F</t>
        </is>
      </c>
      <c r="X18" s="67" t="inlineStr">
        <is>
          <t>M</t>
        </is>
      </c>
      <c r="Y18" s="67" t="inlineStr">
        <is>
          <t>F</t>
        </is>
      </c>
      <c r="Z18" s="67" t="inlineStr">
        <is>
          <t>M</t>
        </is>
      </c>
      <c r="AA18" s="67" t="inlineStr">
        <is>
          <t>F</t>
        </is>
      </c>
      <c r="AB18" s="67" t="inlineStr">
        <is>
          <t>M</t>
        </is>
      </c>
      <c r="AC18" s="67" t="inlineStr">
        <is>
          <t>F</t>
        </is>
      </c>
      <c r="AD18" s="190" t="n"/>
    </row>
    <row r="19" ht="24.9" customHeight="1">
      <c r="A19" s="185" t="inlineStr">
        <is>
          <t>Pulmonary, Bacteriologically Confermid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45" t="n"/>
      <c r="L19" s="4">
        <f>SUM(MPR!L19+KARACHI!L19+SINDH!L19+'GILGIT BALTISTAN'!L19+'AZAD KHASHMIR'!L19+'KHYBER PAKHTUNKHWA'!L19)</f>
        <v>0</v>
      </c>
      <c r="M19" s="4">
        <f>SUM(MPR!M19+KARACHI!M19+SINDH!M19+'GILGIT BALTISTAN'!M19+'AZAD KHASHMIR'!M19+'KHYBER PAKHTUNKHWA'!M19)</f>
        <v>0</v>
      </c>
      <c r="N19" s="4">
        <f>SUM(MPR!N19+KARACHI!N19+SINDH!N19+'GILGIT BALTISTAN'!N19+'AZAD KHASHMIR'!N19+'KHYBER PAKHTUNKHWA'!N19)</f>
        <v>9</v>
      </c>
      <c r="O19" s="4">
        <f>SUM(MPR!O19+KARACHI!O19+SINDH!O19+'GILGIT BALTISTAN'!O19+'AZAD KHASHMIR'!O19+'KHYBER PAKHTUNKHWA'!O19)</f>
        <v>16</v>
      </c>
      <c r="P19" s="4">
        <f>SUM(MPR!P19+KARACHI!P19+SINDH!P19+'GILGIT BALTISTAN'!P19+'AZAD KHASHMIR'!P19+'KHYBER PAKHTUNKHWA'!P19)</f>
        <v>59</v>
      </c>
      <c r="Q19" s="4">
        <f>SUM(MPR!Q19+KARACHI!Q19+SINDH!Q19+'GILGIT BALTISTAN'!Q19+'AZAD KHASHMIR'!Q19+'KHYBER PAKHTUNKHWA'!Q19)</f>
        <v>108</v>
      </c>
      <c r="R19" s="4">
        <f>SUM(MPR!R19+KARACHI!R19+SINDH!R19+'GILGIT BALTISTAN'!R19+'AZAD KHASHMIR'!R19+'KHYBER PAKHTUNKHWA'!R19)</f>
        <v>86</v>
      </c>
      <c r="S19" s="4">
        <f>SUM(MPR!S19+KARACHI!S19+SINDH!S19+'GILGIT BALTISTAN'!S19+'AZAD KHASHMIR'!S19+'KHYBER PAKHTUNKHWA'!S19)</f>
        <v>72</v>
      </c>
      <c r="T19" s="4">
        <f>SUM(MPR!T19+KARACHI!T19+SINDH!T19+'GILGIT BALTISTAN'!T19+'AZAD KHASHMIR'!T19+'KHYBER PAKHTUNKHWA'!T19)</f>
        <v>46</v>
      </c>
      <c r="U19" s="4">
        <f>SUM(MPR!U19+KARACHI!U19+SINDH!U19+'GILGIT BALTISTAN'!U19+'AZAD KHASHMIR'!U19+'KHYBER PAKHTUNKHWA'!U19)</f>
        <v>49</v>
      </c>
      <c r="V19" s="4">
        <f>SUM(MPR!V19+KARACHI!V19+SINDH!V19+'GILGIT BALTISTAN'!V19+'AZAD KHASHMIR'!V19+'KHYBER PAKHTUNKHWA'!V19)</f>
        <v>64</v>
      </c>
      <c r="W19" s="4">
        <f>SUM(MPR!W19+KARACHI!W19+SINDH!W19+'GILGIT BALTISTAN'!W19+'AZAD KHASHMIR'!W19+'KHYBER PAKHTUNKHWA'!W19)</f>
        <v>62</v>
      </c>
      <c r="X19" s="4">
        <f>SUM(MPR!X19+KARACHI!X19+SINDH!X19+'GILGIT BALTISTAN'!X19+'AZAD KHASHMIR'!X19+'KHYBER PAKHTUNKHWA'!X19)</f>
        <v>78</v>
      </c>
      <c r="Y19" s="4">
        <f>SUM(MPR!Y19+KARACHI!Y19+SINDH!Y19+'GILGIT BALTISTAN'!Y19+'AZAD KHASHMIR'!Y19+'KHYBER PAKHTUNKHWA'!Y19)</f>
        <v>55</v>
      </c>
      <c r="Z19" s="4">
        <f>SUM(MPR!Z19+KARACHI!Z19+SINDH!Z19+'GILGIT BALTISTAN'!Z19+'AZAD KHASHMIR'!Z19+'KHYBER PAKHTUNKHWA'!Z19)</f>
        <v>116</v>
      </c>
      <c r="AA19" s="4">
        <f>SUM(MPR!AA19+KARACHI!AA19+SINDH!AA19+'GILGIT BALTISTAN'!AA19+'AZAD KHASHMIR'!AA19+'KHYBER PAKHTUNKHWA'!AA19)</f>
        <v>77</v>
      </c>
      <c r="AB19" s="4">
        <f>SUM(L19+N19+P19+R19+T19+V19+X19+Z19)</f>
        <v>458</v>
      </c>
      <c r="AC19" s="4">
        <f>SUM(M19+O19+Q19+S19+U19+W19+Y19+AA19)</f>
        <v>439</v>
      </c>
      <c r="AD19" s="4">
        <f>SUM(AB19:AC19)</f>
        <v>897</v>
      </c>
    </row>
    <row r="20" ht="24.9" customHeight="1">
      <c r="A20" s="185" t="inlineStr">
        <is>
          <t>Pulmonary , Clinically Diagnosed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45" t="n"/>
      <c r="L20" s="4">
        <f>SUM(MPR!L20+KARACHI!L20+SINDH!L20+'GILGIT BALTISTAN'!L20+'AZAD KHASHMIR'!L20+'KHYBER PAKHTUNKHWA'!L20)</f>
        <v>189</v>
      </c>
      <c r="M20" s="4">
        <f>SUM(MPR!M20+KARACHI!M20+SINDH!M20+'GILGIT BALTISTAN'!M20+'AZAD KHASHMIR'!M20+'KHYBER PAKHTUNKHWA'!M20)</f>
        <v>154</v>
      </c>
      <c r="N20" s="4">
        <f>SUM(MPR!N20+KARACHI!N20+SINDH!N20+'GILGIT BALTISTAN'!N20+'AZAD KHASHMIR'!N20+'KHYBER PAKHTUNKHWA'!N20)</f>
        <v>65</v>
      </c>
      <c r="O20" s="4">
        <f>SUM(MPR!O20+KARACHI!O20+SINDH!O20+'GILGIT BALTISTAN'!O20+'AZAD KHASHMIR'!O20+'KHYBER PAKHTUNKHWA'!O20)</f>
        <v>60</v>
      </c>
      <c r="P20" s="4">
        <f>SUM(MPR!P20+KARACHI!P20+SINDH!P20+'GILGIT BALTISTAN'!P20+'AZAD KHASHMIR'!P20+'KHYBER PAKHTUNKHWA'!P20)</f>
        <v>79</v>
      </c>
      <c r="Q20" s="4">
        <f>SUM(MPR!Q20+KARACHI!Q20+SINDH!Q20+'GILGIT BALTISTAN'!Q20+'AZAD KHASHMIR'!Q20+'KHYBER PAKHTUNKHWA'!Q20)</f>
        <v>66</v>
      </c>
      <c r="R20" s="4">
        <f>SUM(MPR!R20+KARACHI!R20+SINDH!R20+'GILGIT BALTISTAN'!R20+'AZAD KHASHMIR'!R20+'KHYBER PAKHTUNKHWA'!R20)</f>
        <v>52</v>
      </c>
      <c r="S20" s="4">
        <f>SUM(MPR!S20+KARACHI!S20+SINDH!S20+'GILGIT BALTISTAN'!S20+'AZAD KHASHMIR'!S20+'KHYBER PAKHTUNKHWA'!S20)</f>
        <v>70</v>
      </c>
      <c r="T20" s="4">
        <f>SUM(MPR!T20+KARACHI!T20+SINDH!T20+'GILGIT BALTISTAN'!T20+'AZAD KHASHMIR'!T20+'KHYBER PAKHTUNKHWA'!T20)</f>
        <v>59</v>
      </c>
      <c r="U20" s="4">
        <f>SUM(MPR!U20+KARACHI!U20+SINDH!U20+'GILGIT BALTISTAN'!U20+'AZAD KHASHMIR'!U20+'KHYBER PAKHTUNKHWA'!U20)</f>
        <v>50</v>
      </c>
      <c r="V20" s="4">
        <f>SUM(MPR!V20+KARACHI!V20+SINDH!V20+'GILGIT BALTISTAN'!V20+'AZAD KHASHMIR'!V20+'KHYBER PAKHTUNKHWA'!V20)</f>
        <v>48</v>
      </c>
      <c r="W20" s="4">
        <f>SUM(MPR!W20+KARACHI!W20+SINDH!W20+'GILGIT BALTISTAN'!W20+'AZAD KHASHMIR'!W20+'KHYBER PAKHTUNKHWA'!W20)</f>
        <v>44</v>
      </c>
      <c r="X20" s="4">
        <f>SUM(MPR!X20+KARACHI!X20+SINDH!X20+'GILGIT BALTISTAN'!X20+'AZAD KHASHMIR'!X20+'KHYBER PAKHTUNKHWA'!X20)</f>
        <v>76</v>
      </c>
      <c r="Y20" s="4">
        <f>SUM(MPR!Y20+KARACHI!Y20+SINDH!Y20+'GILGIT BALTISTAN'!Y20+'AZAD KHASHMIR'!Y20+'KHYBER PAKHTUNKHWA'!Y20)</f>
        <v>55</v>
      </c>
      <c r="Z20" s="4">
        <f>SUM(MPR!Z20+KARACHI!Z20+SINDH!Z20+'GILGIT BALTISTAN'!Z20+'AZAD KHASHMIR'!Z20+'KHYBER PAKHTUNKHWA'!Z20)</f>
        <v>83</v>
      </c>
      <c r="AA20" s="4">
        <f>SUM(MPR!AA20+KARACHI!AA20+SINDH!AA20+'GILGIT BALTISTAN'!AA20+'AZAD KHASHMIR'!AA20+'KHYBER PAKHTUNKHWA'!AA20)</f>
        <v>78</v>
      </c>
      <c r="AB20" s="4">
        <f>SUM(L20+N20+P20+R20+T20+V20+X20+Z20)</f>
        <v>651</v>
      </c>
      <c r="AC20" s="4">
        <f>SUM(M20+O20+Q20+S20+U20+W20+Y20+AA20)</f>
        <v>577</v>
      </c>
      <c r="AD20" s="4">
        <f>SUM(AB20:AC20)</f>
        <v>1228</v>
      </c>
    </row>
    <row r="21" ht="24.9" customHeight="1">
      <c r="A21" s="185" t="inlineStr">
        <is>
          <t>Extra Pulmonary, Bacteriologically Confermid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45" t="n"/>
      <c r="L21" s="4">
        <f>SUM(MPR!L21+KARACHI!L21+SINDH!L21+'GILGIT BALTISTAN'!L21+'AZAD KHASHMIR'!L21+'KHYBER PAKHTUNKHWA'!L21)</f>
        <v>0</v>
      </c>
      <c r="M21" s="4">
        <f>SUM(MPR!M21+KARACHI!M21+SINDH!M21+'GILGIT BALTISTAN'!M21+'AZAD KHASHMIR'!M21+'KHYBER PAKHTUNKHWA'!M21)</f>
        <v>0</v>
      </c>
      <c r="N21" s="4">
        <f>SUM(MPR!N21+KARACHI!N21+SINDH!N21+'GILGIT BALTISTAN'!N21+'AZAD KHASHMIR'!N21+'KHYBER PAKHTUNKHWA'!N21)</f>
        <v>0</v>
      </c>
      <c r="O21" s="4">
        <f>SUM(MPR!O21+KARACHI!O21+SINDH!O21+'GILGIT BALTISTAN'!O21+'AZAD KHASHMIR'!O21+'KHYBER PAKHTUNKHWA'!O21)</f>
        <v>0</v>
      </c>
      <c r="P21" s="4">
        <f>SUM(MPR!P21+KARACHI!P21+SINDH!P21+'GILGIT BALTISTAN'!P21+'AZAD KHASHMIR'!P21+'KHYBER PAKHTUNKHWA'!P21)</f>
        <v>0</v>
      </c>
      <c r="Q21" s="4">
        <f>SUM(MPR!Q21+KARACHI!Q21+SINDH!Q21+'GILGIT BALTISTAN'!Q21+'AZAD KHASHMIR'!Q21+'KHYBER PAKHTUNKHWA'!Q21)</f>
        <v>1</v>
      </c>
      <c r="R21" s="4">
        <f>SUM(MPR!R21+KARACHI!R21+SINDH!R21+'GILGIT BALTISTAN'!R21+'AZAD KHASHMIR'!R21+'KHYBER PAKHTUNKHWA'!R21)</f>
        <v>2</v>
      </c>
      <c r="S21" s="4">
        <f>SUM(MPR!S21+KARACHI!S21+SINDH!S21+'GILGIT BALTISTAN'!S21+'AZAD KHASHMIR'!S21+'KHYBER PAKHTUNKHWA'!S21)</f>
        <v>2</v>
      </c>
      <c r="T21" s="4">
        <f>SUM(MPR!T21+KARACHI!T21+SINDH!T21+'GILGIT BALTISTAN'!T21+'AZAD KHASHMIR'!T21+'KHYBER PAKHTUNKHWA'!T21)</f>
        <v>0</v>
      </c>
      <c r="U21" s="4">
        <f>SUM(MPR!U21+KARACHI!U21+SINDH!U21+'GILGIT BALTISTAN'!U21+'AZAD KHASHMIR'!U21+'KHYBER PAKHTUNKHWA'!U21)</f>
        <v>1</v>
      </c>
      <c r="V21" s="4">
        <f>SUM(MPR!V21+KARACHI!V21+SINDH!V21+'GILGIT BALTISTAN'!V21+'AZAD KHASHMIR'!V21+'KHYBER PAKHTUNKHWA'!V21)</f>
        <v>2</v>
      </c>
      <c r="W21" s="4">
        <f>SUM(MPR!W21+KARACHI!W21+SINDH!W21+'GILGIT BALTISTAN'!W21+'AZAD KHASHMIR'!W21+'KHYBER PAKHTUNKHWA'!W21)</f>
        <v>1</v>
      </c>
      <c r="X21" s="4">
        <f>SUM(MPR!X21+KARACHI!X21+SINDH!X21+'GILGIT BALTISTAN'!X21+'AZAD KHASHMIR'!X21+'KHYBER PAKHTUNKHWA'!X21)</f>
        <v>1</v>
      </c>
      <c r="Y21" s="4">
        <f>SUM(MPR!Y21+KARACHI!Y21+SINDH!Y21+'GILGIT BALTISTAN'!Y21+'AZAD KHASHMIR'!Y21+'KHYBER PAKHTUNKHWA'!Y21)</f>
        <v>0</v>
      </c>
      <c r="Z21" s="4">
        <f>SUM(MPR!Z21+KARACHI!Z21+SINDH!Z21+'GILGIT BALTISTAN'!Z21+'AZAD KHASHMIR'!Z21+'KHYBER PAKHTUNKHWA'!Z21)</f>
        <v>1</v>
      </c>
      <c r="AA21" s="4">
        <f>SUM(MPR!AA21+KARACHI!AA21+SINDH!AA21+'GILGIT BALTISTAN'!AA21+'AZAD KHASHMIR'!AA21+'KHYBER PAKHTUNKHWA'!AA21)</f>
        <v>2</v>
      </c>
      <c r="AB21" s="4">
        <f>SUM(L21+N21+P21+R21+T21+V21+X21+Z21)</f>
        <v>6</v>
      </c>
      <c r="AC21" s="4">
        <f>SUM(M21+O21+Q21+S21+U21+W21+Y21+AA21)</f>
        <v>7</v>
      </c>
      <c r="AD21" s="4">
        <f>SUM(AB21:AC21)</f>
        <v>13</v>
      </c>
    </row>
    <row r="22" ht="24.9" customHeight="1">
      <c r="A22" s="185" t="inlineStr">
        <is>
          <t>Extra Pulmonary , Clinically Diagnosed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45" t="n"/>
      <c r="L22" s="4">
        <f>SUM(MPR!L22+KARACHI!L22+SINDH!L22+'GILGIT BALTISTAN'!L22+'AZAD KHASHMIR'!L22+'KHYBER PAKHTUNKHWA'!L22)</f>
        <v>77</v>
      </c>
      <c r="M22" s="4">
        <f>SUM(MPR!M22+KARACHI!M22+SINDH!M22+'GILGIT BALTISTAN'!M22+'AZAD KHASHMIR'!M22+'KHYBER PAKHTUNKHWA'!M22)</f>
        <v>80</v>
      </c>
      <c r="N22" s="4">
        <f>SUM(MPR!N22+KARACHI!N22+SINDH!N22+'GILGIT BALTISTAN'!N22+'AZAD KHASHMIR'!N22+'KHYBER PAKHTUNKHWA'!N22)</f>
        <v>32</v>
      </c>
      <c r="O22" s="4">
        <f>SUM(MPR!O22+KARACHI!O22+SINDH!O22+'GILGIT BALTISTAN'!O22+'AZAD KHASHMIR'!O22+'KHYBER PAKHTUNKHWA'!O22)</f>
        <v>34</v>
      </c>
      <c r="P22" s="4">
        <f>SUM(MPR!P22+KARACHI!P22+SINDH!P22+'GILGIT BALTISTAN'!P22+'AZAD KHASHMIR'!P22+'KHYBER PAKHTUNKHWA'!P22)</f>
        <v>59</v>
      </c>
      <c r="Q22" s="4">
        <f>SUM(MPR!Q22+KARACHI!Q22+SINDH!Q22+'GILGIT BALTISTAN'!Q22+'AZAD KHASHMIR'!Q22+'KHYBER PAKHTUNKHWA'!Q22)</f>
        <v>61</v>
      </c>
      <c r="R22" s="4">
        <f>SUM(MPR!R22+KARACHI!R22+SINDH!R22+'GILGIT BALTISTAN'!R22+'AZAD KHASHMIR'!R22+'KHYBER PAKHTUNKHWA'!R22)</f>
        <v>60</v>
      </c>
      <c r="S22" s="4">
        <f>SUM(MPR!S22+KARACHI!S22+SINDH!S22+'GILGIT BALTISTAN'!S22+'AZAD KHASHMIR'!S22+'KHYBER PAKHTUNKHWA'!S22)</f>
        <v>55</v>
      </c>
      <c r="T22" s="4">
        <f>SUM(MPR!T22+KARACHI!T22+SINDH!T22+'GILGIT BALTISTAN'!T22+'AZAD KHASHMIR'!T22+'KHYBER PAKHTUNKHWA'!T22)</f>
        <v>36</v>
      </c>
      <c r="U22" s="4">
        <f>SUM(MPR!U22+KARACHI!U22+SINDH!U22+'GILGIT BALTISTAN'!U22+'AZAD KHASHMIR'!U22+'KHYBER PAKHTUNKHWA'!U22)</f>
        <v>52</v>
      </c>
      <c r="V22" s="4">
        <f>SUM(MPR!V22+KARACHI!V22+SINDH!V22+'GILGIT BALTISTAN'!V22+'AZAD KHASHMIR'!V22+'KHYBER PAKHTUNKHWA'!V22)</f>
        <v>58</v>
      </c>
      <c r="W22" s="4">
        <f>SUM(MPR!W22+KARACHI!W22+SINDH!W22+'GILGIT BALTISTAN'!W22+'AZAD KHASHMIR'!W22+'KHYBER PAKHTUNKHWA'!W22)</f>
        <v>38</v>
      </c>
      <c r="X22" s="4">
        <f>SUM(MPR!X22+KARACHI!X22+SINDH!X22+'GILGIT BALTISTAN'!X22+'AZAD KHASHMIR'!X22+'KHYBER PAKHTUNKHWA'!X22)</f>
        <v>47</v>
      </c>
      <c r="Y22" s="4">
        <f>SUM(MPR!Y22+KARACHI!Y22+SINDH!Y22+'GILGIT BALTISTAN'!Y22+'AZAD KHASHMIR'!Y22+'KHYBER PAKHTUNKHWA'!Y22)</f>
        <v>34</v>
      </c>
      <c r="Z22" s="4">
        <f>SUM(MPR!Z22+KARACHI!Z22+SINDH!Z22+'GILGIT BALTISTAN'!Z22+'AZAD KHASHMIR'!Z22+'KHYBER PAKHTUNKHWA'!Z22)</f>
        <v>50</v>
      </c>
      <c r="AA22" s="4">
        <f>SUM(MPR!AA22+KARACHI!AA22+SINDH!AA22+'GILGIT BALTISTAN'!AA22+'AZAD KHASHMIR'!AA22+'KHYBER PAKHTUNKHWA'!AA22)</f>
        <v>39</v>
      </c>
      <c r="AB22" s="4">
        <f>SUM(L22+N22+P22+R22+T22+V22+X22+Z22)</f>
        <v>419</v>
      </c>
      <c r="AC22" s="4">
        <f>SUM(M22+O22+Q22+S22+U22+W22+Y22+AA22)</f>
        <v>393</v>
      </c>
      <c r="AD22" s="4">
        <f>SUM(AB22:AC22)</f>
        <v>812</v>
      </c>
    </row>
    <row r="23" ht="24.9" customHeight="1">
      <c r="A23" s="67" t="inlineStr">
        <is>
          <t>Total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45" t="n"/>
      <c r="L23" s="4">
        <f>SUM(L19:L22)</f>
        <v>266</v>
      </c>
      <c r="M23" s="4">
        <f>SUM(M19:M22)</f>
        <v>234</v>
      </c>
      <c r="N23" s="4">
        <f>SUM(N19:N22)</f>
        <v>106</v>
      </c>
      <c r="O23" s="4">
        <f>SUM(O19:O22)</f>
        <v>110</v>
      </c>
      <c r="P23" s="4">
        <f>SUM(P19:P22)</f>
        <v>197</v>
      </c>
      <c r="Q23" s="4">
        <f>SUM(Q19:Q22)</f>
        <v>236</v>
      </c>
      <c r="R23" s="4">
        <f>SUM(R19:R22)</f>
        <v>200</v>
      </c>
      <c r="S23" s="4">
        <f>SUM(S19:S22)</f>
        <v>199</v>
      </c>
      <c r="T23" s="4">
        <f>SUM(T19:T22)</f>
        <v>141</v>
      </c>
      <c r="U23" s="4">
        <f>SUM(U19:U22)</f>
        <v>152</v>
      </c>
      <c r="V23" s="4">
        <f>SUM(V19:V22)</f>
        <v>172</v>
      </c>
      <c r="W23" s="4">
        <f>SUM(W19:W22)</f>
        <v>145</v>
      </c>
      <c r="X23" s="4">
        <f>SUM(X19:X22)</f>
        <v>202</v>
      </c>
      <c r="Y23" s="4">
        <f>SUM(Y19:Y22)</f>
        <v>144</v>
      </c>
      <c r="Z23" s="4">
        <f>SUM(Z19:Z22)</f>
        <v>250</v>
      </c>
      <c r="AA23" s="4">
        <f>SUM(AA19:AA22)</f>
        <v>196</v>
      </c>
      <c r="AB23" s="4">
        <f>SUM(AB19:AB22)</f>
        <v>1534</v>
      </c>
      <c r="AC23" s="4">
        <f>SUM(AC19:AC22)</f>
        <v>1416</v>
      </c>
      <c r="AD23" s="4">
        <f>SUM(AB23:AC23)</f>
        <v>2950</v>
      </c>
    </row>
    <row r="24" ht="6.75" customHeight="1">
      <c r="A24" s="27" t="n"/>
      <c r="B24" s="28" t="n"/>
      <c r="C24" s="28" t="n"/>
      <c r="D24" s="28" t="n"/>
      <c r="E24" s="28" t="n"/>
      <c r="F24" s="29" t="n"/>
      <c r="G24" s="29" t="n"/>
      <c r="H24" s="30" t="n"/>
      <c r="I24" s="30" t="n"/>
      <c r="J24" s="30" t="n"/>
      <c r="K24" s="30" t="n"/>
      <c r="L24" s="30" t="n"/>
      <c r="M24" s="30" t="n"/>
      <c r="N24" s="31" t="n"/>
      <c r="O24" s="30" t="n"/>
      <c r="P24" s="87" t="n"/>
      <c r="Q24" s="45" t="n"/>
      <c r="R24" s="32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3" t="n"/>
    </row>
    <row r="25" ht="18" customHeight="1">
      <c r="A25" s="34" t="inlineStr">
        <is>
          <t>Block 3: Presumptive TB Cases Identified Laboratory Diagnosis and use of WRD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7" t="n"/>
      <c r="O25" s="34" t="inlineStr">
        <is>
          <t>Block 4 :  TB HIV  Activities</t>
        </is>
      </c>
      <c r="P25" s="35" t="n"/>
      <c r="Q25" s="35" t="n"/>
      <c r="R25" s="35" t="n"/>
      <c r="S25" s="35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25" t="n"/>
    </row>
    <row r="26" ht="42.75" customHeight="1">
      <c r="A26" s="6" t="inlineStr">
        <is>
          <t>Total
New OPD in Quarter</t>
        </is>
      </c>
      <c r="B26" s="88" t="inlineStr">
        <is>
          <t>No. of presumptive TB cases identified</t>
        </is>
      </c>
      <c r="C26" s="179" t="n"/>
      <c r="D26" s="6" t="inlineStr">
        <is>
          <t>No. of Presumptive TB
Patients tested 
Using</t>
        </is>
      </c>
      <c r="E26" s="33" t="n"/>
      <c r="F26" s="33" t="n"/>
      <c r="G26" s="45" t="n"/>
      <c r="H26" s="6" t="inlineStr">
        <is>
          <t>Among Presumptive 
TB cases tested  number reported B+</t>
        </is>
      </c>
      <c r="I26" s="33" t="n"/>
      <c r="J26" s="33" t="n"/>
      <c r="K26" s="45" t="n"/>
      <c r="L26" s="6" t="inlineStr">
        <is>
          <t>Among all
registered
number of
B+ TB
Cases</t>
        </is>
      </c>
      <c r="M26" s="6" t="inlineStr">
        <is>
          <t>Amoung All
(N+R+UK)
number tested
by Gene Xpert</t>
        </is>
      </c>
      <c r="N26" s="5" t="n"/>
      <c r="O26" s="165" t="inlineStr">
        <is>
          <t>No. of TB patients
tested for HIV</t>
        </is>
      </c>
      <c r="P26" s="33" t="n"/>
      <c r="Q26" s="33" t="n"/>
      <c r="R26" s="45" t="n"/>
      <c r="S26" s="165" t="inlineStr">
        <is>
          <t>HIV Reactive</t>
        </is>
      </c>
      <c r="T26" s="33" t="n"/>
      <c r="U26" s="33" t="n"/>
      <c r="V26" s="45" t="n"/>
      <c r="W26" s="165" t="inlineStr">
        <is>
          <t>TB Patients confirmed
positive for HIV</t>
        </is>
      </c>
      <c r="X26" s="33" t="n"/>
      <c r="Y26" s="33" t="n"/>
      <c r="Z26" s="45" t="n"/>
      <c r="AA26" s="165" t="inlineStr">
        <is>
          <t>HIV positive TB Patients put on ART</t>
        </is>
      </c>
      <c r="AB26" s="33" t="n"/>
      <c r="AC26" s="33" t="n"/>
      <c r="AD26" s="45" t="n"/>
    </row>
    <row r="27" ht="48" customHeight="1">
      <c r="A27" s="190" t="n"/>
      <c r="B27" s="6" t="inlineStr">
        <is>
          <t>Total</t>
        </is>
      </c>
      <c r="C27" s="88" t="inlineStr">
        <is>
          <t>Through
Community
Referrals (LHWs)</t>
        </is>
      </c>
      <c r="D27" s="88" t="inlineStr">
        <is>
          <t>AFB</t>
        </is>
      </c>
      <c r="E27" s="88" t="inlineStr">
        <is>
          <t>Xp &amp;
AFB</t>
        </is>
      </c>
      <c r="F27" s="88" t="inlineStr">
        <is>
          <t>XP</t>
        </is>
      </c>
      <c r="G27" s="7" t="inlineStr">
        <is>
          <t>G.Tot</t>
        </is>
      </c>
      <c r="H27" s="7" t="inlineStr">
        <is>
          <t>AFB</t>
        </is>
      </c>
      <c r="I27" s="88" t="inlineStr">
        <is>
          <t>AFB +
Xpert</t>
        </is>
      </c>
      <c r="J27" s="7" t="inlineStr">
        <is>
          <t>Xpert</t>
        </is>
      </c>
      <c r="K27" s="7" t="inlineStr">
        <is>
          <t>G.Tot</t>
        </is>
      </c>
      <c r="L27" s="190" t="n"/>
      <c r="M27" s="190" t="n"/>
      <c r="N27" s="5" t="n"/>
      <c r="O27" s="93">
        <f>SUM(MPR!O27+KARACHI!O27+SINDH!O27+'GILGIT BALTISTAN'!O27:R27+'AZAD KHASHMIR'!O27:R27+'KHYBER PAKHTUNKHWA'!O27:R27)</f>
        <v>1099</v>
      </c>
      <c r="P27" s="33" t="n"/>
      <c r="Q27" s="33" t="n"/>
      <c r="R27" s="33" t="n"/>
      <c r="S27" s="93">
        <f>SUM(MPR!S27+KARACHI!S27+SINDH!S27+'GILGIT BALTISTAN'!S27:V27+'AZAD KHASHMIR'!S27:V27+'KHYBER PAKHTUNKHWA'!S27:V27)</f>
        <v>4</v>
      </c>
      <c r="T27" s="33" t="n"/>
      <c r="U27" s="33" t="n"/>
      <c r="V27" s="33" t="n"/>
      <c r="W27" s="93">
        <f>SUM(MPR!W27+KARACHI!W27+SINDH!W27+'GILGIT BALTISTAN'!W27:Z27+'AZAD KHASHMIR'!W27:Z27+'KHYBER PAKHTUNKHWA'!W27:Z27)</f>
        <v>0</v>
      </c>
      <c r="X27" s="33" t="n"/>
      <c r="Y27" s="33" t="n"/>
      <c r="Z27" s="33" t="n"/>
      <c r="AA27" s="93">
        <f>SUM(MPR!AA27+KARACHI!AA27+SINDH!AA27+'GILGIT BALTISTAN'!AA27:AD27+'AZAD KHASHMIR'!AA27:AD27+'KHYBER PAKHTUNKHWA'!AA27:AD27)</f>
        <v>0</v>
      </c>
      <c r="AB27" s="33" t="n"/>
      <c r="AC27" s="33" t="n"/>
      <c r="AD27" s="33" t="n"/>
    </row>
    <row r="28" ht="38.25" customHeight="1">
      <c r="A28" s="193">
        <f>SUM(MPR!A28+KARACHI!A28+SINDH!A28+'GILGIT BALTISTAN'!A28:A32+'AZAD KHASHMIR'!A28:A32+'KHYBER PAKHTUNKHWA'!A28:A32)</f>
        <v>643103</v>
      </c>
      <c r="B28" s="193">
        <f>SUM(MPR!B28+KARACHI!B28+SINDH!B28+'GILGIT BALTISTAN'!B28:B32+'AZAD KHASHMIR'!B28:B32+'KHYBER PAKHTUNKHWA'!B28:B32)</f>
        <v>14820</v>
      </c>
      <c r="C28" s="193">
        <f>SUM(MPR!C28+KARACHI!C28+SINDH!C28+'GILGIT BALTISTAN'!C28:C32+'AZAD KHASHMIR'!C28:C32+'KHYBER PAKHTUNKHWA'!C28:C32)</f>
        <v>1400</v>
      </c>
      <c r="D28" s="193">
        <f>SUM(MPR!D28+KARACHI!D28+SINDH!D28+'GILGIT BALTISTAN'!D28:D32+'AZAD KHASHMIR'!D28:D32+'KHYBER PAKHTUNKHWA'!D28:D32)</f>
        <v>2941</v>
      </c>
      <c r="E28" s="193">
        <f>SUM(MPR!E28+KARACHI!E28+SINDH!E28+'GILGIT BALTISTAN'!E28:E32+'AZAD KHASHMIR'!E28:E32+'KHYBER PAKHTUNKHWA'!E28:E32)</f>
        <v>1682</v>
      </c>
      <c r="F28" s="193">
        <f>SUM(MPR!F28+KARACHI!F28+SINDH!F28+'GILGIT BALTISTAN'!F28:F32+'AZAD KHASHMIR'!F28:F32+'KHYBER PAKHTUNKHWA'!F28:F32)</f>
        <v>7877</v>
      </c>
      <c r="G28" s="165">
        <f>SUM(D28:F32)</f>
        <v>12500</v>
      </c>
      <c r="H28" s="193">
        <f>SUM(MPR!H28+KARACHI!H28+SINDH!H28+'GILGIT BALTISTAN'!H28:H32+'AZAD KHASHMIR'!H28:H32+'KHYBER PAKHTUNKHWA'!H28:H32)</f>
        <v>66</v>
      </c>
      <c r="I28" s="193">
        <f>SUM(MPR!I28+KARACHI!I28+SINDH!I28+'GILGIT BALTISTAN'!I28:I32+'AZAD KHASHMIR'!I28:I32+'KHYBER PAKHTUNKHWA'!I28:I32)</f>
        <v>360</v>
      </c>
      <c r="J28" s="193">
        <f>SUM(MPR!J28+KARACHI!J28+SINDH!J28+'GILGIT BALTISTAN'!J28:J32+'AZAD KHASHMIR'!J28:J32+'KHYBER PAKHTUNKHWA'!J28:J32)</f>
        <v>569</v>
      </c>
      <c r="K28" s="165">
        <f>SUM(H28:J32)</f>
        <v>995</v>
      </c>
      <c r="L28" s="193">
        <f>SUM(MPR!L28+KARACHI!L28+SINDH!L28+'GILGIT BALTISTAN'!L28:L32+'AZAD KHASHMIR'!L28:L32+'KHYBER PAKHTUNKHWA'!L28:L32)</f>
        <v>892</v>
      </c>
      <c r="M28" s="193">
        <f>SUM(MPR!M28+KARACHI!M28+SINDH!M28+'GILGIT BALTISTAN'!M28:M32+'AZAD KHASHMIR'!M28:M32+'KHYBER PAKHTUNKHWA'!M28:M32)</f>
        <v>1229</v>
      </c>
      <c r="N28" s="5" t="n"/>
      <c r="O28" s="165" t="inlineStr">
        <is>
          <t xml:space="preserve">HIV patient tested for TB </t>
        </is>
      </c>
      <c r="P28" s="33" t="n"/>
      <c r="Q28" s="33" t="n"/>
      <c r="R28" s="45" t="n"/>
      <c r="S28" s="165" t="inlineStr">
        <is>
          <t>HIV patients 
diagnosed  for TB</t>
        </is>
      </c>
      <c r="T28" s="33" t="n"/>
      <c r="U28" s="33" t="n"/>
      <c r="V28" s="45" t="n"/>
      <c r="W28" s="165" t="inlineStr">
        <is>
          <t>TB HIV patients put on
 TB Tx</t>
        </is>
      </c>
      <c r="X28" s="33" t="n"/>
      <c r="Y28" s="33" t="n"/>
      <c r="Z28" s="45" t="n"/>
      <c r="AA28" s="165" t="inlineStr">
        <is>
          <t>HIV positive TB negative
patients on TPT</t>
        </is>
      </c>
      <c r="AB28" s="33" t="n"/>
      <c r="AC28" s="33" t="n"/>
      <c r="AD28" s="45" t="n"/>
    </row>
    <row r="29" ht="19.5" customHeight="1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39" t="n"/>
      <c r="O29" s="165">
        <f>SUM(MPR!O29+KARACHI!O29+SINDH!O29+'GILGIT BALTISTAN'!O29:R32+'AZAD KHASHMIR'!O29:R32+'KHYBER PAKHTUNKHWA'!O29:R32)</f>
        <v>27</v>
      </c>
      <c r="P29" s="178" t="n"/>
      <c r="Q29" s="178" t="n"/>
      <c r="R29" s="179" t="n"/>
      <c r="S29" s="165">
        <f>SUM(MPR!S29+KARACHI!S29+SINDH!S29+'GILGIT BALTISTAN'!S29:V32+'AZAD KHASHMIR'!S29:V32+'KHYBER PAKHTUNKHWA'!S29:V32)</f>
        <v>0</v>
      </c>
      <c r="T29" s="178" t="n"/>
      <c r="U29" s="178" t="n"/>
      <c r="V29" s="179" t="n"/>
      <c r="W29" s="165">
        <f>SUM(MPR!W29+KARACHI!W29+SINDH!W29+'GILGIT BALTISTAN'!W29:Z32+'AZAD KHASHMIR'!W29:Z32+'KHYBER PAKHTUNKHWA'!W29:Z32)</f>
        <v>0</v>
      </c>
      <c r="X29" s="178" t="n"/>
      <c r="Y29" s="178" t="n"/>
      <c r="Z29" s="179" t="n"/>
      <c r="AA29" s="8" t="n"/>
      <c r="AB29" s="8" t="inlineStr">
        <is>
          <t>0-4</t>
        </is>
      </c>
      <c r="AC29" s="9" t="inlineStr">
        <is>
          <t>5-14</t>
        </is>
      </c>
      <c r="AD29" s="40" t="inlineStr">
        <is>
          <t>15 +</t>
        </is>
      </c>
    </row>
    <row r="30" ht="18" customHeight="1">
      <c r="A30" s="191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39" t="n"/>
      <c r="O30" s="182" t="n"/>
      <c r="R30" s="181" t="n"/>
      <c r="S30" s="182" t="n"/>
      <c r="V30" s="181" t="n"/>
      <c r="W30" s="182" t="n"/>
      <c r="Z30" s="181" t="n"/>
      <c r="AA30" s="10" t="inlineStr">
        <is>
          <t>6H</t>
        </is>
      </c>
      <c r="AB30" s="9">
        <f>SUM(MPR!AB30+KARACHI!AB30+SINDH!AB30+'GILGIT BALTISTAN'!AB30+'AZAD KHASHMIR'!AB30+'KHYBER PAKHTUNKHWA'!AB30)</f>
        <v>0</v>
      </c>
      <c r="AC30" s="9">
        <f>SUM(MPR!AC30+KARACHI!AC30+SINDH!AC30+'GILGIT BALTISTAN'!AC30+'AZAD KHASHMIR'!AC30+'KHYBER PAKHTUNKHWA'!AC30)</f>
        <v>0</v>
      </c>
      <c r="AD30" s="9">
        <f>SUM(MPR!AD30+KARACHI!AD30+SINDH!AD30+'GILGIT BALTISTAN'!AD30+'AZAD KHASHMIR'!AD30+'KHYBER PAKHTUNKHWA'!AD30)</f>
        <v>0</v>
      </c>
    </row>
    <row r="31" ht="18" customHeight="1">
      <c r="A31" s="191" t="n"/>
      <c r="B31" s="191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39" t="n"/>
      <c r="O31" s="182" t="n"/>
      <c r="R31" s="181" t="n"/>
      <c r="S31" s="182" t="n"/>
      <c r="V31" s="181" t="n"/>
      <c r="W31" s="182" t="n"/>
      <c r="Z31" s="181" t="n"/>
      <c r="AA31" s="10" t="inlineStr">
        <is>
          <t>3HR</t>
        </is>
      </c>
      <c r="AB31" s="9">
        <f>SUM(MPR!AB31+KARACHI!AB31+SINDH!AB31+'GILGIT BALTISTAN'!AB31+'AZAD KHASHMIR'!AB31+'KHYBER PAKHTUNKHWA'!AB31)</f>
        <v>0</v>
      </c>
      <c r="AC31" s="9">
        <f>SUM(MPR!AC31+KARACHI!AC31+SINDH!AC31+'GILGIT BALTISTAN'!AC31+'AZAD KHASHMIR'!AC31+'KHYBER PAKHTUNKHWA'!AC31)</f>
        <v>0</v>
      </c>
      <c r="AD31" s="9">
        <f>SUM(MPR!AD31+KARACHI!AD31+SINDH!AD31+'GILGIT BALTISTAN'!AD31+'AZAD KHASHMIR'!AD31+'KHYBER PAKHTUNKHWA'!AD31)</f>
        <v>0</v>
      </c>
    </row>
    <row r="32" ht="18" customHeight="1">
      <c r="A32" s="190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39" t="n"/>
      <c r="O32" s="183" t="n"/>
      <c r="P32" s="22" t="n"/>
      <c r="Q32" s="22" t="n"/>
      <c r="R32" s="184" t="n"/>
      <c r="S32" s="183" t="n"/>
      <c r="T32" s="22" t="n"/>
      <c r="U32" s="22" t="n"/>
      <c r="V32" s="184" t="n"/>
      <c r="W32" s="183" t="n"/>
      <c r="X32" s="22" t="n"/>
      <c r="Y32" s="22" t="n"/>
      <c r="Z32" s="184" t="n"/>
      <c r="AA32" s="10" t="inlineStr">
        <is>
          <t>3 HP</t>
        </is>
      </c>
      <c r="AB32" s="9">
        <f>SUM(MPR!AB32+KARACHI!AB32+SINDH!AB32+'GILGIT BALTISTAN'!AB32+'AZAD KHASHMIR'!AB32+'KHYBER PAKHTUNKHWA'!AB32)</f>
        <v>0</v>
      </c>
      <c r="AC32" s="9">
        <f>SUM(MPR!AC32+KARACHI!AC32+SINDH!AC32+'GILGIT BALTISTAN'!AC32+'AZAD KHASHMIR'!AC32+'KHYBER PAKHTUNKHWA'!AC32)</f>
        <v>0</v>
      </c>
      <c r="AD32" s="9">
        <f>SUM(MPR!AD32+KARACHI!AD32+SINDH!AD32+'GILGIT BALTISTAN'!AD32+'AZAD KHASHMIR'!AD32+'KHYBER PAKHTUNKHWA'!AD32)</f>
        <v>0</v>
      </c>
    </row>
    <row r="33" ht="8.25" customHeight="1">
      <c r="A33" s="1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4" t="n"/>
      <c r="O33" s="43" t="n"/>
      <c r="P33" s="43" t="n"/>
      <c r="Q33" s="43" t="n"/>
      <c r="R33" s="43" t="n"/>
      <c r="S33" s="43" t="n"/>
      <c r="T33" s="43" t="n"/>
      <c r="U33" s="43" t="n"/>
      <c r="V33" s="12" t="n"/>
      <c r="W33" s="12" t="n"/>
      <c r="X33" s="12" t="n"/>
      <c r="Y33" s="12" t="n"/>
      <c r="Z33" s="12" t="n"/>
      <c r="AA33" s="12" t="n"/>
      <c r="AB33" s="43" t="n"/>
      <c r="AC33" s="43" t="n"/>
      <c r="AD33" s="45" t="n"/>
    </row>
    <row r="34" ht="18" customHeight="1">
      <c r="A34" s="34" t="inlineStr">
        <is>
          <t>Block 5 :  Bacteriologically Confermid TB Cases with DST Result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6" t="n"/>
      <c r="N34" s="46" t="n"/>
      <c r="O34" s="34" t="inlineStr">
        <is>
          <t>Block 6 :  Contact Tracing HH *</t>
        </is>
      </c>
      <c r="P34" s="36" t="n"/>
      <c r="Q34" s="35" t="n"/>
      <c r="R34" s="4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8" t="n"/>
      <c r="AC34" s="38" t="n"/>
      <c r="AD34" s="48" t="n"/>
    </row>
    <row r="35" ht="18" customHeight="1">
      <c r="A35" s="80" t="inlineStr">
        <is>
          <t>Sensitive =S
Resistance = R</t>
        </is>
      </c>
      <c r="B35" s="81" t="inlineStr">
        <is>
          <t>PTB</t>
        </is>
      </c>
      <c r="C35" s="33" t="n"/>
      <c r="D35" s="33" t="n"/>
      <c r="E35" s="33" t="n"/>
      <c r="F35" s="33" t="n"/>
      <c r="G35" s="45" t="n"/>
      <c r="H35" s="81" t="inlineStr">
        <is>
          <t>EPTB</t>
        </is>
      </c>
      <c r="I35" s="33" t="n"/>
      <c r="J35" s="33" t="n"/>
      <c r="K35" s="33" t="n"/>
      <c r="L35" s="33" t="n"/>
      <c r="M35" s="45" t="n"/>
      <c r="N35" s="49" t="n"/>
      <c r="O35" s="6" t="inlineStr">
        <is>
          <t>Total No. of HH
of B+ PTB</t>
        </is>
      </c>
      <c r="P35" s="178" t="n"/>
      <c r="Q35" s="179" t="n"/>
      <c r="R35" s="6" t="inlineStr">
        <is>
          <t>No. of HH contacts of
B+ PTB Cases
Screened</t>
        </is>
      </c>
      <c r="S35" s="178" t="n"/>
      <c r="T35" s="179" t="n"/>
      <c r="U35" s="6" t="inlineStr">
        <is>
          <t>No. of TB 
Cases diagnosed Amoung HH
contact
screened</t>
        </is>
      </c>
      <c r="V35" s="178" t="n"/>
      <c r="W35" s="179" t="n"/>
      <c r="X35" s="6" t="inlineStr">
        <is>
          <t>No. of HH Contacts 
Initiated on TPT</t>
        </is>
      </c>
      <c r="Y35" s="178" t="n"/>
      <c r="Z35" s="178" t="n"/>
      <c r="AA35" s="179" t="n"/>
      <c r="AB35" s="6" t="inlineStr">
        <is>
          <t>HIV negative 
Immuno - compromised on 
TPT</t>
        </is>
      </c>
      <c r="AC35" s="178" t="n"/>
      <c r="AD35" s="179" t="n"/>
    </row>
    <row r="36" ht="39.75" customHeight="1">
      <c r="A36" s="191" t="n"/>
      <c r="B36" s="67" t="inlineStr">
        <is>
          <t>Rifampicin</t>
        </is>
      </c>
      <c r="C36" s="45" t="n"/>
      <c r="D36" s="67" t="inlineStr">
        <is>
          <t>Isoniazid</t>
        </is>
      </c>
      <c r="E36" s="45" t="n"/>
      <c r="F36" s="67" t="inlineStr">
        <is>
          <t>Fluoroquninolone</t>
        </is>
      </c>
      <c r="G36" s="45" t="n"/>
      <c r="H36" s="67" t="inlineStr">
        <is>
          <t>Rifampicin</t>
        </is>
      </c>
      <c r="I36" s="45" t="n"/>
      <c r="J36" s="67" t="inlineStr">
        <is>
          <t>Isoniazid</t>
        </is>
      </c>
      <c r="K36" s="45" t="n"/>
      <c r="L36" s="67" t="inlineStr">
        <is>
          <t>Fluoroquninolone</t>
        </is>
      </c>
      <c r="M36" s="45" t="n"/>
      <c r="N36" s="50" t="n"/>
      <c r="O36" s="182" t="n"/>
      <c r="Q36" s="181" t="n"/>
      <c r="R36" s="182" t="n"/>
      <c r="T36" s="181" t="n"/>
      <c r="U36" s="182" t="n"/>
      <c r="W36" s="181" t="n"/>
      <c r="X36" s="182" t="n"/>
      <c r="AA36" s="181" t="n"/>
      <c r="AB36" s="182" t="n"/>
      <c r="AD36" s="181" t="n"/>
    </row>
    <row r="37" ht="17.25" customHeight="1">
      <c r="A37" s="190" t="n"/>
      <c r="B37" s="67" t="inlineStr">
        <is>
          <t>S</t>
        </is>
      </c>
      <c r="C37" s="67" t="inlineStr">
        <is>
          <t>R</t>
        </is>
      </c>
      <c r="D37" s="67" t="inlineStr">
        <is>
          <t>S</t>
        </is>
      </c>
      <c r="E37" s="67" t="inlineStr">
        <is>
          <t>R</t>
        </is>
      </c>
      <c r="F37" s="67" t="inlineStr">
        <is>
          <t>S</t>
        </is>
      </c>
      <c r="G37" s="67" t="inlineStr">
        <is>
          <t>R</t>
        </is>
      </c>
      <c r="H37" s="67" t="inlineStr">
        <is>
          <t>S</t>
        </is>
      </c>
      <c r="I37" s="67" t="inlineStr">
        <is>
          <t>R</t>
        </is>
      </c>
      <c r="J37" s="67" t="inlineStr">
        <is>
          <t>S</t>
        </is>
      </c>
      <c r="K37" s="67" t="inlineStr">
        <is>
          <t>R</t>
        </is>
      </c>
      <c r="L37" s="67" t="inlineStr">
        <is>
          <t>S</t>
        </is>
      </c>
      <c r="M37" s="67" t="inlineStr">
        <is>
          <t>R</t>
        </is>
      </c>
      <c r="N37" s="51" t="n"/>
      <c r="O37" s="182" t="n"/>
      <c r="Q37" s="181" t="n"/>
      <c r="R37" s="182" t="n"/>
      <c r="T37" s="181" t="n"/>
      <c r="U37" s="182" t="n"/>
      <c r="W37" s="181" t="n"/>
      <c r="X37" s="183" t="n"/>
      <c r="Y37" s="22" t="n"/>
      <c r="Z37" s="22" t="n"/>
      <c r="AA37" s="184" t="n"/>
      <c r="AB37" s="183" t="n"/>
      <c r="AC37" s="22" t="n"/>
      <c r="AD37" s="184" t="n"/>
    </row>
    <row r="38" ht="24.9" customHeight="1">
      <c r="A38" s="67" t="inlineStr">
        <is>
          <t>New + UK</t>
        </is>
      </c>
      <c r="B38" s="4">
        <f>SUM(MPR!B38+KARACHI!B38+SINDH!B38+'GILGIT BALTISTAN'!B38+'AZAD KHASHMIR'!B38+'KHYBER PAKHTUNKHWA'!B38)</f>
        <v>730</v>
      </c>
      <c r="C38" s="4">
        <f>SUM(MPR!C38+KARACHI!C38+SINDH!C38+'GILGIT BALTISTAN'!C38+'AZAD KHASHMIR'!C38+'KHYBER PAKHTUNKHWA'!C38)</f>
        <v>3</v>
      </c>
      <c r="D38" s="4">
        <f>SUM(MPR!D38+KARACHI!D38+SINDH!D38+'GILGIT BALTISTAN'!D38+'AZAD KHASHMIR'!D38+'KHYBER PAKHTUNKHWA'!D38)</f>
        <v>9</v>
      </c>
      <c r="E38" s="4">
        <f>SUM(MPR!E38+KARACHI!E38+SINDH!E38+'GILGIT BALTISTAN'!E38+'AZAD KHASHMIR'!E38+'KHYBER PAKHTUNKHWA'!E38)</f>
        <v>0</v>
      </c>
      <c r="F38" s="4">
        <f>SUM(MPR!F38+KARACHI!F38+SINDH!F38+'GILGIT BALTISTAN'!F38+'AZAD KHASHMIR'!F38+'KHYBER PAKHTUNKHWA'!F38)</f>
        <v>0</v>
      </c>
      <c r="G38" s="4">
        <f>SUM(MPR!G38+KARACHI!G38+SINDH!G38+'GILGIT BALTISTAN'!G38+'AZAD KHASHMIR'!G38+'KHYBER PAKHTUNKHWA'!G38)</f>
        <v>0</v>
      </c>
      <c r="H38" s="4">
        <f>SUM(MPR!H38+KARACHI!H38+SINDH!H38+'GILGIT BALTISTAN'!H38+'AZAD KHASHMIR'!H38+'KHYBER PAKHTUNKHWA'!H38)</f>
        <v>1</v>
      </c>
      <c r="I38" s="4">
        <f>SUM(MPR!I38+KARACHI!I38+SINDH!I38+'GILGIT BALTISTAN'!I38+'AZAD KHASHMIR'!I38+'KHYBER PAKHTUNKHWA'!I38)</f>
        <v>0</v>
      </c>
      <c r="J38" s="4">
        <f>SUM(MPR!J38+KARACHI!J38+SINDH!J38+'GILGIT BALTISTAN'!J38+'AZAD KHASHMIR'!J38+'KHYBER PAKHTUNKHWA'!J38)</f>
        <v>0</v>
      </c>
      <c r="K38" s="4">
        <f>SUM(MPR!K38+KARACHI!K38+SINDH!K38+'GILGIT BALTISTAN'!K38+'AZAD KHASHMIR'!K38+'KHYBER PAKHTUNKHWA'!K38)</f>
        <v>0</v>
      </c>
      <c r="L38" s="4">
        <f>SUM(MPR!L38+KARACHI!L38+SINDH!L38+'GILGIT BALTISTAN'!L38+'AZAD KHASHMIR'!L38+'KHYBER PAKHTUNKHWA'!L38)</f>
        <v>0</v>
      </c>
      <c r="M38" s="4">
        <f>SUM(MPR!M38+KARACHI!M38+SINDH!M38+'GILGIT BALTISTAN'!M38+'AZAD KHASHMIR'!M38+'KHYBER PAKHTUNKHWA'!M38)</f>
        <v>0</v>
      </c>
      <c r="N38" s="51" t="n"/>
      <c r="O38" s="183" t="n"/>
      <c r="P38" s="22" t="n"/>
      <c r="Q38" s="184" t="n"/>
      <c r="R38" s="183" t="n"/>
      <c r="S38" s="22" t="n"/>
      <c r="T38" s="184" t="n"/>
      <c r="U38" s="183" t="n"/>
      <c r="V38" s="22" t="n"/>
      <c r="W38" s="184" t="n"/>
      <c r="X38" s="17" t="n"/>
      <c r="Y38" s="13" t="inlineStr">
        <is>
          <t>0-4</t>
        </is>
      </c>
      <c r="Z38" s="15" t="inlineStr">
        <is>
          <t>5-14</t>
        </is>
      </c>
      <c r="AA38" s="16" t="inlineStr">
        <is>
          <t>15+</t>
        </is>
      </c>
      <c r="AB38" s="13" t="inlineStr">
        <is>
          <t>0-4</t>
        </is>
      </c>
      <c r="AC38" s="15" t="inlineStr">
        <is>
          <t>5-14</t>
        </is>
      </c>
      <c r="AD38" s="16" t="inlineStr">
        <is>
          <t>15+</t>
        </is>
      </c>
    </row>
    <row r="39" ht="24.9" customHeight="1">
      <c r="A39" s="67" t="inlineStr">
        <is>
          <t>Relapse</t>
        </is>
      </c>
      <c r="B39" s="4">
        <f>SUM(MPR!B39+KARACHI!B39+SINDH!B39+'GILGIT BALTISTAN'!B39+'AZAD KHASHMIR'!B39+'KHYBER PAKHTUNKHWA'!B39)</f>
        <v>73</v>
      </c>
      <c r="C39" s="4">
        <f>SUM(MPR!C39+KARACHI!C39+SINDH!C39+'GILGIT BALTISTAN'!C39+'AZAD KHASHMIR'!C39+'KHYBER PAKHTUNKHWA'!C39)</f>
        <v>0</v>
      </c>
      <c r="D39" s="4">
        <f>SUM(MPR!D39+KARACHI!D39+SINDH!D39+'GILGIT BALTISTAN'!D39+'AZAD KHASHMIR'!D39+'KHYBER PAKHTUNKHWA'!D39)</f>
        <v>0</v>
      </c>
      <c r="E39" s="4">
        <f>SUM(MPR!E39+KARACHI!E39+SINDH!E39+'GILGIT BALTISTAN'!E39+'AZAD KHASHMIR'!E39+'KHYBER PAKHTUNKHWA'!E39)</f>
        <v>0</v>
      </c>
      <c r="F39" s="4">
        <f>SUM(MPR!F39+KARACHI!F39+SINDH!F39+'GILGIT BALTISTAN'!F39+'AZAD KHASHMIR'!F39+'KHYBER PAKHTUNKHWA'!F39)</f>
        <v>0</v>
      </c>
      <c r="G39" s="4">
        <f>SUM(MPR!G39+KARACHI!G39+SINDH!G39+'GILGIT BALTISTAN'!G39+'AZAD KHASHMIR'!G39+'KHYBER PAKHTUNKHWA'!G39)</f>
        <v>0</v>
      </c>
      <c r="H39" s="4">
        <f>SUM(MPR!H39+KARACHI!H39+SINDH!H39+'GILGIT BALTISTAN'!H39+'AZAD KHASHMIR'!H39+'KHYBER PAKHTUNKHWA'!H39)</f>
        <v>0</v>
      </c>
      <c r="I39" s="4">
        <f>SUM(MPR!I39+KARACHI!I39+SINDH!I39+'GILGIT BALTISTAN'!I39+'AZAD KHASHMIR'!I39+'KHYBER PAKHTUNKHWA'!I39)</f>
        <v>0</v>
      </c>
      <c r="J39" s="4">
        <f>SUM(MPR!J39+KARACHI!J39+SINDH!J39+'GILGIT BALTISTAN'!J39+'AZAD KHASHMIR'!J39+'KHYBER PAKHTUNKHWA'!J39)</f>
        <v>0</v>
      </c>
      <c r="K39" s="4">
        <f>SUM(MPR!K39+KARACHI!K39+SINDH!K39+'GILGIT BALTISTAN'!K39+'AZAD KHASHMIR'!K39+'KHYBER PAKHTUNKHWA'!K39)</f>
        <v>0</v>
      </c>
      <c r="L39" s="4">
        <f>SUM(MPR!L39+KARACHI!L39+SINDH!L39+'GILGIT BALTISTAN'!L39+'AZAD KHASHMIR'!L39+'KHYBER PAKHTUNKHWA'!L39)</f>
        <v>0</v>
      </c>
      <c r="M39" s="4">
        <f>SUM(MPR!M39+KARACHI!M39+SINDH!M39+'GILGIT BALTISTAN'!M39+'AZAD KHASHMIR'!M39+'KHYBER PAKHTUNKHWA'!M39)</f>
        <v>0</v>
      </c>
      <c r="N39" s="51" t="n"/>
      <c r="O39" s="7" t="inlineStr">
        <is>
          <t>0-4</t>
        </is>
      </c>
      <c r="P39" s="52" t="inlineStr">
        <is>
          <t>5-14</t>
        </is>
      </c>
      <c r="Q39" s="14" t="inlineStr">
        <is>
          <t>15 +</t>
        </is>
      </c>
      <c r="R39" s="13" t="inlineStr">
        <is>
          <t>0-4</t>
        </is>
      </c>
      <c r="S39" s="14" t="inlineStr">
        <is>
          <t>5-14</t>
        </is>
      </c>
      <c r="T39" s="14" t="inlineStr">
        <is>
          <t>15 +</t>
        </is>
      </c>
      <c r="U39" s="13" t="inlineStr">
        <is>
          <t>0-4</t>
        </is>
      </c>
      <c r="V39" s="14" t="inlineStr">
        <is>
          <t>5-14</t>
        </is>
      </c>
      <c r="W39" s="14" t="inlineStr">
        <is>
          <t>15 +</t>
        </is>
      </c>
      <c r="X39" s="17" t="inlineStr">
        <is>
          <t>6H</t>
        </is>
      </c>
      <c r="Y39" s="4">
        <f>SUM(MPR!Y39+KARACHI!Y39+SINDH!Y39+'GILGIT BALTISTAN'!Y39+'AZAD KHASHMIR'!Y39+'KHYBER PAKHTUNKHWA'!Y39)</f>
        <v>28</v>
      </c>
      <c r="Z39" s="4">
        <f>SUM(MPR!Z39+KARACHI!Z39+SINDH!Z39+'GILGIT BALTISTAN'!Z39+'AZAD KHASHMIR'!Z39+'KHYBER PAKHTUNKHWA'!Z39)</f>
        <v>17</v>
      </c>
      <c r="AA39" s="4">
        <f>SUM(MPR!AA39+KARACHI!AA39+SINDH!AA39+'GILGIT BALTISTAN'!AA39+'AZAD KHASHMIR'!AA39+'KHYBER PAKHTUNKHWA'!AA39)</f>
        <v>0</v>
      </c>
      <c r="AB39" s="4">
        <f>SUM(MPR!AB39+KARACHI!AB39+SINDH!AB39+'GILGIT BALTISTAN'!AB39+'AZAD KHASHMIR'!AB39+'KHYBER PAKHTUNKHWA'!AB39)</f>
        <v>0</v>
      </c>
      <c r="AC39" s="4">
        <f>SUM(MPR!AC39+KARACHI!AC39+SINDH!AC39+'GILGIT BALTISTAN'!AC39+'AZAD KHASHMIR'!AC39+'KHYBER PAKHTUNKHWA'!AC39)</f>
        <v>0</v>
      </c>
      <c r="AD39" s="4">
        <f>SUM(MPR!AD39+KARACHI!AD39+SINDH!AD39+'GILGIT BALTISTAN'!AD39+'AZAD KHASHMIR'!AD39+'KHYBER PAKHTUNKHWA'!AD39)</f>
        <v>0</v>
      </c>
    </row>
    <row r="40" ht="24.9" customHeight="1">
      <c r="A40" s="165" t="inlineStr">
        <is>
          <t>Previously treated</t>
        </is>
      </c>
      <c r="B40" s="4">
        <f>SUM(MPR!B40+KARACHI!B40+SINDH!B40+'GILGIT BALTISTAN'!B40+'AZAD KHASHMIR'!B40+'KHYBER PAKHTUNKHWA'!B40)</f>
        <v>2</v>
      </c>
      <c r="C40" s="4">
        <f>SUM(MPR!C40+KARACHI!C40+SINDH!C40+'GILGIT BALTISTAN'!C40+'AZAD KHASHMIR'!C40+'KHYBER PAKHTUNKHWA'!C40)</f>
        <v>0</v>
      </c>
      <c r="D40" s="4">
        <f>SUM(MPR!D40+KARACHI!D40+SINDH!D40+'GILGIT BALTISTAN'!D40+'AZAD KHASHMIR'!D40+'KHYBER PAKHTUNKHWA'!D40)</f>
        <v>0</v>
      </c>
      <c r="E40" s="4">
        <f>SUM(MPR!E40+KARACHI!E40+SINDH!E40+'GILGIT BALTISTAN'!E40+'AZAD KHASHMIR'!E40+'KHYBER PAKHTUNKHWA'!E40)</f>
        <v>0</v>
      </c>
      <c r="F40" s="4">
        <f>SUM(MPR!F40+KARACHI!F40+SINDH!F40+'GILGIT BALTISTAN'!F40+'AZAD KHASHMIR'!F40+'KHYBER PAKHTUNKHWA'!F40)</f>
        <v>0</v>
      </c>
      <c r="G40" s="4">
        <f>SUM(MPR!G40+KARACHI!G40+SINDH!G40+'GILGIT BALTISTAN'!G40+'AZAD KHASHMIR'!G40+'KHYBER PAKHTUNKHWA'!G40)</f>
        <v>0</v>
      </c>
      <c r="H40" s="4">
        <f>SUM(MPR!H40+KARACHI!H40+SINDH!H40+'GILGIT BALTISTAN'!H40+'AZAD KHASHMIR'!H40+'KHYBER PAKHTUNKHWA'!H40)</f>
        <v>0</v>
      </c>
      <c r="I40" s="4">
        <f>SUM(MPR!I40+KARACHI!I40+SINDH!I40+'GILGIT BALTISTAN'!I40+'AZAD KHASHMIR'!I40+'KHYBER PAKHTUNKHWA'!I40)</f>
        <v>0</v>
      </c>
      <c r="J40" s="4">
        <f>SUM(MPR!J40+KARACHI!J40+SINDH!J40+'GILGIT BALTISTAN'!J40+'AZAD KHASHMIR'!J40+'KHYBER PAKHTUNKHWA'!J40)</f>
        <v>0</v>
      </c>
      <c r="K40" s="4">
        <f>SUM(MPR!K40+KARACHI!K40+SINDH!K40+'GILGIT BALTISTAN'!K40+'AZAD KHASHMIR'!K40+'KHYBER PAKHTUNKHWA'!K40)</f>
        <v>0</v>
      </c>
      <c r="L40" s="4">
        <f>SUM(MPR!L40+KARACHI!L40+SINDH!L40+'GILGIT BALTISTAN'!L40+'AZAD KHASHMIR'!L40+'KHYBER PAKHTUNKHWA'!L40)</f>
        <v>0</v>
      </c>
      <c r="M40" s="4">
        <f>SUM(MPR!M40+KARACHI!M40+SINDH!M40+'GILGIT BALTISTAN'!M40+'AZAD KHASHMIR'!M40+'KHYBER PAKHTUNKHWA'!M40)</f>
        <v>0</v>
      </c>
      <c r="N40" s="51" t="n"/>
      <c r="O40" s="4">
        <f>SUM(MPR!O40+KARACHI!O40+SINDH!O40+'GILGIT BALTISTAN'!O40:O41+'AZAD KHASHMIR'!O40:O41+'KHYBER PAKHTUNKHWA'!O40:O41)</f>
        <v>436</v>
      </c>
      <c r="P40" s="4">
        <f>SUM(MPR!P40+KARACHI!P40+SINDH!P40+'GILGIT BALTISTAN'!P40:P41+'AZAD KHASHMIR'!P40:P41+'KHYBER PAKHTUNKHWA'!P40:P41)</f>
        <v>1151</v>
      </c>
      <c r="Q40" s="4">
        <f>SUM(MPR!Q40+KARACHI!Q40+SINDH!Q40+'GILGIT BALTISTAN'!Q40:Q41+'AZAD KHASHMIR'!Q40:Q41+'KHYBER PAKHTUNKHWA'!Q40:Q41)</f>
        <v>3427</v>
      </c>
      <c r="R40" s="4">
        <f>SUM(MPR!R40+KARACHI!R40+SINDH!R40+'GILGIT BALTISTAN'!R40:R41+'AZAD KHASHMIR'!R40:R41+'KHYBER PAKHTUNKHWA'!R40:R41)</f>
        <v>289</v>
      </c>
      <c r="S40" s="4">
        <f>SUM(MPR!S40+KARACHI!S40+SINDH!S40+'GILGIT BALTISTAN'!S40:S41+'AZAD KHASHMIR'!S40:S41+'KHYBER PAKHTUNKHWA'!S40:S41)</f>
        <v>929</v>
      </c>
      <c r="T40" s="4">
        <f>SUM(MPR!T40+KARACHI!T40+SINDH!T40+'GILGIT BALTISTAN'!T40:T41+'AZAD KHASHMIR'!T40:T41+'KHYBER PAKHTUNKHWA'!T40:T41)</f>
        <v>2870</v>
      </c>
      <c r="U40" s="4">
        <f>SUM(MPR!U40+KARACHI!U40+SINDH!U40+'GILGIT BALTISTAN'!U40:U41+'AZAD KHASHMIR'!U40:U41+'KHYBER PAKHTUNKHWA'!U40:U41)</f>
        <v>1</v>
      </c>
      <c r="V40" s="4">
        <f>SUM(MPR!V40+KARACHI!V40+SINDH!V40+'GILGIT BALTISTAN'!V40:V41+'AZAD KHASHMIR'!V40:V41+'KHYBER PAKHTUNKHWA'!V40:V41)</f>
        <v>7</v>
      </c>
      <c r="W40" s="4">
        <f>SUM(MPR!W40+KARACHI!W40+SINDH!W40+'GILGIT BALTISTAN'!W40:W41+'AZAD KHASHMIR'!W40:W41+'KHYBER PAKHTUNKHWA'!W40:W41)</f>
        <v>169</v>
      </c>
      <c r="X40" s="17" t="inlineStr">
        <is>
          <t>3HR</t>
        </is>
      </c>
      <c r="Y40" s="4">
        <f>SUM(MPR!Y40+KARACHI!Y40+SINDH!Y40+'GILGIT BALTISTAN'!Y40+'AZAD KHASHMIR'!Y40+'KHYBER PAKHTUNKHWA'!Y40)</f>
        <v>0</v>
      </c>
      <c r="Z40" s="4">
        <f>SUM(MPR!Z40+KARACHI!Z40+SINDH!Z40+'GILGIT BALTISTAN'!Z40+'AZAD KHASHMIR'!Z40+'KHYBER PAKHTUNKHWA'!Z40)</f>
        <v>2</v>
      </c>
      <c r="AA40" s="4">
        <f>SUM(MPR!AA40+KARACHI!AA40+SINDH!AA40+'GILGIT BALTISTAN'!AA40+'AZAD KHASHMIR'!AA40+'KHYBER PAKHTUNKHWA'!AA40)</f>
        <v>38</v>
      </c>
      <c r="AB40" s="4">
        <f>SUM(MPR!AB40+KARACHI!AB40+SINDH!AB40+'GILGIT BALTISTAN'!AB40+'AZAD KHASHMIR'!AB40+'KHYBER PAKHTUNKHWA'!AB40)</f>
        <v>0</v>
      </c>
      <c r="AC40" s="4">
        <f>SUM(MPR!AC40+KARACHI!AC40+SINDH!AC40+'GILGIT BALTISTAN'!AC40+'AZAD KHASHMIR'!AC40+'KHYBER PAKHTUNKHWA'!AC40)</f>
        <v>0</v>
      </c>
      <c r="AD40" s="4">
        <f>SUM(MPR!AD40+KARACHI!AD40+SINDH!AD40+'GILGIT BALTISTAN'!AD40+'AZAD KHASHMIR'!AD40+'KHYBER PAKHTUNKHWA'!AD40)</f>
        <v>0</v>
      </c>
    </row>
    <row r="41" ht="24.9" customHeight="1">
      <c r="A41" s="67" t="inlineStr">
        <is>
          <t>Total</t>
        </is>
      </c>
      <c r="B41" s="67">
        <f>SUM(B38:B40)</f>
        <v>805</v>
      </c>
      <c r="C41" s="67">
        <f>SUM(C38:C40)</f>
        <v>3</v>
      </c>
      <c r="D41" s="67">
        <f>SUM(D38:D40)</f>
        <v>9</v>
      </c>
      <c r="E41" s="67">
        <f>SUM(E38:E40)</f>
        <v>0</v>
      </c>
      <c r="F41" s="67">
        <f>SUM(F38:F40)</f>
        <v>0</v>
      </c>
      <c r="G41" s="67">
        <f>SUM(G38:G40)</f>
        <v>0</v>
      </c>
      <c r="H41" s="67">
        <f>SUM(H38:H40)</f>
        <v>1</v>
      </c>
      <c r="I41" s="67">
        <f>SUM(I38:I40)</f>
        <v>0</v>
      </c>
      <c r="J41" s="67">
        <f>SUM(J38:J40)</f>
        <v>0</v>
      </c>
      <c r="K41" s="67">
        <f>SUM(K38:K40)</f>
        <v>0</v>
      </c>
      <c r="L41" s="67">
        <f>SUM(L38:L40)</f>
        <v>0</v>
      </c>
      <c r="M41" s="67">
        <f>SUM(M38:M40)</f>
        <v>0</v>
      </c>
      <c r="N41" s="51" t="n"/>
      <c r="O41" s="190" t="n"/>
      <c r="P41" s="190" t="n"/>
      <c r="Q41" s="190" t="n"/>
      <c r="R41" s="190" t="n"/>
      <c r="S41" s="190" t="n"/>
      <c r="T41" s="190" t="n"/>
      <c r="U41" s="190" t="n"/>
      <c r="V41" s="190" t="n"/>
      <c r="W41" s="190" t="n"/>
      <c r="X41" s="53" t="inlineStr">
        <is>
          <t>3 HP</t>
        </is>
      </c>
      <c r="Y41" s="4">
        <f>SUM(MPR!Y41+KARACHI!Y41+SINDH!Y41+'GILGIT BALTISTAN'!Y41+'AZAD KHASHMIR'!Y41+'KHYBER PAKHTUNKHWA'!Y41)</f>
        <v>0</v>
      </c>
      <c r="Z41" s="4">
        <f>SUM(MPR!Z41+KARACHI!Z41+SINDH!Z41+'GILGIT BALTISTAN'!Z41+'AZAD KHASHMIR'!Z41+'KHYBER PAKHTUNKHWA'!Z41)</f>
        <v>48</v>
      </c>
      <c r="AA41" s="4">
        <f>SUM(MPR!AA41+KARACHI!AA41+SINDH!AA41+'GILGIT BALTISTAN'!AA41+'AZAD KHASHMIR'!AA41+'KHYBER PAKHTUNKHWA'!AA41)</f>
        <v>191</v>
      </c>
      <c r="AB41" s="4">
        <f>SUM(MPR!AB41+KARACHI!AB41+SINDH!AB41+'GILGIT BALTISTAN'!AB41+'AZAD KHASHMIR'!AB41+'KHYBER PAKHTUNKHWA'!AB41)</f>
        <v>0</v>
      </c>
      <c r="AC41" s="4">
        <f>SUM(MPR!AC41+KARACHI!AC41+SINDH!AC41+'GILGIT BALTISTAN'!AC41+'AZAD KHASHMIR'!AC41+'KHYBER PAKHTUNKHWA'!AC41)</f>
        <v>0</v>
      </c>
      <c r="AD41" s="4">
        <f>SUM(MPR!AD41+KARACHI!AD41+SINDH!AD41+'GILGIT BALTISTAN'!AD41+'AZAD KHASHMIR'!AD41+'KHYBER PAKHTUNKHWA'!AD41)</f>
        <v>0</v>
      </c>
    </row>
    <row r="42" ht="23.4" customHeight="1">
      <c r="A42" s="148" t="inlineStr">
        <is>
          <t xml:space="preserve">  QUARTERLY REPORT ON TB CASES REGISTRATION</t>
        </is>
      </c>
    </row>
    <row r="43" ht="23.4" customHeight="1">
      <c r="A43" s="146" t="inlineStr">
        <is>
          <t xml:space="preserve">                                                                       INDIVIDUAL/CONSOLIDATED (TICK ONE)</t>
        </is>
      </c>
      <c r="Y43" s="1" t="n"/>
      <c r="Z43" s="133" t="inlineStr">
        <is>
          <t>TB - 07</t>
        </is>
      </c>
      <c r="AB43" s="1" t="n"/>
      <c r="AC43" s="1" t="n"/>
      <c r="AD43" s="1" t="n"/>
    </row>
    <row r="44" ht="30.9" customHeight="1">
      <c r="A44" s="134" t="inlineStr">
        <is>
          <t xml:space="preserve">Name of TB Care Facility (BMU) :  </t>
        </is>
      </c>
      <c r="E44">
        <f>E4</f>
        <v>0</v>
      </c>
      <c r="I44" s="136" t="n"/>
      <c r="K44" s="176">
        <f>K4</f>
        <v>0</v>
      </c>
      <c r="O44" s="138" t="n"/>
      <c r="S44" s="54" t="n"/>
      <c r="T44" s="2" t="n"/>
      <c r="U44" s="139" t="inlineStr">
        <is>
          <t xml:space="preserve">Patients registered during  </t>
        </is>
      </c>
      <c r="Z44" s="147" t="inlineStr">
        <is>
          <t>2nd Quarter</t>
        </is>
      </c>
      <c r="AC44" s="98">
        <f>AC4</f>
        <v>0</v>
      </c>
    </row>
    <row r="45"/>
    <row r="46" ht="15.6" customHeight="1">
      <c r="A46" s="99" t="inlineStr">
        <is>
          <t>Name of TB Coodinator/Facility incharge  :</t>
        </is>
      </c>
      <c r="I46" s="100" t="inlineStr">
        <is>
          <t>___________________________________________________</t>
        </is>
      </c>
      <c r="P46" s="21" t="n"/>
      <c r="Q46" s="21" t="n"/>
      <c r="U46" s="101" t="inlineStr">
        <is>
          <t>Date of completion of this form :</t>
        </is>
      </c>
      <c r="AA46" s="102" t="inlineStr">
        <is>
          <t>_______________________</t>
        </is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" customHeight="1">
      <c r="A48" s="177" t="inlineStr">
        <is>
          <t xml:space="preserve">Block 1: </t>
        </is>
      </c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9" t="n"/>
      <c r="L48" s="67" t="inlineStr">
        <is>
          <t>New (N)</t>
        </is>
      </c>
      <c r="M48" s="179" t="n"/>
      <c r="N48" s="67" t="inlineStr">
        <is>
          <t>Relapse ®</t>
        </is>
      </c>
      <c r="O48" s="179" t="n"/>
      <c r="P48" s="165" t="inlineStr">
        <is>
          <t>Previous Treatment History Unknown
(UK)</t>
        </is>
      </c>
      <c r="Q48" s="178" t="n"/>
      <c r="R48" s="179" t="n"/>
      <c r="S48" s="165" t="inlineStr">
        <is>
          <t>New episode
(N+R+UK)</t>
        </is>
      </c>
      <c r="T48" s="178" t="n"/>
      <c r="U48" s="179" t="n"/>
      <c r="V48" s="67" t="inlineStr">
        <is>
          <t>Re - registered Cases ( Excluding Recurrent cases)</t>
        </is>
      </c>
      <c r="W48" s="33" t="n"/>
      <c r="X48" s="33" t="n"/>
      <c r="Y48" s="33" t="n"/>
      <c r="Z48" s="33" t="n"/>
      <c r="AA48" s="33" t="n"/>
      <c r="AB48" s="45" t="n"/>
      <c r="AC48" s="67" t="inlineStr">
        <is>
          <t>Total</t>
        </is>
      </c>
      <c r="AD48" s="179" t="n"/>
    </row>
    <row r="49" ht="23.25" customHeight="1">
      <c r="A49" s="180" t="inlineStr">
        <is>
          <t>All TB Cases Registered</t>
        </is>
      </c>
      <c r="K49" s="181" t="n"/>
      <c r="L49" s="182" t="n"/>
      <c r="M49" s="181" t="n"/>
      <c r="N49" s="182" t="n"/>
      <c r="O49" s="181" t="n"/>
      <c r="P49" s="182" t="n"/>
      <c r="R49" s="181" t="n"/>
      <c r="S49" s="182" t="n"/>
      <c r="U49" s="181" t="n"/>
      <c r="V49" s="165" t="inlineStr">
        <is>
          <t>Treatment after failure</t>
        </is>
      </c>
      <c r="W49" s="178" t="n"/>
      <c r="X49" s="179" t="n"/>
      <c r="Y49" s="165" t="inlineStr">
        <is>
          <t>Treatment after lost to follow-up</t>
        </is>
      </c>
      <c r="Z49" s="179" t="n"/>
      <c r="AA49" s="165" t="inlineStr">
        <is>
          <t>Other</t>
        </is>
      </c>
      <c r="AB49" s="179" t="n"/>
      <c r="AC49" s="182" t="n"/>
      <c r="AD49" s="181" t="n"/>
    </row>
    <row r="50">
      <c r="A50" s="183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184" t="n"/>
      <c r="L50" s="183" t="n"/>
      <c r="M50" s="184" t="n"/>
      <c r="N50" s="183" t="n"/>
      <c r="O50" s="184" t="n"/>
      <c r="P50" s="183" t="n"/>
      <c r="Q50" s="22" t="n"/>
      <c r="R50" s="184" t="n"/>
      <c r="S50" s="183" t="n"/>
      <c r="T50" s="22" t="n"/>
      <c r="U50" s="184" t="n"/>
      <c r="V50" s="183" t="n"/>
      <c r="W50" s="22" t="n"/>
      <c r="X50" s="184" t="n"/>
      <c r="Y50" s="183" t="n"/>
      <c r="Z50" s="184" t="n"/>
      <c r="AA50" s="183" t="n"/>
      <c r="AB50" s="184" t="n"/>
      <c r="AC50" s="183" t="n"/>
      <c r="AD50" s="184" t="n"/>
    </row>
    <row r="51" ht="24.9" customHeight="1">
      <c r="A51" s="185" t="inlineStr">
        <is>
          <t>Pulmonary, Bacteriologically Confermid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45" t="n"/>
      <c r="L51" s="4">
        <f>SUM(MPR!L50+KARACHI!L51+SINDH!L51+'GILGIT BALTISTAN'!L51:M51+'AZAD KHASHMIR'!L51:M51+'KHYBER PAKHTUNKHWA'!L51:M51)</f>
        <v>871</v>
      </c>
      <c r="M51" s="45" t="n"/>
      <c r="N51" s="4">
        <f>SUM(MPR!N50+KARACHI!N51+SINDH!N51+'GILGIT BALTISTAN'!N51:O51+'AZAD KHASHMIR'!N51:O51+'KHYBER PAKHTUNKHWA'!N51:O51)</f>
        <v>61</v>
      </c>
      <c r="O51" s="45" t="n"/>
      <c r="P51" s="4">
        <f>SUM(MPR!P50+KARACHI!P51+SINDH!P51+'GILGIT BALTISTAN'!P51:R51+'AZAD KHASHMIR'!P51:R51+'KHYBER PAKHTUNKHWA'!P51:R51)</f>
        <v>1</v>
      </c>
      <c r="Q51" s="33" t="n"/>
      <c r="R51" s="45" t="n"/>
      <c r="S51" s="4">
        <f>SUM(L51+N51+P51)</f>
        <v>933</v>
      </c>
      <c r="T51" s="33" t="n"/>
      <c r="U51" s="45" t="n"/>
      <c r="V51" s="4">
        <f>SUM(MPR!V50+KARACHI!V51+SINDH!V51+'GILGIT BALTISTAN'!V51:X51+'AZAD KHASHMIR'!V51:X51+'KHYBER PAKHTUNKHWA'!V51:X51)</f>
        <v>2</v>
      </c>
      <c r="W51" s="33" t="n"/>
      <c r="X51" s="45" t="n"/>
      <c r="Y51" s="4">
        <f>SUM(MPR!Y50+KARACHI!Y51+SINDH!Y51+'GILGIT BALTISTAN'!Y51:Z51+'AZAD KHASHMIR'!Y51:Z51+'KHYBER PAKHTUNKHWA'!Y51:Z51)</f>
        <v>3</v>
      </c>
      <c r="Z51" s="45" t="n"/>
      <c r="AA51" s="4">
        <f>SUM(MPR!AA50+KARACHI!AA51+SINDH!AA51+'GILGIT BALTISTAN'!AA51:AB51+'AZAD KHASHMIR'!AA51:AB51+'KHYBER PAKHTUNKHWA'!AA51:AB51)</f>
        <v>2</v>
      </c>
      <c r="AB51" s="45" t="n"/>
      <c r="AC51" s="4">
        <f>SUM(L51+N51+P51+V51+Y51+AA51)</f>
        <v>940</v>
      </c>
      <c r="AD51" s="45" t="n"/>
    </row>
    <row r="52" ht="24.9" customHeight="1">
      <c r="A52" s="185" t="inlineStr">
        <is>
          <t>Pulmonary , Clinically Diagnosed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45" t="n"/>
      <c r="L52" s="4">
        <f>SUM(MPR!L51+KARACHI!L52+SINDH!L52+'GILGIT BALTISTAN'!L52:M52+'AZAD KHASHMIR'!L52:M52+'KHYBER PAKHTUNKHWA'!L52:M52)</f>
        <v>1624</v>
      </c>
      <c r="M52" s="45" t="n"/>
      <c r="N52" s="4">
        <f>SUM(MPR!N51+KARACHI!N52+SINDH!N52+'GILGIT BALTISTAN'!N52:O52+'AZAD KHASHMIR'!N52:O52+'KHYBER PAKHTUNKHWA'!N52:O52)</f>
        <v>39</v>
      </c>
      <c r="O52" s="45" t="n"/>
      <c r="P52" s="4">
        <f>SUM(MPR!P51+KARACHI!P52+SINDH!P52+'GILGIT BALTISTAN'!P52:R52+'AZAD KHASHMIR'!P52:R52+'KHYBER PAKHTUNKHWA'!P52:R52)</f>
        <v>0</v>
      </c>
      <c r="Q52" s="33" t="n"/>
      <c r="R52" s="45" t="n"/>
      <c r="S52" s="4">
        <f>SUM(L52+N52+P52)</f>
        <v>1663</v>
      </c>
      <c r="T52" s="33" t="n"/>
      <c r="U52" s="45" t="n"/>
      <c r="V52" s="4">
        <f>SUM(MPR!V51+KARACHI!V52+SINDH!V52+'GILGIT BALTISTAN'!V52:X52+'AZAD KHASHMIR'!V52:X52+'KHYBER PAKHTUNKHWA'!V52:X52)</f>
        <v>1</v>
      </c>
      <c r="W52" s="33" t="n"/>
      <c r="X52" s="45" t="n"/>
      <c r="Y52" s="4">
        <f>SUM(MPR!Y51+KARACHI!Y52+SINDH!Y52+'GILGIT BALTISTAN'!Y52:Z52+'AZAD KHASHMIR'!Y52:Z52+'KHYBER PAKHTUNKHWA'!Y52:Z52)</f>
        <v>5</v>
      </c>
      <c r="Z52" s="45" t="n"/>
      <c r="AA52" s="4">
        <f>SUM(MPR!AA51+KARACHI!AA52+SINDH!AA52+'GILGIT BALTISTAN'!AA52:AB52+'AZAD KHASHMIR'!AA52:AB52+'KHYBER PAKHTUNKHWA'!AA52:AB52)</f>
        <v>5</v>
      </c>
      <c r="AB52" s="45" t="n"/>
      <c r="AC52" s="4">
        <f>SUM(L52+N52+P52+V52+Y52+AA52)</f>
        <v>1674</v>
      </c>
      <c r="AD52" s="45" t="n"/>
    </row>
    <row r="53" ht="24.9" customHeight="1">
      <c r="A53" s="185" t="inlineStr">
        <is>
          <t>Extra Pulmonary, Bacteriologically Confermid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45" t="n"/>
      <c r="L53" s="4">
        <f>SUM(MPR!L52+KARACHI!L53+SINDH!L53+'GILGIT BALTISTAN'!L53:M53+'AZAD KHASHMIR'!L53:M53+'KHYBER PAKHTUNKHWA'!L53:M53)</f>
        <v>6</v>
      </c>
      <c r="M53" s="45" t="n"/>
      <c r="N53" s="4">
        <f>SUM(MPR!N52+KARACHI!N53+SINDH!N53+'GILGIT BALTISTAN'!N53:O53+'AZAD KHASHMIR'!N53:O53+'KHYBER PAKHTUNKHWA'!N53:O53)</f>
        <v>0</v>
      </c>
      <c r="O53" s="45" t="n"/>
      <c r="P53" s="4">
        <f>SUM(MPR!P52+KARACHI!P53+SINDH!P53+'GILGIT BALTISTAN'!P53:R53+'AZAD KHASHMIR'!P53:R53+'KHYBER PAKHTUNKHWA'!P53:R53)</f>
        <v>0</v>
      </c>
      <c r="Q53" s="33" t="n"/>
      <c r="R53" s="45" t="n"/>
      <c r="S53" s="4">
        <f>SUM(L53+N53+P53)</f>
        <v>6</v>
      </c>
      <c r="T53" s="33" t="n"/>
      <c r="U53" s="45" t="n"/>
      <c r="V53" s="4">
        <f>SUM(MPR!V52+KARACHI!V53+SINDH!V53+'GILGIT BALTISTAN'!V53:X53+'AZAD KHASHMIR'!V53:X53+'KHYBER PAKHTUNKHWA'!V53:X53)</f>
        <v>0</v>
      </c>
      <c r="W53" s="33" t="n"/>
      <c r="X53" s="45" t="n"/>
      <c r="Y53" s="4">
        <f>SUM(MPR!Y52+KARACHI!Y53+SINDH!Y53+'GILGIT BALTISTAN'!Y53:Z53+'AZAD KHASHMIR'!Y53:Z53+'KHYBER PAKHTUNKHWA'!Y53:Z53)</f>
        <v>0</v>
      </c>
      <c r="Z53" s="45" t="n"/>
      <c r="AA53" s="4">
        <f>SUM(MPR!AA52+KARACHI!AA53+SINDH!AA53+'GILGIT BALTISTAN'!AA53:AB53+'AZAD KHASHMIR'!AA53:AB53+'KHYBER PAKHTUNKHWA'!AA53:AB53)</f>
        <v>2</v>
      </c>
      <c r="AB53" s="45" t="n"/>
      <c r="AC53" s="4">
        <f>SUM(L53+N53+P53+V53+Y53+AA53)</f>
        <v>8</v>
      </c>
      <c r="AD53" s="45" t="n"/>
    </row>
    <row r="54" ht="24.9" customHeight="1">
      <c r="A54" s="185" t="inlineStr">
        <is>
          <t>Extra Pulmonary , Clinically Diagnosed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45" t="n"/>
      <c r="L54" s="4">
        <f>SUM(MPR!L53+KARACHI!L54+SINDH!L54+'GILGIT BALTISTAN'!L54:M54+'AZAD KHASHMIR'!L54:M54+'KHYBER PAKHTUNKHWA'!L54:M54)</f>
        <v>883</v>
      </c>
      <c r="M54" s="45" t="n"/>
      <c r="N54" s="4">
        <f>SUM(MPR!N53+KARACHI!N54+SINDH!N54+'GILGIT BALTISTAN'!N54:O54+'AZAD KHASHMIR'!N54:O54+'KHYBER PAKHTUNKHWA'!N54:O54)</f>
        <v>13</v>
      </c>
      <c r="O54" s="45" t="n"/>
      <c r="P54" s="4">
        <f>SUM(MPR!P53+KARACHI!P54+SINDH!P54+'GILGIT BALTISTAN'!P54:R54+'AZAD KHASHMIR'!P54:R54+'KHYBER PAKHTUNKHWA'!P54:R54)</f>
        <v>0</v>
      </c>
      <c r="Q54" s="33" t="n"/>
      <c r="R54" s="45" t="n"/>
      <c r="S54" s="4">
        <f>SUM(L54+N54+P54)</f>
        <v>896</v>
      </c>
      <c r="T54" s="33" t="n"/>
      <c r="U54" s="45" t="n"/>
      <c r="V54" s="4">
        <f>SUM(MPR!V53+KARACHI!V54+SINDH!V54+'GILGIT BALTISTAN'!V54:X54+'AZAD KHASHMIR'!V54:X54+'KHYBER PAKHTUNKHWA'!V54:X54)</f>
        <v>0</v>
      </c>
      <c r="W54" s="33" t="n"/>
      <c r="X54" s="45" t="n"/>
      <c r="Y54" s="4">
        <f>SUM(MPR!Y53+KARACHI!Y54+SINDH!Y54+'GILGIT BALTISTAN'!Y54:Z54+'AZAD KHASHMIR'!Y54:Z54+'KHYBER PAKHTUNKHWA'!Y54:Z54)</f>
        <v>0</v>
      </c>
      <c r="Z54" s="45" t="n"/>
      <c r="AA54" s="4">
        <f>SUM(MPR!AA53+KARACHI!AA54+SINDH!AA54+'GILGIT BALTISTAN'!AA54:AB54+'AZAD KHASHMIR'!AA54:AB54+'KHYBER PAKHTUNKHWA'!AA54:AB54)</f>
        <v>3</v>
      </c>
      <c r="AB54" s="45" t="n"/>
      <c r="AC54" s="4">
        <f>SUM(L54+N54+P54+V54+Y54+AA54)</f>
        <v>899</v>
      </c>
      <c r="AD54" s="45" t="n"/>
    </row>
    <row r="55" ht="24.9" customHeight="1">
      <c r="A55" s="185" t="inlineStr">
        <is>
          <t>Total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45" t="n"/>
      <c r="L55" s="4">
        <f>SUM(L51:M54)</f>
        <v>3384</v>
      </c>
      <c r="M55" s="45" t="n"/>
      <c r="N55" s="4">
        <f>SUM(N51:O54)</f>
        <v>113</v>
      </c>
      <c r="O55" s="45" t="n"/>
      <c r="P55" s="4">
        <f>SUM(P51:R54)</f>
        <v>1</v>
      </c>
      <c r="Q55" s="33" t="n"/>
      <c r="R55" s="45" t="n"/>
      <c r="S55" s="4">
        <f>SUM(L55+N55+P55)</f>
        <v>3498</v>
      </c>
      <c r="T55" s="33" t="n"/>
      <c r="U55" s="45" t="n"/>
      <c r="V55" s="4">
        <f>SUM(V51:X54)</f>
        <v>3</v>
      </c>
      <c r="W55" s="33" t="n"/>
      <c r="X55" s="45" t="n"/>
      <c r="Y55" s="4">
        <f>SUM(Y51:Z54)</f>
        <v>8</v>
      </c>
      <c r="Z55" s="45" t="n"/>
      <c r="AA55" s="4">
        <f>SUM(AA51:AB54)</f>
        <v>12</v>
      </c>
      <c r="AB55" s="45" t="n"/>
      <c r="AC55" s="4">
        <f>SUM(L55+N55+P55+V55+Y55+AA55)</f>
        <v>3521</v>
      </c>
      <c r="AD55" s="45" t="n"/>
    </row>
    <row r="56" ht="15.6" customHeight="1">
      <c r="A56" s="23" t="inlineStr">
        <is>
          <t>Block 2: All New, Relapse and previous treatment history unknown Cases registered during the period by Age Group and Gender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/>
    </row>
    <row r="57" ht="21.75" customHeight="1">
      <c r="A57" s="186" t="n"/>
      <c r="B57" s="178" t="n"/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67" t="inlineStr">
        <is>
          <t>0-4</t>
        </is>
      </c>
      <c r="M57" s="45" t="n"/>
      <c r="N57" s="187" t="inlineStr">
        <is>
          <t>5-14</t>
        </is>
      </c>
      <c r="O57" s="45" t="n"/>
      <c r="P57" s="188" t="inlineStr">
        <is>
          <t>15-24</t>
        </is>
      </c>
      <c r="Q57" s="45" t="n"/>
      <c r="R57" s="188" t="inlineStr">
        <is>
          <t>25-34</t>
        </is>
      </c>
      <c r="S57" s="45" t="n"/>
      <c r="T57" s="188" t="inlineStr">
        <is>
          <t>35-44</t>
        </is>
      </c>
      <c r="U57" s="45" t="n"/>
      <c r="V57" s="188" t="inlineStr">
        <is>
          <t>45-54</t>
        </is>
      </c>
      <c r="W57" s="45" t="n"/>
      <c r="X57" s="188" t="inlineStr">
        <is>
          <t>55-64</t>
        </is>
      </c>
      <c r="Y57" s="45" t="n"/>
      <c r="Z57" s="188" t="inlineStr">
        <is>
          <t>65 &amp; Above</t>
        </is>
      </c>
      <c r="AA57" s="45" t="n"/>
      <c r="AB57" s="188" t="inlineStr">
        <is>
          <t>Total</t>
        </is>
      </c>
      <c r="AC57" s="45" t="n"/>
      <c r="AD57" s="189" t="inlineStr">
        <is>
          <t>Grand
Total</t>
        </is>
      </c>
    </row>
    <row r="58">
      <c r="A58" s="183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184" t="n"/>
      <c r="L58" s="67" t="inlineStr">
        <is>
          <t>M</t>
        </is>
      </c>
      <c r="M58" s="67" t="inlineStr">
        <is>
          <t>F</t>
        </is>
      </c>
      <c r="N58" s="67" t="inlineStr">
        <is>
          <t>M</t>
        </is>
      </c>
      <c r="O58" s="67" t="inlineStr">
        <is>
          <t>F</t>
        </is>
      </c>
      <c r="P58" s="67" t="inlineStr">
        <is>
          <t>M</t>
        </is>
      </c>
      <c r="Q58" s="67" t="inlineStr">
        <is>
          <t>F</t>
        </is>
      </c>
      <c r="R58" s="67" t="inlineStr">
        <is>
          <t>M</t>
        </is>
      </c>
      <c r="S58" s="67" t="inlineStr">
        <is>
          <t>F</t>
        </is>
      </c>
      <c r="T58" s="67" t="inlineStr">
        <is>
          <t>M</t>
        </is>
      </c>
      <c r="U58" s="67" t="inlineStr">
        <is>
          <t>F</t>
        </is>
      </c>
      <c r="V58" s="67" t="inlineStr">
        <is>
          <t>M</t>
        </is>
      </c>
      <c r="W58" s="67" t="inlineStr">
        <is>
          <t>F</t>
        </is>
      </c>
      <c r="X58" s="67" t="inlineStr">
        <is>
          <t>M</t>
        </is>
      </c>
      <c r="Y58" s="67" t="inlineStr">
        <is>
          <t>F</t>
        </is>
      </c>
      <c r="Z58" s="67" t="inlineStr">
        <is>
          <t>M</t>
        </is>
      </c>
      <c r="AA58" s="67" t="inlineStr">
        <is>
          <t>F</t>
        </is>
      </c>
      <c r="AB58" s="67" t="inlineStr">
        <is>
          <t>M</t>
        </is>
      </c>
      <c r="AC58" s="67" t="inlineStr">
        <is>
          <t>F</t>
        </is>
      </c>
      <c r="AD58" s="190" t="n"/>
    </row>
    <row r="59" ht="24.9" customHeight="1">
      <c r="A59" s="185" t="inlineStr">
        <is>
          <t>Pulmonary, Bacteriologically Confermid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45" t="n"/>
      <c r="L59" s="4">
        <f>SUM(MPR!L58+KARACHI!L59+SINDH!L59+'GILGIT BALTISTAN'!L59+'AZAD KHASHMIR'!L59+'KHYBER PAKHTUNKHWA'!L59)</f>
        <v>1</v>
      </c>
      <c r="M59" s="4">
        <f>SUM(MPR!M58+KARACHI!M59+SINDH!M59+'GILGIT BALTISTAN'!M59+'AZAD KHASHMIR'!M59+'KHYBER PAKHTUNKHWA'!M59)</f>
        <v>2</v>
      </c>
      <c r="N59" s="4">
        <f>SUM(MPR!N58+KARACHI!N59+SINDH!N59+'GILGIT BALTISTAN'!N59+'AZAD KHASHMIR'!N59+'KHYBER PAKHTUNKHWA'!N59)</f>
        <v>12</v>
      </c>
      <c r="O59" s="4">
        <f>SUM(MPR!O58+KARACHI!O59+SINDH!O59+'GILGIT BALTISTAN'!O59+'AZAD KHASHMIR'!O59+'KHYBER PAKHTUNKHWA'!O59)</f>
        <v>28</v>
      </c>
      <c r="P59" s="4">
        <f>SUM(MPR!P58+KARACHI!P59+SINDH!P59+'GILGIT BALTISTAN'!P59+'AZAD KHASHMIR'!P59+'KHYBER PAKHTUNKHWA'!P59)</f>
        <v>68</v>
      </c>
      <c r="Q59" s="4">
        <f>SUM(MPR!Q58+KARACHI!Q59+SINDH!Q59+'GILGIT BALTISTAN'!Q59+'AZAD KHASHMIR'!Q59+'KHYBER PAKHTUNKHWA'!Q59)</f>
        <v>110</v>
      </c>
      <c r="R59" s="4">
        <f>SUM(MPR!R58+KARACHI!R59+SINDH!R59+'GILGIT BALTISTAN'!R59+'AZAD KHASHMIR'!R59+'KHYBER PAKHTUNKHWA'!R59)</f>
        <v>67</v>
      </c>
      <c r="S59" s="4">
        <f>SUM(MPR!S58+KARACHI!S59+SINDH!S59+'GILGIT BALTISTAN'!S59+'AZAD KHASHMIR'!S59+'KHYBER PAKHTUNKHWA'!S59)</f>
        <v>77</v>
      </c>
      <c r="T59" s="4">
        <f>SUM(MPR!T58+KARACHI!T59+SINDH!T59+'GILGIT BALTISTAN'!T59+'AZAD KHASHMIR'!T59+'KHYBER PAKHTUNKHWA'!T59)</f>
        <v>57</v>
      </c>
      <c r="U59" s="4">
        <f>SUM(MPR!U58+KARACHI!U59+SINDH!U59+'GILGIT BALTISTAN'!U59+'AZAD KHASHMIR'!U59+'KHYBER PAKHTUNKHWA'!U59)</f>
        <v>64</v>
      </c>
      <c r="V59" s="4">
        <f>SUM(MPR!V58+KARACHI!V59+SINDH!V59+'GILGIT BALTISTAN'!V59+'AZAD KHASHMIR'!V59+'KHYBER PAKHTUNKHWA'!V59)</f>
        <v>64</v>
      </c>
      <c r="W59" s="4">
        <f>SUM(MPR!W58+KARACHI!W59+SINDH!W59+'GILGIT BALTISTAN'!W59+'AZAD KHASHMIR'!W59+'KHYBER PAKHTUNKHWA'!W59)</f>
        <v>55</v>
      </c>
      <c r="X59" s="4">
        <f>SUM(MPR!X58+KARACHI!X59+SINDH!X59+'GILGIT BALTISTAN'!X59+'AZAD KHASHMIR'!X59+'KHYBER PAKHTUNKHWA'!X59)</f>
        <v>73</v>
      </c>
      <c r="Y59" s="4">
        <f>SUM(MPR!Y58+KARACHI!Y59+SINDH!Y59+'GILGIT BALTISTAN'!Y59+'AZAD KHASHMIR'!Y59+'KHYBER PAKHTUNKHWA'!Y59)</f>
        <v>69</v>
      </c>
      <c r="Z59" s="4">
        <f>SUM(MPR!Z58+KARACHI!Z59+SINDH!Z59+'GILGIT BALTISTAN'!Z59+'AZAD KHASHMIR'!Z59+'KHYBER PAKHTUNKHWA'!Z59)</f>
        <v>89</v>
      </c>
      <c r="AA59" s="4">
        <f>SUM(MPR!AA58+KARACHI!AA59+SINDH!AA59+'GILGIT BALTISTAN'!AA59+'AZAD KHASHMIR'!AA59+'KHYBER PAKHTUNKHWA'!AA59)</f>
        <v>97</v>
      </c>
      <c r="AB59" s="4">
        <f>SUM(L59+N59+P59+R59+T59+V59+X59+Z59)</f>
        <v>431</v>
      </c>
      <c r="AC59" s="4">
        <f>SUM(M59+O59+Q59+S59+U59+W59+Y59+AA59)</f>
        <v>502</v>
      </c>
      <c r="AD59" s="4">
        <f>SUM(AB59:AC59)</f>
        <v>933</v>
      </c>
    </row>
    <row r="60" ht="24.9" customHeight="1">
      <c r="A60" s="185" t="inlineStr">
        <is>
          <t>Pulmonary , Clinically Diagnosed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45" t="n"/>
      <c r="L60" s="4">
        <f>SUM(MPR!L59+KARACHI!L60+SINDH!L60+'GILGIT BALTISTAN'!L60+'AZAD KHASHMIR'!L60+'KHYBER PAKHTUNKHWA'!L60)</f>
        <v>299</v>
      </c>
      <c r="M60" s="4">
        <f>SUM(MPR!M59+KARACHI!M60+SINDH!M60+'GILGIT BALTISTAN'!M60+'AZAD KHASHMIR'!M60+'KHYBER PAKHTUNKHWA'!M60)</f>
        <v>235</v>
      </c>
      <c r="N60" s="4">
        <f>SUM(MPR!N59+KARACHI!N60+SINDH!N60+'GILGIT BALTISTAN'!N60+'AZAD KHASHMIR'!N60+'KHYBER PAKHTUNKHWA'!N60)</f>
        <v>99</v>
      </c>
      <c r="O60" s="4">
        <f>SUM(MPR!O59+KARACHI!O60+SINDH!O60+'GILGIT BALTISTAN'!O60+'AZAD KHASHMIR'!O60+'KHYBER PAKHTUNKHWA'!O60)</f>
        <v>92</v>
      </c>
      <c r="P60" s="4">
        <f>SUM(MPR!P59+KARACHI!P60+SINDH!P60+'GILGIT BALTISTAN'!P60+'AZAD KHASHMIR'!P60+'KHYBER PAKHTUNKHWA'!P60)</f>
        <v>89</v>
      </c>
      <c r="Q60" s="4">
        <f>SUM(MPR!Q59+KARACHI!Q60+SINDH!Q60+'GILGIT BALTISTAN'!Q60+'AZAD KHASHMIR'!Q60+'KHYBER PAKHTUNKHWA'!Q60)</f>
        <v>99</v>
      </c>
      <c r="R60" s="4">
        <f>SUM(MPR!R59+KARACHI!R60+SINDH!R60+'GILGIT BALTISTAN'!R60+'AZAD KHASHMIR'!R60+'KHYBER PAKHTUNKHWA'!R60)</f>
        <v>75</v>
      </c>
      <c r="S60" s="4">
        <f>SUM(MPR!S59+KARACHI!S60+SINDH!S60+'GILGIT BALTISTAN'!S60+'AZAD KHASHMIR'!S60+'KHYBER PAKHTUNKHWA'!S60)</f>
        <v>108</v>
      </c>
      <c r="T60" s="4">
        <f>SUM(MPR!T59+KARACHI!T60+SINDH!T60+'GILGIT BALTISTAN'!T60+'AZAD KHASHMIR'!T60+'KHYBER PAKHTUNKHWA'!T60)</f>
        <v>70</v>
      </c>
      <c r="U60" s="4">
        <f>SUM(MPR!U59+KARACHI!U60+SINDH!U60+'GILGIT BALTISTAN'!U60+'AZAD KHASHMIR'!U60+'KHYBER PAKHTUNKHWA'!U60)</f>
        <v>68</v>
      </c>
      <c r="V60" s="4">
        <f>SUM(MPR!V59+KARACHI!V60+SINDH!V60+'GILGIT BALTISTAN'!V60+'AZAD KHASHMIR'!V60+'KHYBER PAKHTUNKHWA'!V60)</f>
        <v>59</v>
      </c>
      <c r="W60" s="4">
        <f>SUM(MPR!W59+KARACHI!W60+SINDH!W60+'GILGIT BALTISTAN'!W60+'AZAD KHASHMIR'!W60+'KHYBER PAKHTUNKHWA'!W60)</f>
        <v>61</v>
      </c>
      <c r="X60" s="4">
        <f>SUM(MPR!X59+KARACHI!X60+SINDH!X60+'GILGIT BALTISTAN'!X60+'AZAD KHASHMIR'!X60+'KHYBER PAKHTUNKHWA'!X60)</f>
        <v>65</v>
      </c>
      <c r="Y60" s="4">
        <f>SUM(MPR!Y59+KARACHI!Y60+SINDH!Y60+'GILGIT BALTISTAN'!Y60+'AZAD KHASHMIR'!Y60+'KHYBER PAKHTUNKHWA'!Y60)</f>
        <v>57</v>
      </c>
      <c r="Z60" s="4">
        <f>SUM(MPR!Z59+KARACHI!Z60+SINDH!Z60+'GILGIT BALTISTAN'!Z60+'AZAD KHASHMIR'!Z60+'KHYBER PAKHTUNKHWA'!Z60)</f>
        <v>107</v>
      </c>
      <c r="AA60" s="4">
        <f>SUM(MPR!AA59+KARACHI!AA60+SINDH!AA60+'GILGIT BALTISTAN'!AA60+'AZAD KHASHMIR'!AA60+'KHYBER PAKHTUNKHWA'!AA60)</f>
        <v>80</v>
      </c>
      <c r="AB60" s="4">
        <f>SUM(L60+N60+P60+R60+T60+V60+X60+Z60)</f>
        <v>863</v>
      </c>
      <c r="AC60" s="4">
        <f>SUM(M60+O60+Q60+S60+U60+W60+Y60+AA60)</f>
        <v>800</v>
      </c>
      <c r="AD60" s="4">
        <f>SUM(AB60:AC60)</f>
        <v>1663</v>
      </c>
    </row>
    <row r="61" ht="24.9" customHeight="1">
      <c r="A61" s="185" t="inlineStr">
        <is>
          <t>Extra Pulmonary, Bacteriologically Confermid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45" t="n"/>
      <c r="L61" s="4">
        <f>SUM(MPR!L60+KARACHI!L61+SINDH!L61+'GILGIT BALTISTAN'!L61+'AZAD KHASHMIR'!L61+'KHYBER PAKHTUNKHWA'!L61)</f>
        <v>0</v>
      </c>
      <c r="M61" s="4">
        <f>SUM(MPR!M60+KARACHI!M61+SINDH!M61+'GILGIT BALTISTAN'!M61+'AZAD KHASHMIR'!M61+'KHYBER PAKHTUNKHWA'!M61)</f>
        <v>0</v>
      </c>
      <c r="N61" s="4">
        <f>SUM(MPR!N60+KARACHI!N61+SINDH!N61+'GILGIT BALTISTAN'!N61+'AZAD KHASHMIR'!N61+'KHYBER PAKHTUNKHWA'!N61)</f>
        <v>1</v>
      </c>
      <c r="O61" s="4">
        <f>SUM(MPR!O60+KARACHI!O61+SINDH!O61+'GILGIT BALTISTAN'!O61+'AZAD KHASHMIR'!O61+'KHYBER PAKHTUNKHWA'!O61)</f>
        <v>0</v>
      </c>
      <c r="P61" s="4">
        <f>SUM(MPR!P60+KARACHI!P61+SINDH!P61+'GILGIT BALTISTAN'!P61+'AZAD KHASHMIR'!P61+'KHYBER PAKHTUNKHWA'!P61)</f>
        <v>1</v>
      </c>
      <c r="Q61" s="4">
        <f>SUM(MPR!Q60+KARACHI!Q61+SINDH!Q61+'GILGIT BALTISTAN'!Q61+'AZAD KHASHMIR'!Q61+'KHYBER PAKHTUNKHWA'!Q61)</f>
        <v>0</v>
      </c>
      <c r="R61" s="4">
        <f>SUM(MPR!R60+KARACHI!R61+SINDH!R61+'GILGIT BALTISTAN'!R61+'AZAD KHASHMIR'!R61+'KHYBER PAKHTUNKHWA'!R61)</f>
        <v>2</v>
      </c>
      <c r="S61" s="4">
        <f>SUM(MPR!S60+KARACHI!S61+SINDH!S61+'GILGIT BALTISTAN'!S61+'AZAD KHASHMIR'!S61+'KHYBER PAKHTUNKHWA'!S61)</f>
        <v>1</v>
      </c>
      <c r="T61" s="4">
        <f>SUM(MPR!T60+KARACHI!T61+SINDH!T61+'GILGIT BALTISTAN'!T61+'AZAD KHASHMIR'!T61+'KHYBER PAKHTUNKHWA'!T61)</f>
        <v>0</v>
      </c>
      <c r="U61" s="4">
        <f>SUM(MPR!U60+KARACHI!U61+SINDH!U61+'GILGIT BALTISTAN'!U61+'AZAD KHASHMIR'!U61+'KHYBER PAKHTUNKHWA'!U61)</f>
        <v>0</v>
      </c>
      <c r="V61" s="4">
        <f>SUM(MPR!V60+KARACHI!V61+SINDH!V61+'GILGIT BALTISTAN'!V61+'AZAD KHASHMIR'!V61+'KHYBER PAKHTUNKHWA'!V61)</f>
        <v>0</v>
      </c>
      <c r="W61" s="4">
        <f>SUM(MPR!W60+KARACHI!W61+SINDH!W61+'GILGIT BALTISTAN'!W61+'AZAD KHASHMIR'!W61+'KHYBER PAKHTUNKHWA'!W61)</f>
        <v>0</v>
      </c>
      <c r="X61" s="4">
        <f>SUM(MPR!X60+KARACHI!X61+SINDH!X61+'GILGIT BALTISTAN'!X61+'AZAD KHASHMIR'!X61+'KHYBER PAKHTUNKHWA'!X61)</f>
        <v>0</v>
      </c>
      <c r="Y61" s="4">
        <f>SUM(MPR!Y60+KARACHI!Y61+SINDH!Y61+'GILGIT BALTISTAN'!Y61+'AZAD KHASHMIR'!Y61+'KHYBER PAKHTUNKHWA'!Y61)</f>
        <v>1</v>
      </c>
      <c r="Z61" s="4">
        <f>SUM(MPR!Z60+KARACHI!Z61+SINDH!Z61+'GILGIT BALTISTAN'!Z61+'AZAD KHASHMIR'!Z61+'KHYBER PAKHTUNKHWA'!Z61)</f>
        <v>0</v>
      </c>
      <c r="AA61" s="4">
        <f>SUM(MPR!AA60+KARACHI!AA61+SINDH!AA61+'GILGIT BALTISTAN'!AA61+'AZAD KHASHMIR'!AA61+'KHYBER PAKHTUNKHWA'!AA61)</f>
        <v>0</v>
      </c>
      <c r="AB61" s="4">
        <f>SUM(L61+N61+P61+R61+T61+V61+X61+Z61)</f>
        <v>4</v>
      </c>
      <c r="AC61" s="4">
        <f>SUM(M61+O61+Q61+S61+U61+W61+Y61+AA61)</f>
        <v>2</v>
      </c>
      <c r="AD61" s="4">
        <f>SUM(AB61:AC61)</f>
        <v>6</v>
      </c>
    </row>
    <row r="62" ht="24.9" customHeight="1">
      <c r="A62" s="185" t="inlineStr">
        <is>
          <t>Extra Pulmonary , Clinically Diagnosed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45" t="n"/>
      <c r="L62" s="4">
        <f>SUM(MPR!L61+KARACHI!L62+SINDH!L62+'GILGIT BALTISTAN'!L62+'AZAD KHASHMIR'!L62+'KHYBER PAKHTUNKHWA'!L62)</f>
        <v>126</v>
      </c>
      <c r="M62" s="4">
        <f>SUM(MPR!M61+KARACHI!M62+SINDH!M62+'GILGIT BALTISTAN'!M62+'AZAD KHASHMIR'!M62+'KHYBER PAKHTUNKHWA'!M62)</f>
        <v>91</v>
      </c>
      <c r="N62" s="4">
        <f>SUM(MPR!N61+KARACHI!N62+SINDH!N62+'GILGIT BALTISTAN'!N62+'AZAD KHASHMIR'!N62+'KHYBER PAKHTUNKHWA'!N62)</f>
        <v>56</v>
      </c>
      <c r="O62" s="4">
        <f>SUM(MPR!O61+KARACHI!O62+SINDH!O62+'GILGIT BALTISTAN'!O62+'AZAD KHASHMIR'!O62+'KHYBER PAKHTUNKHWA'!O62)</f>
        <v>49</v>
      </c>
      <c r="P62" s="4">
        <f>SUM(MPR!P61+KARACHI!P62+SINDH!P62+'GILGIT BALTISTAN'!P62+'AZAD KHASHMIR'!P62+'KHYBER PAKHTUNKHWA'!P62)</f>
        <v>60</v>
      </c>
      <c r="Q62" s="4">
        <f>SUM(MPR!Q61+KARACHI!Q62+SINDH!Q62+'GILGIT BALTISTAN'!Q62+'AZAD KHASHMIR'!Q62+'KHYBER PAKHTUNKHWA'!Q62)</f>
        <v>76</v>
      </c>
      <c r="R62" s="4">
        <f>SUM(MPR!R61+KARACHI!R62+SINDH!R62+'GILGIT BALTISTAN'!R62+'AZAD KHASHMIR'!R62+'KHYBER PAKHTUNKHWA'!R62)</f>
        <v>56</v>
      </c>
      <c r="S62" s="4">
        <f>SUM(MPR!S61+KARACHI!S62+SINDH!S62+'GILGIT BALTISTAN'!S62+'AZAD KHASHMIR'!S62+'KHYBER PAKHTUNKHWA'!S62)</f>
        <v>50</v>
      </c>
      <c r="T62" s="4">
        <f>SUM(MPR!T61+KARACHI!T62+SINDH!T62+'GILGIT BALTISTAN'!T62+'AZAD KHASHMIR'!T62+'KHYBER PAKHTUNKHWA'!T62)</f>
        <v>33</v>
      </c>
      <c r="U62" s="4">
        <f>SUM(MPR!U61+KARACHI!U62+SINDH!U62+'GILGIT BALTISTAN'!U62+'AZAD KHASHMIR'!U62+'KHYBER PAKHTUNKHWA'!U62)</f>
        <v>38</v>
      </c>
      <c r="V62" s="4">
        <f>SUM(MPR!V61+KARACHI!V62+SINDH!V62+'GILGIT BALTISTAN'!V62+'AZAD KHASHMIR'!V62+'KHYBER PAKHTUNKHWA'!V62)</f>
        <v>45</v>
      </c>
      <c r="W62" s="4">
        <f>SUM(MPR!W61+KARACHI!W62+SINDH!W62+'GILGIT BALTISTAN'!W62+'AZAD KHASHMIR'!W62+'KHYBER PAKHTUNKHWA'!W62)</f>
        <v>41</v>
      </c>
      <c r="X62" s="4">
        <f>SUM(MPR!X61+KARACHI!X62+SINDH!X62+'GILGIT BALTISTAN'!X62+'AZAD KHASHMIR'!X62+'KHYBER PAKHTUNKHWA'!X62)</f>
        <v>50</v>
      </c>
      <c r="Y62" s="4">
        <f>SUM(MPR!Y61+KARACHI!Y62+SINDH!Y62+'GILGIT BALTISTAN'!Y62+'AZAD KHASHMIR'!Y62+'KHYBER PAKHTUNKHWA'!Y62)</f>
        <v>37</v>
      </c>
      <c r="Z62" s="4">
        <f>SUM(MPR!Z61+KARACHI!Z62+SINDH!Z62+'GILGIT BALTISTAN'!Z62+'AZAD KHASHMIR'!Z62+'KHYBER PAKHTUNKHWA'!Z62)</f>
        <v>55</v>
      </c>
      <c r="AA62" s="4">
        <f>SUM(MPR!AA61+KARACHI!AA62+SINDH!AA62+'GILGIT BALTISTAN'!AA62+'AZAD KHASHMIR'!AA62+'KHYBER PAKHTUNKHWA'!AA62)</f>
        <v>33</v>
      </c>
      <c r="AB62" s="4">
        <f>SUM(L62+N62+P62+R62+T62+V62+X62+Z62)</f>
        <v>481</v>
      </c>
      <c r="AC62" s="4">
        <f>SUM(M62+O62+Q62+S62+U62+W62+Y62+AA62)</f>
        <v>415</v>
      </c>
      <c r="AD62" s="4">
        <f>SUM(AB62:AC62)</f>
        <v>896</v>
      </c>
    </row>
    <row r="63" ht="24.9" customHeight="1">
      <c r="A63" s="67" t="inlineStr">
        <is>
          <t>Total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45" t="n"/>
      <c r="L63" s="4">
        <f>SUM(L59:L62)</f>
        <v>426</v>
      </c>
      <c r="M63" s="4">
        <f>SUM(M59:M62)</f>
        <v>328</v>
      </c>
      <c r="N63" s="4">
        <f>SUM(N59:N62)</f>
        <v>168</v>
      </c>
      <c r="O63" s="4">
        <f>SUM(O59:O62)</f>
        <v>169</v>
      </c>
      <c r="P63" s="4">
        <f>SUM(P59:P62)</f>
        <v>218</v>
      </c>
      <c r="Q63" s="4">
        <f>SUM(Q59:Q62)</f>
        <v>285</v>
      </c>
      <c r="R63" s="4">
        <f>SUM(R59:R62)</f>
        <v>200</v>
      </c>
      <c r="S63" s="4">
        <f>SUM(S59:S62)</f>
        <v>236</v>
      </c>
      <c r="T63" s="4">
        <f>SUM(T59:T62)</f>
        <v>160</v>
      </c>
      <c r="U63" s="4">
        <f>SUM(U59:U62)</f>
        <v>170</v>
      </c>
      <c r="V63" s="4">
        <f>SUM(V59:V62)</f>
        <v>168</v>
      </c>
      <c r="W63" s="4">
        <f>SUM(W59:W62)</f>
        <v>157</v>
      </c>
      <c r="X63" s="4">
        <f>SUM(X59:X62)</f>
        <v>188</v>
      </c>
      <c r="Y63" s="4">
        <f>SUM(Y59:Y62)</f>
        <v>164</v>
      </c>
      <c r="Z63" s="4">
        <f>SUM(Z59:Z62)</f>
        <v>251</v>
      </c>
      <c r="AA63" s="4">
        <f>SUM(AA59:AA62)</f>
        <v>210</v>
      </c>
      <c r="AB63" s="4">
        <f>SUM(AB59:AB62)</f>
        <v>1779</v>
      </c>
      <c r="AC63" s="4">
        <f>SUM(AC59:AC62)</f>
        <v>1719</v>
      </c>
      <c r="AD63" s="4">
        <f>SUM(AB63:AC63)</f>
        <v>3498</v>
      </c>
    </row>
    <row r="64" ht="6.75" customHeight="1">
      <c r="A64" s="27" t="n"/>
      <c r="B64" s="28" t="n"/>
      <c r="C64" s="28" t="n"/>
      <c r="D64" s="28" t="n"/>
      <c r="E64" s="28" t="n"/>
      <c r="F64" s="29" t="n"/>
      <c r="G64" s="29" t="n"/>
      <c r="H64" s="30" t="n"/>
      <c r="I64" s="30" t="n"/>
      <c r="J64" s="30" t="n"/>
      <c r="K64" s="30" t="n"/>
      <c r="L64" s="30" t="n"/>
      <c r="M64" s="30" t="n"/>
      <c r="N64" s="31" t="n"/>
      <c r="O64" s="30" t="n"/>
      <c r="P64" s="87" t="n"/>
      <c r="Q64" s="45" t="n"/>
      <c r="R64" s="32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3" t="n"/>
    </row>
    <row r="65" ht="18" customHeight="1">
      <c r="A65" s="34" t="inlineStr">
        <is>
          <t>Block 3: Presumptive TB Cases Identified Laboratory Diagnosis and use of WRD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6" t="n"/>
      <c r="N65" s="37" t="n"/>
      <c r="O65" s="34" t="inlineStr">
        <is>
          <t>Block 4 :  TB HIV  Activities</t>
        </is>
      </c>
      <c r="P65" s="35" t="n"/>
      <c r="Q65" s="35" t="n"/>
      <c r="R65" s="35" t="n"/>
      <c r="S65" s="35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25" t="n"/>
    </row>
    <row r="66" ht="42.75" customHeight="1">
      <c r="A66" s="6" t="inlineStr">
        <is>
          <t>Total
New OPD in Quarter</t>
        </is>
      </c>
      <c r="B66" s="88" t="inlineStr">
        <is>
          <t>No. of presumptive TB cases identified</t>
        </is>
      </c>
      <c r="C66" s="179" t="n"/>
      <c r="D66" s="6" t="inlineStr">
        <is>
          <t>No. of Presumptive TB
Patients tested 
Using</t>
        </is>
      </c>
      <c r="E66" s="33" t="n"/>
      <c r="F66" s="33" t="n"/>
      <c r="G66" s="45" t="n"/>
      <c r="H66" s="6" t="inlineStr">
        <is>
          <t>Among Presumptive 
TB cases tested  number reported B+</t>
        </is>
      </c>
      <c r="I66" s="33" t="n"/>
      <c r="J66" s="33" t="n"/>
      <c r="K66" s="45" t="n"/>
      <c r="L66" s="6" t="inlineStr">
        <is>
          <t>Among all
registered
number of
B+ TB
Cases</t>
        </is>
      </c>
      <c r="M66" s="6" t="inlineStr">
        <is>
          <t>Amoung All
(N+R+UK)
number tested
by Gene Xpert</t>
        </is>
      </c>
      <c r="N66" s="5" t="n"/>
      <c r="O66" s="165" t="inlineStr">
        <is>
          <t>No. of TB patients
tested for HIV</t>
        </is>
      </c>
      <c r="P66" s="33" t="n"/>
      <c r="Q66" s="33" t="n"/>
      <c r="R66" s="45" t="n"/>
      <c r="S66" s="165" t="inlineStr">
        <is>
          <t>HIV Reactive</t>
        </is>
      </c>
      <c r="T66" s="33" t="n"/>
      <c r="U66" s="33" t="n"/>
      <c r="V66" s="45" t="n"/>
      <c r="W66" s="165" t="inlineStr">
        <is>
          <t>TB Patients confirmed
positive for HIV</t>
        </is>
      </c>
      <c r="X66" s="33" t="n"/>
      <c r="Y66" s="33" t="n"/>
      <c r="Z66" s="45" t="n"/>
      <c r="AA66" s="165" t="inlineStr">
        <is>
          <t>HIV positive TB Patients put on ART</t>
        </is>
      </c>
      <c r="AB66" s="33" t="n"/>
      <c r="AC66" s="33" t="n"/>
      <c r="AD66" s="45" t="n"/>
    </row>
    <row r="67" ht="48" customHeight="1">
      <c r="A67" s="190" t="n"/>
      <c r="B67" s="6" t="inlineStr">
        <is>
          <t>Total</t>
        </is>
      </c>
      <c r="C67" s="88" t="inlineStr">
        <is>
          <t>Through
Community
Referrals (LHWs)</t>
        </is>
      </c>
      <c r="D67" s="88" t="inlineStr">
        <is>
          <t>AFB</t>
        </is>
      </c>
      <c r="E67" s="88" t="inlineStr">
        <is>
          <t>Xp &amp;
AFB</t>
        </is>
      </c>
      <c r="F67" s="88" t="inlineStr">
        <is>
          <t>XP</t>
        </is>
      </c>
      <c r="G67" s="7" t="inlineStr">
        <is>
          <t>G.Tot</t>
        </is>
      </c>
      <c r="H67" s="7" t="inlineStr">
        <is>
          <t>AFB</t>
        </is>
      </c>
      <c r="I67" s="88" t="inlineStr">
        <is>
          <t>AFB +
Xpert</t>
        </is>
      </c>
      <c r="J67" s="7" t="inlineStr">
        <is>
          <t>Xpert</t>
        </is>
      </c>
      <c r="K67" s="7" t="inlineStr">
        <is>
          <t>G.Tot</t>
        </is>
      </c>
      <c r="L67" s="190" t="n"/>
      <c r="M67" s="190" t="n"/>
      <c r="N67" s="5" t="n"/>
      <c r="O67" s="93">
        <f>SUM(MPR!O66+KARACHI!O67+SINDH!O67+'GILGIT BALTISTAN'!O67:R67+'AZAD KHASHMIR'!O67:R67+'KHYBER PAKHTUNKHWA'!O67:R67)</f>
        <v>1087</v>
      </c>
      <c r="P67" s="33" t="n"/>
      <c r="Q67" s="33" t="n"/>
      <c r="R67" s="33" t="n"/>
      <c r="S67" s="93">
        <f>SUM(MPR!S66+KARACHI!S67+SINDH!S67+'GILGIT BALTISTAN'!S67:V67+'AZAD KHASHMIR'!S67:V67+'KHYBER PAKHTUNKHWA'!S67:V67)</f>
        <v>3</v>
      </c>
      <c r="T67" s="33" t="n"/>
      <c r="U67" s="33" t="n"/>
      <c r="V67" s="33" t="n"/>
      <c r="W67" s="93">
        <f>SUM(MPR!W66+KARACHI!W67+SINDH!W67+'GILGIT BALTISTAN'!W67:Z67+'AZAD KHASHMIR'!W67:Z67+'KHYBER PAKHTUNKHWA'!W67:Z67)</f>
        <v>3</v>
      </c>
      <c r="X67" s="33" t="n"/>
      <c r="Y67" s="33" t="n"/>
      <c r="Z67" s="33" t="n"/>
      <c r="AA67" s="93">
        <f>SUM(MPR!AA66+KARACHI!AA67+SINDH!AA67+'GILGIT BALTISTAN'!AA67:AD67+'AZAD KHASHMIR'!AA67:AD67+'KHYBER PAKHTUNKHWA'!AA67:AD67)</f>
        <v>2</v>
      </c>
      <c r="AB67" s="33" t="n"/>
      <c r="AC67" s="33" t="n"/>
      <c r="AD67" s="33" t="n"/>
    </row>
    <row r="68" ht="38.25" customHeight="1">
      <c r="A68" s="193">
        <f>SUM(MPR!A67+KARACHI!A68+SINDH!A68+'GILGIT BALTISTAN'!A68:A72+'AZAD KHASHMIR'!A68:A72+'KHYBER PAKHTUNKHWA'!A68:A72)</f>
        <v>673640</v>
      </c>
      <c r="B68" s="193">
        <f>SUM(MPR!B67+KARACHI!B68+SINDH!B68+'GILGIT BALTISTAN'!B68:B72+'AZAD KHASHMIR'!B68:B72+'KHYBER PAKHTUNKHWA'!B68:B72)</f>
        <v>13462</v>
      </c>
      <c r="C68" s="193">
        <f>SUM(MPR!C67+KARACHI!C68+SINDH!C68+'GILGIT BALTISTAN'!C68:C72+'AZAD KHASHMIR'!C68:C72+'KHYBER PAKHTUNKHWA'!C68:C72)</f>
        <v>1141</v>
      </c>
      <c r="D68" s="193">
        <f>SUM(MPR!D67+KARACHI!D68+SINDH!D68+'GILGIT BALTISTAN'!D68:D72+'AZAD KHASHMIR'!D68:D72+'KHYBER PAKHTUNKHWA'!D68:D72)</f>
        <v>5070</v>
      </c>
      <c r="E68" s="193">
        <f>SUM(MPR!E67+KARACHI!E68+SINDH!E68+'GILGIT BALTISTAN'!E68:E72+'AZAD KHASHMIR'!E68:E72+'KHYBER PAKHTUNKHWA'!E68:E72)</f>
        <v>2266</v>
      </c>
      <c r="F68" s="193">
        <f>SUM(MPR!F67+KARACHI!F68+SINDH!F68+'GILGIT BALTISTAN'!F68:F72+'AZAD KHASHMIR'!F68:F72+'KHYBER PAKHTUNKHWA'!F68:F72)</f>
        <v>5379</v>
      </c>
      <c r="G68" s="193">
        <f>SUM(D68:F72)</f>
        <v>12715</v>
      </c>
      <c r="H68" s="193">
        <f>SUM(MPR!H67+KARACHI!H68+SINDH!H68+'GILGIT BALTISTAN'!H68:H72+'AZAD KHASHMIR'!H68:H72+'KHYBER PAKHTUNKHWA'!H68:H72)</f>
        <v>130</v>
      </c>
      <c r="I68" s="193">
        <f>SUM(MPR!I67+KARACHI!I68+SINDH!I68+'GILGIT BALTISTAN'!I68:I72+'AZAD KHASHMIR'!I68:I72+'KHYBER PAKHTUNKHWA'!I68:I72)</f>
        <v>347</v>
      </c>
      <c r="J68" s="193">
        <f>SUM(MPR!J67+KARACHI!J68+SINDH!J68+'GILGIT BALTISTAN'!J68:J72+'AZAD KHASHMIR'!J68:J72+'KHYBER PAKHTUNKHWA'!J68:J72)</f>
        <v>456</v>
      </c>
      <c r="K68" s="193">
        <f>SUM(H68:J72)</f>
        <v>933</v>
      </c>
      <c r="L68" s="193">
        <f>SUM(MPR!L67+KARACHI!L68+SINDH!L68+'GILGIT BALTISTAN'!L68:L72+'AZAD KHASHMIR'!L68:L72+'KHYBER PAKHTUNKHWA'!L68:L72)</f>
        <v>913</v>
      </c>
      <c r="M68" s="193">
        <f>SUM(MPR!M67+KARACHI!M68+SINDH!M68+'GILGIT BALTISTAN'!M68:M72+'AZAD KHASHMIR'!M68:M72+'KHYBER PAKHTUNKHWA'!M68:M72)</f>
        <v>1061</v>
      </c>
      <c r="N68" s="5" t="n"/>
      <c r="O68" s="165" t="inlineStr">
        <is>
          <t xml:space="preserve">HIV patient tested for TB </t>
        </is>
      </c>
      <c r="P68" s="33" t="n"/>
      <c r="Q68" s="33" t="n"/>
      <c r="R68" s="45" t="n"/>
      <c r="S68" s="165" t="inlineStr">
        <is>
          <t>HIV patients 
diagnosed  for TB</t>
        </is>
      </c>
      <c r="T68" s="33" t="n"/>
      <c r="U68" s="33" t="n"/>
      <c r="V68" s="45" t="n"/>
      <c r="W68" s="165" t="inlineStr">
        <is>
          <t>TB HIV patients put on
 TB Tx</t>
        </is>
      </c>
      <c r="X68" s="33" t="n"/>
      <c r="Y68" s="33" t="n"/>
      <c r="Z68" s="45" t="n"/>
      <c r="AA68" s="165" t="inlineStr">
        <is>
          <t>HIV positive TB negative
patients on TPT</t>
        </is>
      </c>
      <c r="AB68" s="33" t="n"/>
      <c r="AC68" s="33" t="n"/>
      <c r="AD68" s="45" t="n"/>
    </row>
    <row r="69" ht="19.5" customHeight="1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39" t="n"/>
      <c r="O69" s="165">
        <f>SUM(MPR!O68+KARACHI!O69+SINDH!O69+'GILGIT BALTISTAN'!O69:R72+'AZAD KHASHMIR'!O69:R72+'KHYBER PAKHTUNKHWA'!O69:R72)</f>
        <v>21</v>
      </c>
      <c r="P69" s="178" t="n"/>
      <c r="Q69" s="178" t="n"/>
      <c r="R69" s="179" t="n"/>
      <c r="S69" s="165">
        <f>SUM(MPR!S68+KARACHI!S69+SINDH!S69+'GILGIT BALTISTAN'!S69:V72+'AZAD KHASHMIR'!S69:V72+'KHYBER PAKHTUNKHWA'!S69:V72)</f>
        <v>0</v>
      </c>
      <c r="T69" s="178" t="n"/>
      <c r="U69" s="178" t="n"/>
      <c r="V69" s="179" t="n"/>
      <c r="W69" s="165">
        <f>SUM(MPR!W68+KARACHI!W69+SINDH!W69+'GILGIT BALTISTAN'!W69:Z72+'AZAD KHASHMIR'!W69:Z72+'KHYBER PAKHTUNKHWA'!W69:Z72)</f>
        <v>1</v>
      </c>
      <c r="X69" s="178" t="n"/>
      <c r="Y69" s="178" t="n"/>
      <c r="Z69" s="179" t="n"/>
      <c r="AA69" s="8" t="n"/>
      <c r="AB69" s="8" t="inlineStr">
        <is>
          <t>0-4</t>
        </is>
      </c>
      <c r="AC69" s="9" t="inlineStr">
        <is>
          <t>5-14</t>
        </is>
      </c>
      <c r="AD69" s="40" t="inlineStr">
        <is>
          <t>15 +</t>
        </is>
      </c>
    </row>
    <row r="70" ht="18" customHeight="1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39" t="n"/>
      <c r="O70" s="182" t="n"/>
      <c r="R70" s="181" t="n"/>
      <c r="S70" s="182" t="n"/>
      <c r="V70" s="181" t="n"/>
      <c r="W70" s="182" t="n"/>
      <c r="Z70" s="181" t="n"/>
      <c r="AA70" s="10" t="inlineStr">
        <is>
          <t>6H</t>
        </is>
      </c>
      <c r="AB70" s="9">
        <f>SUM(MPR!AB69+KARACHI!AB70+SINDH!AB70+'GILGIT BALTISTAN'!AB70+'AZAD KHASHMIR'!AB70+'KHYBER PAKHTUNKHWA'!AB70)</f>
        <v>0</v>
      </c>
      <c r="AC70" s="9">
        <f>SUM(MPR!AC69+KARACHI!AC70+SINDH!AC70+'GILGIT BALTISTAN'!AC70+'AZAD KHASHMIR'!AC70+'KHYBER PAKHTUNKHWA'!AC70)</f>
        <v>0</v>
      </c>
      <c r="AD70" s="9">
        <f>SUM(MPR!AD69+KARACHI!AD70+SINDH!AD70+'GILGIT BALTISTAN'!AD70+'AZAD KHASHMIR'!AD70+'KHYBER PAKHTUNKHWA'!AD70)</f>
        <v>0</v>
      </c>
    </row>
    <row r="71" ht="18" customHeight="1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39" t="n"/>
      <c r="O71" s="182" t="n"/>
      <c r="R71" s="181" t="n"/>
      <c r="S71" s="182" t="n"/>
      <c r="V71" s="181" t="n"/>
      <c r="W71" s="182" t="n"/>
      <c r="Z71" s="181" t="n"/>
      <c r="AA71" s="10" t="inlineStr">
        <is>
          <t>3HR</t>
        </is>
      </c>
      <c r="AB71" s="9">
        <f>SUM(MPR!AB70+KARACHI!AB71+SINDH!AB71+'GILGIT BALTISTAN'!AB71+'AZAD KHASHMIR'!AB71+'KHYBER PAKHTUNKHWA'!AB71)</f>
        <v>0</v>
      </c>
      <c r="AC71" s="9">
        <f>SUM(MPR!AC70+KARACHI!AC71+SINDH!AC71+'GILGIT BALTISTAN'!AC71+'AZAD KHASHMIR'!AC71+'KHYBER PAKHTUNKHWA'!AC71)</f>
        <v>0</v>
      </c>
      <c r="AD71" s="9">
        <f>SUM(MPR!AD70+KARACHI!AD71+SINDH!AD71+'GILGIT BALTISTAN'!AD71+'AZAD KHASHMIR'!AD71+'KHYBER PAKHTUNKHWA'!AD71)</f>
        <v>0</v>
      </c>
    </row>
    <row r="72" ht="18" customHeight="1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39" t="n"/>
      <c r="O72" s="183" t="n"/>
      <c r="P72" s="22" t="n"/>
      <c r="Q72" s="22" t="n"/>
      <c r="R72" s="184" t="n"/>
      <c r="S72" s="183" t="n"/>
      <c r="T72" s="22" t="n"/>
      <c r="U72" s="22" t="n"/>
      <c r="V72" s="184" t="n"/>
      <c r="W72" s="183" t="n"/>
      <c r="X72" s="22" t="n"/>
      <c r="Y72" s="22" t="n"/>
      <c r="Z72" s="184" t="n"/>
      <c r="AA72" s="10" t="inlineStr">
        <is>
          <t>3 HP</t>
        </is>
      </c>
      <c r="AB72" s="9">
        <f>SUM(MPR!AB71+KARACHI!AB72+SINDH!AB72+'GILGIT BALTISTAN'!AB72+'AZAD KHASHMIR'!AB72+'KHYBER PAKHTUNKHWA'!AB72)</f>
        <v>0</v>
      </c>
      <c r="AC72" s="9">
        <f>SUM(MPR!AC71+KARACHI!AC72+SINDH!AC72+'GILGIT BALTISTAN'!AC72+'AZAD KHASHMIR'!AC72+'KHYBER PAKHTUNKHWA'!AC72)</f>
        <v>0</v>
      </c>
      <c r="AD72" s="9">
        <f>SUM(MPR!AD71+KARACHI!AD72+SINDH!AD72+'GILGIT BALTISTAN'!AD72+'AZAD KHASHMIR'!AD72+'KHYBER PAKHTUNKHWA'!AD72)</f>
        <v>0</v>
      </c>
    </row>
    <row r="73" ht="8.25" customHeight="1">
      <c r="A73" s="1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4" t="n"/>
      <c r="O73" s="43" t="n"/>
      <c r="P73" s="43" t="n"/>
      <c r="Q73" s="43" t="n"/>
      <c r="R73" s="43" t="n"/>
      <c r="S73" s="43" t="n"/>
      <c r="T73" s="43" t="n"/>
      <c r="U73" s="43" t="n"/>
      <c r="V73" s="12" t="n"/>
      <c r="W73" s="12" t="n"/>
      <c r="X73" s="12" t="n"/>
      <c r="Y73" s="12" t="n"/>
      <c r="Z73" s="12" t="n"/>
      <c r="AA73" s="12" t="n"/>
      <c r="AB73" s="43" t="n"/>
      <c r="AC73" s="43" t="n"/>
      <c r="AD73" s="45" t="n"/>
    </row>
    <row r="74" ht="18" customHeight="1">
      <c r="A74" s="34" t="inlineStr">
        <is>
          <t>Block 5 :  Bacteriologically Confermid TB Cases with DST Result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6" t="n"/>
      <c r="N74" s="46" t="n"/>
      <c r="O74" s="34" t="inlineStr">
        <is>
          <t>Block 6 :  Contact Tracing HH *</t>
        </is>
      </c>
      <c r="P74" s="36" t="n"/>
      <c r="Q74" s="35" t="n"/>
      <c r="R74" s="4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8" t="n"/>
      <c r="AC74" s="38" t="n"/>
      <c r="AD74" s="48" t="n"/>
    </row>
    <row r="75" ht="18" customHeight="1">
      <c r="A75" s="80" t="inlineStr">
        <is>
          <t>Sensitive =S
Resistance = R</t>
        </is>
      </c>
      <c r="B75" s="81" t="inlineStr">
        <is>
          <t>PTB</t>
        </is>
      </c>
      <c r="C75" s="33" t="n"/>
      <c r="D75" s="33" t="n"/>
      <c r="E75" s="33" t="n"/>
      <c r="F75" s="33" t="n"/>
      <c r="G75" s="45" t="n"/>
      <c r="H75" s="81" t="inlineStr">
        <is>
          <t>EPTB</t>
        </is>
      </c>
      <c r="I75" s="33" t="n"/>
      <c r="J75" s="33" t="n"/>
      <c r="K75" s="33" t="n"/>
      <c r="L75" s="33" t="n"/>
      <c r="M75" s="45" t="n"/>
      <c r="N75" s="49" t="n"/>
      <c r="O75" s="6" t="inlineStr">
        <is>
          <t>Total No. of HH
of B+ PTB</t>
        </is>
      </c>
      <c r="P75" s="178" t="n"/>
      <c r="Q75" s="179" t="n"/>
      <c r="R75" s="6" t="inlineStr">
        <is>
          <t>No. of HH contacts of
B+ PTB Cases
Screened</t>
        </is>
      </c>
      <c r="S75" s="178" t="n"/>
      <c r="T75" s="179" t="n"/>
      <c r="U75" s="6" t="inlineStr">
        <is>
          <t>No. of TB 
Cases diagnosed Amoung HH
contact
screened</t>
        </is>
      </c>
      <c r="V75" s="178" t="n"/>
      <c r="W75" s="179" t="n"/>
      <c r="X75" s="6" t="inlineStr">
        <is>
          <t>No. of HH Contacts 
Initiated on TPT</t>
        </is>
      </c>
      <c r="Y75" s="178" t="n"/>
      <c r="Z75" s="178" t="n"/>
      <c r="AA75" s="179" t="n"/>
      <c r="AB75" s="6" t="inlineStr">
        <is>
          <t>HIV negative 
Immuno - compromised on 
TPT</t>
        </is>
      </c>
      <c r="AC75" s="178" t="n"/>
      <c r="AD75" s="179" t="n"/>
    </row>
    <row r="76" ht="14.25" customHeight="1">
      <c r="A76" s="191" t="n"/>
      <c r="B76" s="67" t="inlineStr">
        <is>
          <t>Rifampicin</t>
        </is>
      </c>
      <c r="C76" s="45" t="n"/>
      <c r="D76" s="67" t="inlineStr">
        <is>
          <t>Isoniazid</t>
        </is>
      </c>
      <c r="E76" s="45" t="n"/>
      <c r="F76" s="67" t="inlineStr">
        <is>
          <t>Fluoroquninolone</t>
        </is>
      </c>
      <c r="G76" s="45" t="n"/>
      <c r="H76" s="67" t="inlineStr">
        <is>
          <t>Rifampicin</t>
        </is>
      </c>
      <c r="I76" s="45" t="n"/>
      <c r="J76" s="67" t="inlineStr">
        <is>
          <t>Isoniazid</t>
        </is>
      </c>
      <c r="K76" s="45" t="n"/>
      <c r="L76" s="67" t="inlineStr">
        <is>
          <t>Fluoroquninolone</t>
        </is>
      </c>
      <c r="M76" s="45" t="n"/>
      <c r="N76" s="50" t="n"/>
      <c r="O76" s="182" t="n"/>
      <c r="Q76" s="181" t="n"/>
      <c r="R76" s="182" t="n"/>
      <c r="T76" s="181" t="n"/>
      <c r="U76" s="182" t="n"/>
      <c r="W76" s="181" t="n"/>
      <c r="X76" s="182" t="n"/>
      <c r="AA76" s="181" t="n"/>
      <c r="AB76" s="182" t="n"/>
      <c r="AD76" s="181" t="n"/>
    </row>
    <row r="77" ht="24.9" customHeight="1">
      <c r="A77" s="190" t="n"/>
      <c r="B77" s="67" t="inlineStr">
        <is>
          <t>S</t>
        </is>
      </c>
      <c r="C77" s="67" t="inlineStr">
        <is>
          <t>R</t>
        </is>
      </c>
      <c r="D77" s="67" t="inlineStr">
        <is>
          <t>S</t>
        </is>
      </c>
      <c r="E77" s="67" t="inlineStr">
        <is>
          <t>R</t>
        </is>
      </c>
      <c r="F77" s="67" t="inlineStr">
        <is>
          <t>S</t>
        </is>
      </c>
      <c r="G77" s="67" t="inlineStr">
        <is>
          <t>R</t>
        </is>
      </c>
      <c r="H77" s="67" t="inlineStr">
        <is>
          <t>S</t>
        </is>
      </c>
      <c r="I77" s="67" t="inlineStr">
        <is>
          <t>R</t>
        </is>
      </c>
      <c r="J77" s="67" t="inlineStr">
        <is>
          <t>S</t>
        </is>
      </c>
      <c r="K77" s="67" t="inlineStr">
        <is>
          <t>R</t>
        </is>
      </c>
      <c r="L77" s="67" t="inlineStr">
        <is>
          <t>S</t>
        </is>
      </c>
      <c r="M77" s="67" t="inlineStr">
        <is>
          <t>R</t>
        </is>
      </c>
      <c r="N77" s="51" t="n"/>
      <c r="O77" s="182" t="n"/>
      <c r="Q77" s="181" t="n"/>
      <c r="R77" s="182" t="n"/>
      <c r="T77" s="181" t="n"/>
      <c r="U77" s="182" t="n"/>
      <c r="W77" s="181" t="n"/>
      <c r="X77" s="183" t="n"/>
      <c r="Y77" s="22" t="n"/>
      <c r="Z77" s="22" t="n"/>
      <c r="AA77" s="184" t="n"/>
      <c r="AB77" s="183" t="n"/>
      <c r="AC77" s="22" t="n"/>
      <c r="AD77" s="184" t="n"/>
    </row>
    <row r="78" ht="24.9" customHeight="1">
      <c r="A78" s="67" t="inlineStr">
        <is>
          <t>New + UK</t>
        </is>
      </c>
      <c r="B78" s="4">
        <f>SUM(MPR!B77+KARACHI!B78+SINDH!B78+'GILGIT BALTISTAN'!B78+'AZAD KHASHMIR'!B78+'KHYBER PAKHTUNKHWA'!B78)</f>
        <v>812</v>
      </c>
      <c r="C78" s="4">
        <f>SUM(MPR!C77+KARACHI!C78+SINDH!C78+'GILGIT BALTISTAN'!C78+'AZAD KHASHMIR'!C78+'KHYBER PAKHTUNKHWA'!C78)</f>
        <v>1</v>
      </c>
      <c r="D78" s="4">
        <f>SUM(MPR!D77+KARACHI!D78+SINDH!D78+'GILGIT BALTISTAN'!D78+'AZAD KHASHMIR'!D78+'KHYBER PAKHTUNKHWA'!D78)</f>
        <v>18</v>
      </c>
      <c r="E78" s="4">
        <f>SUM(MPR!E77+KARACHI!E78+SINDH!E78+'GILGIT BALTISTAN'!E78+'AZAD KHASHMIR'!E78+'KHYBER PAKHTUNKHWA'!E78)</f>
        <v>0</v>
      </c>
      <c r="F78" s="4">
        <f>SUM(MPR!F77+KARACHI!F78+SINDH!F78+'GILGIT BALTISTAN'!F78+'AZAD KHASHMIR'!F78+'KHYBER PAKHTUNKHWA'!F78)</f>
        <v>0</v>
      </c>
      <c r="G78" s="4">
        <f>SUM(MPR!G77+KARACHI!G78+SINDH!G78+'GILGIT BALTISTAN'!G78+'AZAD KHASHMIR'!G78+'KHYBER PAKHTUNKHWA'!G78)</f>
        <v>0</v>
      </c>
      <c r="H78" s="4">
        <f>SUM(MPR!H77+KARACHI!H78+SINDH!H78+'GILGIT BALTISTAN'!H78+'AZAD KHASHMIR'!H78+'KHYBER PAKHTUNKHWA'!H78)</f>
        <v>0</v>
      </c>
      <c r="I78" s="4">
        <f>SUM(MPR!I77+KARACHI!I78+SINDH!I78+'GILGIT BALTISTAN'!I78+'AZAD KHASHMIR'!I78+'KHYBER PAKHTUNKHWA'!I78)</f>
        <v>0</v>
      </c>
      <c r="J78" s="4">
        <f>SUM(MPR!J77+KARACHI!J78+SINDH!J78+'GILGIT BALTISTAN'!J78+'AZAD KHASHMIR'!J78+'KHYBER PAKHTUNKHWA'!J78)</f>
        <v>0</v>
      </c>
      <c r="K78" s="4">
        <f>SUM(MPR!K77+KARACHI!K78+SINDH!K78+'GILGIT BALTISTAN'!K78+'AZAD KHASHMIR'!K78+'KHYBER PAKHTUNKHWA'!K78)</f>
        <v>0</v>
      </c>
      <c r="L78" s="4">
        <f>SUM(MPR!L77+KARACHI!L78+SINDH!L78+'GILGIT BALTISTAN'!L78+'AZAD KHASHMIR'!L78+'KHYBER PAKHTUNKHWA'!L78)</f>
        <v>0</v>
      </c>
      <c r="M78" s="4">
        <f>SUM(MPR!M77+KARACHI!M78+SINDH!M78+'GILGIT BALTISTAN'!M78+'AZAD KHASHMIR'!M78+'KHYBER PAKHTUNKHWA'!M78)</f>
        <v>0</v>
      </c>
      <c r="N78" s="51" t="n"/>
      <c r="O78" s="183" t="n"/>
      <c r="P78" s="22" t="n"/>
      <c r="Q78" s="184" t="n"/>
      <c r="R78" s="183" t="n"/>
      <c r="S78" s="22" t="n"/>
      <c r="T78" s="184" t="n"/>
      <c r="U78" s="183" t="n"/>
      <c r="V78" s="22" t="n"/>
      <c r="W78" s="184" t="n"/>
      <c r="X78" s="17" t="n"/>
      <c r="Y78" s="13" t="inlineStr">
        <is>
          <t>0-4</t>
        </is>
      </c>
      <c r="Z78" s="15" t="inlineStr">
        <is>
          <t>5-14</t>
        </is>
      </c>
      <c r="AA78" s="16" t="inlineStr">
        <is>
          <t>15+</t>
        </is>
      </c>
      <c r="AB78" s="13" t="inlineStr">
        <is>
          <t>0-4</t>
        </is>
      </c>
      <c r="AC78" s="15" t="inlineStr">
        <is>
          <t>5-14</t>
        </is>
      </c>
      <c r="AD78" s="16" t="inlineStr">
        <is>
          <t>15+</t>
        </is>
      </c>
    </row>
    <row r="79" ht="24.9" customHeight="1">
      <c r="A79" s="67" t="inlineStr">
        <is>
          <t>Relapse</t>
        </is>
      </c>
      <c r="B79" s="4">
        <f>SUM(MPR!B78+KARACHI!B79+SINDH!B79+'GILGIT BALTISTAN'!B79+'AZAD KHASHMIR'!B79+'KHYBER PAKHTUNKHWA'!B79)</f>
        <v>54</v>
      </c>
      <c r="C79" s="4">
        <f>SUM(MPR!C78+KARACHI!C79+SINDH!C79+'GILGIT BALTISTAN'!C79+'AZAD KHASHMIR'!C79+'KHYBER PAKHTUNKHWA'!C79)</f>
        <v>0</v>
      </c>
      <c r="D79" s="4">
        <f>SUM(MPR!D78+KARACHI!D79+SINDH!D79+'GILGIT BALTISTAN'!D79+'AZAD KHASHMIR'!D79+'KHYBER PAKHTUNKHWA'!D79)</f>
        <v>3</v>
      </c>
      <c r="E79" s="4">
        <f>SUM(MPR!E78+KARACHI!E79+SINDH!E79+'GILGIT BALTISTAN'!E79+'AZAD KHASHMIR'!E79+'KHYBER PAKHTUNKHWA'!E79)</f>
        <v>0</v>
      </c>
      <c r="F79" s="4">
        <f>SUM(MPR!F78+KARACHI!F79+SINDH!F79+'GILGIT BALTISTAN'!F79+'AZAD KHASHMIR'!F79+'KHYBER PAKHTUNKHWA'!F79)</f>
        <v>0</v>
      </c>
      <c r="G79" s="4">
        <f>SUM(MPR!G78+KARACHI!G79+SINDH!G79+'GILGIT BALTISTAN'!G79+'AZAD KHASHMIR'!G79+'KHYBER PAKHTUNKHWA'!G79)</f>
        <v>0</v>
      </c>
      <c r="H79" s="4">
        <f>SUM(MPR!H78+KARACHI!H79+SINDH!H79+'GILGIT BALTISTAN'!H79+'AZAD KHASHMIR'!H79+'KHYBER PAKHTUNKHWA'!H79)</f>
        <v>0</v>
      </c>
      <c r="I79" s="4">
        <f>SUM(MPR!I78+KARACHI!I79+SINDH!I79+'GILGIT BALTISTAN'!I79+'AZAD KHASHMIR'!I79+'KHYBER PAKHTUNKHWA'!I79)</f>
        <v>0</v>
      </c>
      <c r="J79" s="4">
        <f>SUM(MPR!J78+KARACHI!J79+SINDH!J79+'GILGIT BALTISTAN'!J79+'AZAD KHASHMIR'!J79+'KHYBER PAKHTUNKHWA'!J79)</f>
        <v>0</v>
      </c>
      <c r="K79" s="4">
        <f>SUM(MPR!K78+KARACHI!K79+SINDH!K79+'GILGIT BALTISTAN'!K79+'AZAD KHASHMIR'!K79+'KHYBER PAKHTUNKHWA'!K79)</f>
        <v>0</v>
      </c>
      <c r="L79" s="4">
        <f>SUM(MPR!L78+KARACHI!L79+SINDH!L79+'GILGIT BALTISTAN'!L79+'AZAD KHASHMIR'!L79+'KHYBER PAKHTUNKHWA'!L79)</f>
        <v>0</v>
      </c>
      <c r="M79" s="4">
        <f>SUM(MPR!M78+KARACHI!M79+SINDH!M79+'GILGIT BALTISTAN'!M79+'AZAD KHASHMIR'!M79+'KHYBER PAKHTUNKHWA'!M79)</f>
        <v>0</v>
      </c>
      <c r="N79" s="51" t="n"/>
      <c r="O79" s="7" t="inlineStr">
        <is>
          <t>0-4</t>
        </is>
      </c>
      <c r="P79" s="52" t="inlineStr">
        <is>
          <t>5-14</t>
        </is>
      </c>
      <c r="Q79" s="14" t="inlineStr">
        <is>
          <t>15 +</t>
        </is>
      </c>
      <c r="R79" s="13" t="inlineStr">
        <is>
          <t>0-4</t>
        </is>
      </c>
      <c r="S79" s="14" t="inlineStr">
        <is>
          <t>5-14</t>
        </is>
      </c>
      <c r="T79" s="14" t="inlineStr">
        <is>
          <t>15 +</t>
        </is>
      </c>
      <c r="U79" s="13" t="inlineStr">
        <is>
          <t>0-4</t>
        </is>
      </c>
      <c r="V79" s="14" t="inlineStr">
        <is>
          <t>5-14</t>
        </is>
      </c>
      <c r="W79" s="14" t="inlineStr">
        <is>
          <t>15 +</t>
        </is>
      </c>
      <c r="X79" s="17" t="inlineStr">
        <is>
          <t>6H</t>
        </is>
      </c>
      <c r="Y79" s="4">
        <f>SUM(MPR!Y78+KARACHI!Y79+SINDH!Y79+'GILGIT BALTISTAN'!Y79+'AZAD KHASHMIR'!Y79+'KHYBER PAKHTUNKHWA'!Y79)</f>
        <v>13</v>
      </c>
      <c r="Z79" s="4">
        <f>SUM(MPR!Z78+KARACHI!Z79+SINDH!Z79+'GILGIT BALTISTAN'!Z79+'AZAD KHASHMIR'!Z79+'KHYBER PAKHTUNKHWA'!Z79)</f>
        <v>11</v>
      </c>
      <c r="AA79" s="4">
        <f>SUM(MPR!AA78+KARACHI!AA79+SINDH!AA79+'GILGIT BALTISTAN'!AA79+'AZAD KHASHMIR'!AA79+'KHYBER PAKHTUNKHWA'!AA79)</f>
        <v>28</v>
      </c>
      <c r="AB79" s="4">
        <f>SUM(MPR!AB78+KARACHI!AB79+SINDH!AB79+'GILGIT BALTISTAN'!AB79+'AZAD KHASHMIR'!AB79+'KHYBER PAKHTUNKHWA'!AB79)</f>
        <v>0</v>
      </c>
      <c r="AC79" s="4">
        <f>SUM(MPR!AC78+KARACHI!AC79+SINDH!AC79+'GILGIT BALTISTAN'!AC79+'AZAD KHASHMIR'!AC79+'KHYBER PAKHTUNKHWA'!AC79)</f>
        <v>0</v>
      </c>
      <c r="AD79" s="4">
        <f>SUM(MPR!AD78+KARACHI!AD79+SINDH!AD79+'GILGIT BALTISTAN'!AD79+'AZAD KHASHMIR'!AD79+'KHYBER PAKHTUNKHWA'!AD79)</f>
        <v>0</v>
      </c>
    </row>
    <row r="80" ht="24.9" customHeight="1">
      <c r="A80" s="165" t="inlineStr">
        <is>
          <t>Previously treated</t>
        </is>
      </c>
      <c r="B80" s="4">
        <f>SUM(MPR!B79+KARACHI!B80+SINDH!B80+'GILGIT BALTISTAN'!B80+'AZAD KHASHMIR'!B80+'KHYBER PAKHTUNKHWA'!B80)</f>
        <v>9</v>
      </c>
      <c r="C80" s="4">
        <f>SUM(MPR!C79+KARACHI!C80+SINDH!C80+'GILGIT BALTISTAN'!C80+'AZAD KHASHMIR'!C80+'KHYBER PAKHTUNKHWA'!C80)</f>
        <v>0</v>
      </c>
      <c r="D80" s="4">
        <f>SUM(MPR!D79+KARACHI!D80+SINDH!D80+'GILGIT BALTISTAN'!D80+'AZAD KHASHMIR'!D80+'KHYBER PAKHTUNKHWA'!D80)</f>
        <v>0</v>
      </c>
      <c r="E80" s="4">
        <f>SUM(MPR!E79+KARACHI!E80+SINDH!E80+'GILGIT BALTISTAN'!E80+'AZAD KHASHMIR'!E80+'KHYBER PAKHTUNKHWA'!E80)</f>
        <v>0</v>
      </c>
      <c r="F80" s="4">
        <f>SUM(MPR!F79+KARACHI!F80+SINDH!F80+'GILGIT BALTISTAN'!F80+'AZAD KHASHMIR'!F80+'KHYBER PAKHTUNKHWA'!F80)</f>
        <v>0</v>
      </c>
      <c r="G80" s="4">
        <f>SUM(MPR!G79+KARACHI!G80+SINDH!G80+'GILGIT BALTISTAN'!G80+'AZAD KHASHMIR'!G80+'KHYBER PAKHTUNKHWA'!G80)</f>
        <v>0</v>
      </c>
      <c r="H80" s="4">
        <f>SUM(MPR!H79+KARACHI!H80+SINDH!H80+'GILGIT BALTISTAN'!H80+'AZAD KHASHMIR'!H80+'KHYBER PAKHTUNKHWA'!H80)</f>
        <v>0</v>
      </c>
      <c r="I80" s="4">
        <f>SUM(MPR!I79+KARACHI!I80+SINDH!I80+'GILGIT BALTISTAN'!I80+'AZAD KHASHMIR'!I80+'KHYBER PAKHTUNKHWA'!I80)</f>
        <v>0</v>
      </c>
      <c r="J80" s="4">
        <f>SUM(MPR!J79+KARACHI!J80+SINDH!J80+'GILGIT BALTISTAN'!J80+'AZAD KHASHMIR'!J80+'KHYBER PAKHTUNKHWA'!J80)</f>
        <v>0</v>
      </c>
      <c r="K80" s="4">
        <f>SUM(MPR!K79+KARACHI!K80+SINDH!K80+'GILGIT BALTISTAN'!K80+'AZAD KHASHMIR'!K80+'KHYBER PAKHTUNKHWA'!K80)</f>
        <v>0</v>
      </c>
      <c r="L80" s="4">
        <f>SUM(MPR!L79+KARACHI!L80+SINDH!L80+'GILGIT BALTISTAN'!L80+'AZAD KHASHMIR'!L80+'KHYBER PAKHTUNKHWA'!L80)</f>
        <v>0</v>
      </c>
      <c r="M80" s="4">
        <f>SUM(MPR!M79+KARACHI!M80+SINDH!M80+'GILGIT BALTISTAN'!M80+'AZAD KHASHMIR'!M80+'KHYBER PAKHTUNKHWA'!M80)</f>
        <v>0</v>
      </c>
      <c r="N80" s="51" t="n"/>
      <c r="O80" s="4">
        <f>SUM(MPR!O79+KARACHI!O80+SINDH!O80+'GILGIT BALTISTAN'!O80:O81+'AZAD KHASHMIR'!O80:O81+'KHYBER PAKHTUNKHWA'!O80:O81)</f>
        <v>465</v>
      </c>
      <c r="P80" s="4">
        <f>SUM(MPR!P79+KARACHI!P80+SINDH!P80+'GILGIT BALTISTAN'!P80:P81+'AZAD KHASHMIR'!P80:P81+'KHYBER PAKHTUNKHWA'!P80:P81)</f>
        <v>1419</v>
      </c>
      <c r="Q80" s="4">
        <f>SUM(MPR!Q79+KARACHI!Q80+SINDH!Q80+'GILGIT BALTISTAN'!Q80:Q81+'AZAD KHASHMIR'!Q80:Q81+'KHYBER PAKHTUNKHWA'!Q80:Q81)</f>
        <v>3591</v>
      </c>
      <c r="R80" s="4">
        <f>SUM(MPR!R79+KARACHI!R80+SINDH!R80+'GILGIT BALTISTAN'!R80:R81+'AZAD KHASHMIR'!R80:R81+'KHYBER PAKHTUNKHWA'!R80:R81)</f>
        <v>288</v>
      </c>
      <c r="S80" s="4">
        <f>SUM(MPR!S79+KARACHI!S80+SINDH!S80+'GILGIT BALTISTAN'!S80:S81+'AZAD KHASHMIR'!S80:S81+'KHYBER PAKHTUNKHWA'!S80:S81)</f>
        <v>1031</v>
      </c>
      <c r="T80" s="4">
        <f>SUM(MPR!T79+KARACHI!T80+SINDH!T80+'GILGIT BALTISTAN'!T80:T81+'AZAD KHASHMIR'!T80:T81+'KHYBER PAKHTUNKHWA'!T80:T81)</f>
        <v>2570</v>
      </c>
      <c r="U80" s="4">
        <f>SUM(MPR!U79+KARACHI!U80+SINDH!U80+'GILGIT BALTISTAN'!U80:U81+'AZAD KHASHMIR'!U80:U81+'KHYBER PAKHTUNKHWA'!U80:U81)</f>
        <v>2</v>
      </c>
      <c r="V80" s="4">
        <f>SUM(MPR!V79+KARACHI!V80+SINDH!V80+'GILGIT BALTISTAN'!V80:V81+'AZAD KHASHMIR'!V80:V81+'KHYBER PAKHTUNKHWA'!V80:V81)</f>
        <v>14</v>
      </c>
      <c r="W80" s="4">
        <f>SUM(MPR!W79+KARACHI!W80+SINDH!W80+'GILGIT BALTISTAN'!W80:W81+'AZAD KHASHMIR'!W80:W81+'KHYBER PAKHTUNKHWA'!W80:W81)</f>
        <v>160</v>
      </c>
      <c r="X80" s="17" t="inlineStr">
        <is>
          <t>3HR</t>
        </is>
      </c>
      <c r="Y80" s="4">
        <f>SUM(MPR!Y79+KARACHI!Y80+SINDH!Y80+'GILGIT BALTISTAN'!Y80+'AZAD KHASHMIR'!Y80+'KHYBER PAKHTUNKHWA'!Y80)</f>
        <v>0</v>
      </c>
      <c r="Z80" s="4">
        <f>SUM(MPR!Z79+KARACHI!Z80+SINDH!Z80+'GILGIT BALTISTAN'!Z80+'AZAD KHASHMIR'!Z80+'KHYBER PAKHTUNKHWA'!Z80)</f>
        <v>0</v>
      </c>
      <c r="AA80" s="4">
        <f>SUM(MPR!AA79+KARACHI!AA80+SINDH!AA80+'GILGIT BALTISTAN'!AA80+'AZAD KHASHMIR'!AA80+'KHYBER PAKHTUNKHWA'!AA80)</f>
        <v>10</v>
      </c>
      <c r="AB80" s="4">
        <f>SUM(MPR!AB79+KARACHI!AB80+SINDH!AB80+'GILGIT BALTISTAN'!AB80+'AZAD KHASHMIR'!AB80+'KHYBER PAKHTUNKHWA'!AB80)</f>
        <v>0</v>
      </c>
      <c r="AC80" s="4">
        <f>SUM(MPR!AC79+KARACHI!AC80+SINDH!AC80+'GILGIT BALTISTAN'!AC80+'AZAD KHASHMIR'!AC80+'KHYBER PAKHTUNKHWA'!AC80)</f>
        <v>0</v>
      </c>
      <c r="AD80" s="4">
        <f>SUM(MPR!AD79+KARACHI!AD80+SINDH!AD80+'GILGIT BALTISTAN'!AD80+'AZAD KHASHMIR'!AD80+'KHYBER PAKHTUNKHWA'!AD80)</f>
        <v>0</v>
      </c>
    </row>
    <row r="81" ht="24.9" customHeight="1">
      <c r="A81" s="67" t="inlineStr">
        <is>
          <t>Total</t>
        </is>
      </c>
      <c r="B81" s="4">
        <f>SUM(B78:B80)</f>
        <v>875</v>
      </c>
      <c r="C81" s="4">
        <f>SUM(C78:C80)</f>
        <v>1</v>
      </c>
      <c r="D81" s="4">
        <f>SUM(D78:D80)</f>
        <v>21</v>
      </c>
      <c r="E81" s="4">
        <f>SUM(E78:E80)</f>
        <v>0</v>
      </c>
      <c r="F81" s="4">
        <f>SUM(F78:F80)</f>
        <v>0</v>
      </c>
      <c r="G81" s="4">
        <f>SUM(G78:G80)</f>
        <v>0</v>
      </c>
      <c r="H81" s="4">
        <f>SUM(H78:H80)</f>
        <v>0</v>
      </c>
      <c r="I81" s="4">
        <f>SUM(I78:I80)</f>
        <v>0</v>
      </c>
      <c r="J81" s="4">
        <f>SUM(J78:J80)</f>
        <v>0</v>
      </c>
      <c r="K81" s="4">
        <f>SUM(K78:K80)</f>
        <v>0</v>
      </c>
      <c r="L81" s="4">
        <f>SUM(L78:L80)</f>
        <v>0</v>
      </c>
      <c r="M81" s="4">
        <f>SUM(M78:M80)</f>
        <v>0</v>
      </c>
      <c r="N81" s="51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53" t="inlineStr">
        <is>
          <t>3 HP</t>
        </is>
      </c>
      <c r="Y81" s="4">
        <f>SUM(MPR!Y80+KARACHI!Y81+SINDH!Y81+'GILGIT BALTISTAN'!Y81+'AZAD KHASHMIR'!Y81+'KHYBER PAKHTUNKHWA'!Y81)</f>
        <v>0</v>
      </c>
      <c r="Z81" s="4">
        <f>SUM(MPR!Z80+KARACHI!Z81+SINDH!Z81+'GILGIT BALTISTAN'!Z81+'AZAD KHASHMIR'!Z81+'KHYBER PAKHTUNKHWA'!Z81)</f>
        <v>50</v>
      </c>
      <c r="AA81" s="4">
        <f>SUM(MPR!AA80+KARACHI!AA81+SINDH!AA81+'GILGIT BALTISTAN'!AA81+'AZAD KHASHMIR'!AA81+'KHYBER PAKHTUNKHWA'!AA81)</f>
        <v>169</v>
      </c>
      <c r="AB81" s="4">
        <f>SUM(MPR!AB80+KARACHI!AB81+SINDH!AB81+'GILGIT BALTISTAN'!AB81+'AZAD KHASHMIR'!AB81+'KHYBER PAKHTUNKHWA'!AB81)</f>
        <v>0</v>
      </c>
      <c r="AC81" s="4">
        <f>SUM(MPR!AC80+KARACHI!AC81+SINDH!AC81+'GILGIT BALTISTAN'!AC81+'AZAD KHASHMIR'!AC81+'KHYBER PAKHTUNKHWA'!AC81)</f>
        <v>0</v>
      </c>
      <c r="AD81" s="4">
        <f>SUM(MPR!AD80+KARACHI!AD81+SINDH!AD81+'GILGIT BALTISTAN'!AD81+'AZAD KHASHMIR'!AD81+'KHYBER PAKHTUNKHWA'!AD81)</f>
        <v>0</v>
      </c>
    </row>
    <row r="82" ht="23.4" customHeight="1">
      <c r="A82" s="146" t="inlineStr">
        <is>
          <t xml:space="preserve">                                                                       INDIVIDUAL/CONSOLIDATED (TICK ONE)</t>
        </is>
      </c>
      <c r="Y82" s="1" t="n"/>
      <c r="Z82" s="133" t="inlineStr">
        <is>
          <t>TB - 07</t>
        </is>
      </c>
      <c r="AB82" s="1" t="n"/>
      <c r="AC82" s="1" t="n"/>
      <c r="AD82" s="1" t="n"/>
    </row>
    <row r="83" ht="30.9" customHeight="1">
      <c r="A83" s="134" t="inlineStr">
        <is>
          <t xml:space="preserve">Name of TB Care Facility (BMU) :  </t>
        </is>
      </c>
      <c r="E83">
        <f>E4</f>
        <v>0</v>
      </c>
      <c r="I83" s="136" t="n"/>
      <c r="K83" s="176">
        <f>K4</f>
        <v>0</v>
      </c>
      <c r="O83" s="138" t="n"/>
      <c r="S83" s="54" t="n"/>
      <c r="T83" s="2" t="n"/>
      <c r="U83" s="139" t="inlineStr">
        <is>
          <t xml:space="preserve">Patients registered during  </t>
        </is>
      </c>
      <c r="Z83" s="147" t="inlineStr">
        <is>
          <t>3rd Quarter</t>
        </is>
      </c>
      <c r="AC83" s="98">
        <f>AC44</f>
        <v>0</v>
      </c>
    </row>
    <row r="84" ht="15" customHeight="1"/>
    <row r="85" ht="15.6" customHeight="1">
      <c r="A85" s="99" t="inlineStr">
        <is>
          <t>Name of TB Coodinator/Facility incharge  :</t>
        </is>
      </c>
      <c r="I85" s="100" t="inlineStr">
        <is>
          <t>___________________________________________________</t>
        </is>
      </c>
      <c r="P85" s="21" t="n"/>
      <c r="Q85" s="21" t="n"/>
      <c r="U85" s="101" t="inlineStr">
        <is>
          <t>Date of completion of this form :</t>
        </is>
      </c>
      <c r="AA85" s="102" t="inlineStr">
        <is>
          <t>_______________________</t>
        </is>
      </c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" customHeight="1">
      <c r="A87" s="177" t="inlineStr">
        <is>
          <t xml:space="preserve">Block 1: </t>
        </is>
      </c>
      <c r="B87" s="178" t="n"/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67" t="inlineStr">
        <is>
          <t>New (N)</t>
        </is>
      </c>
      <c r="M87" s="179" t="n"/>
      <c r="N87" s="67" t="inlineStr">
        <is>
          <t>Relapse ®</t>
        </is>
      </c>
      <c r="O87" s="179" t="n"/>
      <c r="P87" s="165" t="inlineStr">
        <is>
          <t>Previous Treatment History Unknown
(UK)</t>
        </is>
      </c>
      <c r="Q87" s="178" t="n"/>
      <c r="R87" s="179" t="n"/>
      <c r="S87" s="165" t="inlineStr">
        <is>
          <t>New episode
(N+R+UK)</t>
        </is>
      </c>
      <c r="T87" s="178" t="n"/>
      <c r="U87" s="179" t="n"/>
      <c r="V87" s="67" t="inlineStr">
        <is>
          <t>Re - registered Cases ( Excluding Recurrent cases)</t>
        </is>
      </c>
      <c r="W87" s="33" t="n"/>
      <c r="X87" s="33" t="n"/>
      <c r="Y87" s="33" t="n"/>
      <c r="Z87" s="33" t="n"/>
      <c r="AA87" s="33" t="n"/>
      <c r="AB87" s="45" t="n"/>
      <c r="AC87" s="67" t="inlineStr">
        <is>
          <t>Total</t>
        </is>
      </c>
      <c r="AD87" s="179" t="n"/>
    </row>
    <row r="88" ht="23.25" customHeight="1">
      <c r="A88" s="180" t="inlineStr">
        <is>
          <t>All TB Cases Registered</t>
        </is>
      </c>
      <c r="K88" s="181" t="n"/>
      <c r="L88" s="182" t="n"/>
      <c r="M88" s="181" t="n"/>
      <c r="N88" s="182" t="n"/>
      <c r="O88" s="181" t="n"/>
      <c r="P88" s="182" t="n"/>
      <c r="R88" s="181" t="n"/>
      <c r="S88" s="182" t="n"/>
      <c r="U88" s="181" t="n"/>
      <c r="V88" s="165" t="inlineStr">
        <is>
          <t>Treatment after failure</t>
        </is>
      </c>
      <c r="W88" s="178" t="n"/>
      <c r="X88" s="179" t="n"/>
      <c r="Y88" s="165" t="inlineStr">
        <is>
          <t>Treatment after lost to follow-up</t>
        </is>
      </c>
      <c r="Z88" s="179" t="n"/>
      <c r="AA88" s="165" t="inlineStr">
        <is>
          <t>Other</t>
        </is>
      </c>
      <c r="AB88" s="179" t="n"/>
      <c r="AC88" s="182" t="n"/>
      <c r="AD88" s="181" t="n"/>
    </row>
    <row r="89">
      <c r="A89" s="18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184" t="n"/>
      <c r="L89" s="183" t="n"/>
      <c r="M89" s="184" t="n"/>
      <c r="N89" s="183" t="n"/>
      <c r="O89" s="184" t="n"/>
      <c r="P89" s="183" t="n"/>
      <c r="Q89" s="22" t="n"/>
      <c r="R89" s="184" t="n"/>
      <c r="S89" s="183" t="n"/>
      <c r="T89" s="22" t="n"/>
      <c r="U89" s="184" t="n"/>
      <c r="V89" s="183" t="n"/>
      <c r="W89" s="22" t="n"/>
      <c r="X89" s="184" t="n"/>
      <c r="Y89" s="183" t="n"/>
      <c r="Z89" s="184" t="n"/>
      <c r="AA89" s="183" t="n"/>
      <c r="AB89" s="184" t="n"/>
      <c r="AC89" s="183" t="n"/>
      <c r="AD89" s="184" t="n"/>
    </row>
    <row r="90" ht="24.9" customHeight="1">
      <c r="A90" s="185" t="inlineStr">
        <is>
          <t>Pulmonary, Bacteriologically Confermid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45" t="n"/>
      <c r="L90" s="4">
        <f>SUM(MPR!L89+KARACHI!L90+SINDH!L90+'GILGIT BALTISTAN'!L90:M90+'AZAD KHASHMIR'!L90:M90+'KHYBER PAKHTUNKHWA'!L90:M90)</f>
        <v>0</v>
      </c>
      <c r="M90" s="45" t="n"/>
      <c r="N90" s="4">
        <f>SUM(MPR!N89+KARACHI!N90+SINDH!N90+'GILGIT BALTISTAN'!N90:O90+'AZAD KHASHMIR'!N90:O90+'KHYBER PAKHTUNKHWA'!N90:O90)</f>
        <v>0</v>
      </c>
      <c r="O90" s="45" t="n"/>
      <c r="P90" s="4">
        <f>SUM(MPR!P89+KARACHI!P90+SINDH!P90+'GILGIT BALTISTAN'!P90:R90+'AZAD KHASHMIR'!P90:R90+'KHYBER PAKHTUNKHWA'!P90:R90)</f>
        <v>0</v>
      </c>
      <c r="Q90" s="33" t="n"/>
      <c r="R90" s="45" t="n"/>
      <c r="S90" s="4">
        <f>SUM(L90+N90+P90)</f>
        <v>0</v>
      </c>
      <c r="T90" s="33" t="n"/>
      <c r="U90" s="45" t="n"/>
      <c r="V90" s="4">
        <f>SUM(MPR!V89+KARACHI!V90+SINDH!V90+'GILGIT BALTISTAN'!V90:X90+'AZAD KHASHMIR'!V90:X90+'KHYBER PAKHTUNKHWA'!V90:X90)</f>
        <v>0</v>
      </c>
      <c r="W90" s="33" t="n"/>
      <c r="X90" s="45" t="n"/>
      <c r="Y90" s="4">
        <f>SUM(MPR!Y89+KARACHI!Y90+SINDH!Y90+'GILGIT BALTISTAN'!Y90:Z90+'AZAD KHASHMIR'!Y90:Z90+'KHYBER PAKHTUNKHWA'!Y90:Z90)</f>
        <v>0</v>
      </c>
      <c r="Z90" s="45" t="n"/>
      <c r="AA90" s="4">
        <f>SUM(MPR!AA89+KARACHI!AA90+SINDH!AA90+'GILGIT BALTISTAN'!AA90:AB90+'AZAD KHASHMIR'!AA90:AB90+'KHYBER PAKHTUNKHWA'!AA90:AB90)</f>
        <v>0</v>
      </c>
      <c r="AB90" s="45" t="n"/>
      <c r="AC90" s="4">
        <f>SUM(L90+N90+P90+V90+Y90+AA90)</f>
        <v>0</v>
      </c>
      <c r="AD90" s="45" t="n"/>
    </row>
    <row r="91" ht="24.9" customHeight="1">
      <c r="A91" s="185" t="inlineStr">
        <is>
          <t>Pulmonary , Clinically Diagnosed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45" t="n"/>
      <c r="L91" s="4">
        <f>SUM(MPR!L90+KARACHI!L91+SINDH!L91+'GILGIT BALTISTAN'!L91:M91+'AZAD KHASHMIR'!L91:M91+'KHYBER PAKHTUNKHWA'!L91:M91)</f>
        <v>0</v>
      </c>
      <c r="M91" s="45" t="n"/>
      <c r="N91" s="4">
        <f>SUM(MPR!N90+KARACHI!N91+SINDH!N91+'GILGIT BALTISTAN'!N91:O91+'AZAD KHASHMIR'!N91:O91+'KHYBER PAKHTUNKHWA'!N91:O91)</f>
        <v>0</v>
      </c>
      <c r="O91" s="45" t="n"/>
      <c r="P91" s="4">
        <f>SUM(MPR!P90+KARACHI!P91+SINDH!P91+'GILGIT BALTISTAN'!P91:R91+'AZAD KHASHMIR'!P91:R91+'KHYBER PAKHTUNKHWA'!P91:R91)</f>
        <v>0</v>
      </c>
      <c r="Q91" s="33" t="n"/>
      <c r="R91" s="45" t="n"/>
      <c r="S91" s="4">
        <f>SUM(L91+N91+P91)</f>
        <v>0</v>
      </c>
      <c r="T91" s="33" t="n"/>
      <c r="U91" s="45" t="n"/>
      <c r="V91" s="4">
        <f>SUM(MPR!V90+KARACHI!V91+SINDH!V91+'GILGIT BALTISTAN'!V91:X91+'AZAD KHASHMIR'!V91:X91+'KHYBER PAKHTUNKHWA'!V91:X91)</f>
        <v>0</v>
      </c>
      <c r="W91" s="33" t="n"/>
      <c r="X91" s="45" t="n"/>
      <c r="Y91" s="4">
        <f>SUM(MPR!Y90+KARACHI!Y91+SINDH!Y91+'GILGIT BALTISTAN'!Y91:Z91+'AZAD KHASHMIR'!Y91:Z91+'KHYBER PAKHTUNKHWA'!Y91:Z91)</f>
        <v>0</v>
      </c>
      <c r="Z91" s="45" t="n"/>
      <c r="AA91" s="4">
        <f>SUM(MPR!AA90+KARACHI!AA91+SINDH!AA91+'GILGIT BALTISTAN'!AA91:AB91+'AZAD KHASHMIR'!AA91:AB91+'KHYBER PAKHTUNKHWA'!AA91:AB91)</f>
        <v>0</v>
      </c>
      <c r="AB91" s="45" t="n"/>
      <c r="AC91" s="4">
        <f>SUM(L91+N91+P91+V91+Y91+AA91)</f>
        <v>0</v>
      </c>
      <c r="AD91" s="45" t="n"/>
    </row>
    <row r="92" ht="24.9" customHeight="1">
      <c r="A92" s="185" t="inlineStr">
        <is>
          <t>Extra Pulmonary, Bacteriologically Confermid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45" t="n"/>
      <c r="L92" s="4">
        <f>SUM(MPR!L91+KARACHI!L92+SINDH!L92+'GILGIT BALTISTAN'!L92:M92+'AZAD KHASHMIR'!L92:M92+'KHYBER PAKHTUNKHWA'!L92:M92)</f>
        <v>0</v>
      </c>
      <c r="M92" s="45" t="n"/>
      <c r="N92" s="4">
        <f>SUM(MPR!N91+KARACHI!N92+SINDH!N92+'GILGIT BALTISTAN'!N92:O92+'AZAD KHASHMIR'!N92:O92+'KHYBER PAKHTUNKHWA'!N92:O92)</f>
        <v>0</v>
      </c>
      <c r="O92" s="45" t="n"/>
      <c r="P92" s="4">
        <f>SUM(MPR!P91+KARACHI!P92+SINDH!P92+'GILGIT BALTISTAN'!P92:R92+'AZAD KHASHMIR'!P92:R92+'KHYBER PAKHTUNKHWA'!P92:R92)</f>
        <v>0</v>
      </c>
      <c r="Q92" s="33" t="n"/>
      <c r="R92" s="45" t="n"/>
      <c r="S92" s="4">
        <f>SUM(L92+N92+P92)</f>
        <v>0</v>
      </c>
      <c r="T92" s="33" t="n"/>
      <c r="U92" s="45" t="n"/>
      <c r="V92" s="4">
        <f>SUM(MPR!V91+KARACHI!V92+SINDH!V92+'GILGIT BALTISTAN'!V92:X92+'AZAD KHASHMIR'!V92:X92+'KHYBER PAKHTUNKHWA'!V92:X92)</f>
        <v>0</v>
      </c>
      <c r="W92" s="33" t="n"/>
      <c r="X92" s="45" t="n"/>
      <c r="Y92" s="4">
        <f>SUM(MPR!Y91+KARACHI!Y92+SINDH!Y92+'GILGIT BALTISTAN'!Y92:Z92+'AZAD KHASHMIR'!Y92:Z92+'KHYBER PAKHTUNKHWA'!Y92:Z92)</f>
        <v>0</v>
      </c>
      <c r="Z92" s="45" t="n"/>
      <c r="AA92" s="4">
        <f>SUM(MPR!AA91+KARACHI!AA92+SINDH!AA92+'GILGIT BALTISTAN'!AA92:AB92+'AZAD KHASHMIR'!AA92:AB92+'KHYBER PAKHTUNKHWA'!AA92:AB92)</f>
        <v>0</v>
      </c>
      <c r="AB92" s="45" t="n"/>
      <c r="AC92" s="4">
        <f>SUM(L92+N92+P92+V92+Y92+AA92)</f>
        <v>0</v>
      </c>
      <c r="AD92" s="45" t="n"/>
    </row>
    <row r="93" ht="24.9" customHeight="1">
      <c r="A93" s="185" t="inlineStr">
        <is>
          <t>Extra Pulmonary , Clinically Diagnosed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45" t="n"/>
      <c r="L93" s="4">
        <f>SUM(MPR!L92+KARACHI!L93+SINDH!L93+'GILGIT BALTISTAN'!L93:M93+'AZAD KHASHMIR'!L93:M93+'KHYBER PAKHTUNKHWA'!L93:M93)</f>
        <v>0</v>
      </c>
      <c r="M93" s="45" t="n"/>
      <c r="N93" s="4">
        <f>SUM(MPR!N92+KARACHI!N93+SINDH!N93+'GILGIT BALTISTAN'!N93:O93+'AZAD KHASHMIR'!N93:O93+'KHYBER PAKHTUNKHWA'!N93:O93)</f>
        <v>0</v>
      </c>
      <c r="O93" s="45" t="n"/>
      <c r="P93" s="4">
        <f>SUM(MPR!P92+KARACHI!P93+SINDH!P93+'GILGIT BALTISTAN'!P93:R93+'AZAD KHASHMIR'!P93:R93+'KHYBER PAKHTUNKHWA'!P93:R93)</f>
        <v>0</v>
      </c>
      <c r="Q93" s="33" t="n"/>
      <c r="R93" s="45" t="n"/>
      <c r="S93" s="4">
        <f>SUM(L93+N93+P93)</f>
        <v>0</v>
      </c>
      <c r="T93" s="33" t="n"/>
      <c r="U93" s="45" t="n"/>
      <c r="V93" s="4">
        <f>SUM(MPR!V92+KARACHI!V93+SINDH!V93+'GILGIT BALTISTAN'!V93:X93+'AZAD KHASHMIR'!V93:X93+'KHYBER PAKHTUNKHWA'!V93:X93)</f>
        <v>0</v>
      </c>
      <c r="W93" s="33" t="n"/>
      <c r="X93" s="45" t="n"/>
      <c r="Y93" s="4">
        <f>SUM(MPR!Y92+KARACHI!Y93+SINDH!Y93+'GILGIT BALTISTAN'!Y93:Z93+'AZAD KHASHMIR'!Y93:Z93+'KHYBER PAKHTUNKHWA'!Y93:Z93)</f>
        <v>0</v>
      </c>
      <c r="Z93" s="45" t="n"/>
      <c r="AA93" s="4">
        <f>SUM(MPR!AA92+KARACHI!AA93+SINDH!AA93+'GILGIT BALTISTAN'!AA93:AB93+'AZAD KHASHMIR'!AA93:AB93+'KHYBER PAKHTUNKHWA'!AA93:AB93)</f>
        <v>0</v>
      </c>
      <c r="AB93" s="45" t="n"/>
      <c r="AC93" s="4">
        <f>SUM(L93+N93+P93+V93+Y93+AA93)</f>
        <v>0</v>
      </c>
      <c r="AD93" s="45" t="n"/>
    </row>
    <row r="94" ht="24.9" customHeight="1">
      <c r="A94" s="185" t="inlineStr">
        <is>
          <t>Total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45" t="n"/>
      <c r="L94" s="4">
        <f>SUM(L90:M93)</f>
        <v>0</v>
      </c>
      <c r="M94" s="45" t="n"/>
      <c r="N94" s="4">
        <f>SUM(N90:O93)</f>
        <v>0</v>
      </c>
      <c r="O94" s="45" t="n"/>
      <c r="P94" s="4">
        <f>SUM(P90:R93)</f>
        <v>0</v>
      </c>
      <c r="Q94" s="33" t="n"/>
      <c r="R94" s="45" t="n"/>
      <c r="S94" s="4">
        <f>SUM(L94+N94+P94)</f>
        <v>0</v>
      </c>
      <c r="T94" s="33" t="n"/>
      <c r="U94" s="45" t="n"/>
      <c r="V94" s="4">
        <f>SUM(V90:X93)</f>
        <v>0</v>
      </c>
      <c r="W94" s="33" t="n"/>
      <c r="X94" s="45" t="n"/>
      <c r="Y94" s="4">
        <f>SUM(Y90:Z93)</f>
        <v>0</v>
      </c>
      <c r="Z94" s="45" t="n"/>
      <c r="AA94" s="4">
        <f>SUM(AA90:AB93)</f>
        <v>0</v>
      </c>
      <c r="AB94" s="45" t="n"/>
      <c r="AC94" s="4">
        <f>SUM(L94+N94+P94+V94+Y94+AA94)</f>
        <v>0</v>
      </c>
      <c r="AD94" s="45" t="n"/>
    </row>
    <row r="95" ht="15.6" customHeight="1">
      <c r="A95" s="23" t="inlineStr">
        <is>
          <t>Block 2: All New, Relapse and previous treatment history unknown Cases registered during the period by Age Group and Gender</t>
        </is>
      </c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5" t="n"/>
    </row>
    <row r="96" ht="21.75" customHeight="1">
      <c r="A96" s="186" t="n"/>
      <c r="B96" s="178" t="n"/>
      <c r="C96" s="178" t="n"/>
      <c r="D96" s="178" t="n"/>
      <c r="E96" s="178" t="n"/>
      <c r="F96" s="178" t="n"/>
      <c r="G96" s="178" t="n"/>
      <c r="H96" s="178" t="n"/>
      <c r="I96" s="178" t="n"/>
      <c r="J96" s="178" t="n"/>
      <c r="K96" s="179" t="n"/>
      <c r="L96" s="67" t="inlineStr">
        <is>
          <t>0-4</t>
        </is>
      </c>
      <c r="M96" s="45" t="n"/>
      <c r="N96" s="187" t="inlineStr">
        <is>
          <t>5-14</t>
        </is>
      </c>
      <c r="O96" s="45" t="n"/>
      <c r="P96" s="188" t="inlineStr">
        <is>
          <t>15-24</t>
        </is>
      </c>
      <c r="Q96" s="45" t="n"/>
      <c r="R96" s="188" t="inlineStr">
        <is>
          <t>25-34</t>
        </is>
      </c>
      <c r="S96" s="45" t="n"/>
      <c r="T96" s="188" t="inlineStr">
        <is>
          <t>35-44</t>
        </is>
      </c>
      <c r="U96" s="45" t="n"/>
      <c r="V96" s="188" t="inlineStr">
        <is>
          <t>45-54</t>
        </is>
      </c>
      <c r="W96" s="45" t="n"/>
      <c r="X96" s="188" t="inlineStr">
        <is>
          <t>55-64</t>
        </is>
      </c>
      <c r="Y96" s="45" t="n"/>
      <c r="Z96" s="188" t="inlineStr">
        <is>
          <t>65 &amp; Above</t>
        </is>
      </c>
      <c r="AA96" s="45" t="n"/>
      <c r="AB96" s="188" t="inlineStr">
        <is>
          <t>Total</t>
        </is>
      </c>
      <c r="AC96" s="45" t="n"/>
      <c r="AD96" s="189" t="inlineStr">
        <is>
          <t>Grand
Total</t>
        </is>
      </c>
    </row>
    <row r="97">
      <c r="A97" s="183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184" t="n"/>
      <c r="L97" s="67" t="inlineStr">
        <is>
          <t>M</t>
        </is>
      </c>
      <c r="M97" s="67" t="inlineStr">
        <is>
          <t>F</t>
        </is>
      </c>
      <c r="N97" s="67" t="inlineStr">
        <is>
          <t>M</t>
        </is>
      </c>
      <c r="O97" s="67" t="inlineStr">
        <is>
          <t>F</t>
        </is>
      </c>
      <c r="P97" s="67" t="inlineStr">
        <is>
          <t>M</t>
        </is>
      </c>
      <c r="Q97" s="67" t="inlineStr">
        <is>
          <t>F</t>
        </is>
      </c>
      <c r="R97" s="67" t="inlineStr">
        <is>
          <t>M</t>
        </is>
      </c>
      <c r="S97" s="67" t="inlineStr">
        <is>
          <t>F</t>
        </is>
      </c>
      <c r="T97" s="67" t="inlineStr">
        <is>
          <t>M</t>
        </is>
      </c>
      <c r="U97" s="67" t="inlineStr">
        <is>
          <t>F</t>
        </is>
      </c>
      <c r="V97" s="67" t="inlineStr">
        <is>
          <t>M</t>
        </is>
      </c>
      <c r="W97" s="67" t="inlineStr">
        <is>
          <t>F</t>
        </is>
      </c>
      <c r="X97" s="67" t="inlineStr">
        <is>
          <t>M</t>
        </is>
      </c>
      <c r="Y97" s="67" t="inlineStr">
        <is>
          <t>F</t>
        </is>
      </c>
      <c r="Z97" s="67" t="inlineStr">
        <is>
          <t>M</t>
        </is>
      </c>
      <c r="AA97" s="67" t="inlineStr">
        <is>
          <t>F</t>
        </is>
      </c>
      <c r="AB97" s="67" t="inlineStr">
        <is>
          <t>M</t>
        </is>
      </c>
      <c r="AC97" s="67" t="inlineStr">
        <is>
          <t>F</t>
        </is>
      </c>
      <c r="AD97" s="190" t="n"/>
    </row>
    <row r="98" ht="24.9" customHeight="1">
      <c r="A98" s="185" t="inlineStr">
        <is>
          <t>Pulmonary, Bacteriologically Confermid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45" t="n"/>
      <c r="L98" s="4">
        <f>SUM(MPR!L97+KARACHI!L98+SINDH!L98+'GILGIT BALTISTAN'!L98+'AZAD KHASHMIR'!L98+'KHYBER PAKHTUNKHWA'!L98)</f>
        <v>0</v>
      </c>
      <c r="M98" s="4">
        <f>SUM(MPR!M97+KARACHI!M98+SINDH!M98+'GILGIT BALTISTAN'!M98+'AZAD KHASHMIR'!M98+'KHYBER PAKHTUNKHWA'!M98)</f>
        <v>0</v>
      </c>
      <c r="N98" s="4">
        <f>SUM(MPR!N97+KARACHI!N98+SINDH!N98+'GILGIT BALTISTAN'!N98+'AZAD KHASHMIR'!N98+'KHYBER PAKHTUNKHWA'!N98)</f>
        <v>0</v>
      </c>
      <c r="O98" s="4">
        <f>SUM(MPR!O97+KARACHI!O98+SINDH!O98+'GILGIT BALTISTAN'!O98+'AZAD KHASHMIR'!O98+'KHYBER PAKHTUNKHWA'!O98)</f>
        <v>0</v>
      </c>
      <c r="P98" s="4">
        <f>SUM(MPR!P97+KARACHI!P98+SINDH!P98+'GILGIT BALTISTAN'!P98+'AZAD KHASHMIR'!P98+'KHYBER PAKHTUNKHWA'!P98)</f>
        <v>0</v>
      </c>
      <c r="Q98" s="4">
        <f>SUM(MPR!Q97+KARACHI!Q98+SINDH!Q98+'GILGIT BALTISTAN'!Q98+'AZAD KHASHMIR'!Q98+'KHYBER PAKHTUNKHWA'!Q98)</f>
        <v>0</v>
      </c>
      <c r="R98" s="4">
        <f>SUM(MPR!R97+KARACHI!R98+SINDH!R98+'GILGIT BALTISTAN'!R98+'AZAD KHASHMIR'!R98+'KHYBER PAKHTUNKHWA'!R98)</f>
        <v>0</v>
      </c>
      <c r="S98" s="4">
        <f>SUM(MPR!S97+KARACHI!S98+SINDH!S98+'GILGIT BALTISTAN'!S98+'AZAD KHASHMIR'!S98+'KHYBER PAKHTUNKHWA'!S98)</f>
        <v>0</v>
      </c>
      <c r="T98" s="4">
        <f>SUM(MPR!T97+KARACHI!T98+SINDH!T98+'GILGIT BALTISTAN'!T98+'AZAD KHASHMIR'!T98+'KHYBER PAKHTUNKHWA'!T98)</f>
        <v>0</v>
      </c>
      <c r="U98" s="4">
        <f>SUM(MPR!U97+KARACHI!U98+SINDH!U98+'GILGIT BALTISTAN'!U98+'AZAD KHASHMIR'!U98+'KHYBER PAKHTUNKHWA'!U98)</f>
        <v>0</v>
      </c>
      <c r="V98" s="4">
        <f>SUM(MPR!V97+KARACHI!V98+SINDH!V98+'GILGIT BALTISTAN'!V98+'AZAD KHASHMIR'!V98+'KHYBER PAKHTUNKHWA'!V98)</f>
        <v>0</v>
      </c>
      <c r="W98" s="4">
        <f>SUM(MPR!W97+KARACHI!W98+SINDH!W98+'GILGIT BALTISTAN'!W98+'AZAD KHASHMIR'!W98+'KHYBER PAKHTUNKHWA'!W98)</f>
        <v>0</v>
      </c>
      <c r="X98" s="4">
        <f>SUM(MPR!X97+KARACHI!X98+SINDH!X98+'GILGIT BALTISTAN'!X98+'AZAD KHASHMIR'!X98+'KHYBER PAKHTUNKHWA'!X98)</f>
        <v>0</v>
      </c>
      <c r="Y98" s="4">
        <f>SUM(MPR!Y97+KARACHI!Y98+SINDH!Y98+'GILGIT BALTISTAN'!Y98+'AZAD KHASHMIR'!Y98+'KHYBER PAKHTUNKHWA'!Y98)</f>
        <v>0</v>
      </c>
      <c r="Z98" s="4">
        <f>SUM(MPR!Z97+KARACHI!Z98+SINDH!Z98+'GILGIT BALTISTAN'!Z98+'AZAD KHASHMIR'!Z98+'KHYBER PAKHTUNKHWA'!Z98)</f>
        <v>0</v>
      </c>
      <c r="AA98" s="4">
        <f>SUM(MPR!AA97+KARACHI!AA98+SINDH!AA98+'GILGIT BALTISTAN'!AA98+'AZAD KHASHMIR'!AA98+'KHYBER PAKHTUNKHWA'!AA98)</f>
        <v>0</v>
      </c>
      <c r="AB98" s="4">
        <f>SUM(L98+N98+P98+R98+T98+V98+X98+Z98)</f>
        <v>0</v>
      </c>
      <c r="AC98" s="4">
        <f>SUM(M98+O98+Q98+S98+U98+W98+Y98+AA98)</f>
        <v>0</v>
      </c>
      <c r="AD98" s="4">
        <f>SUM(AB98:AC98)</f>
        <v>0</v>
      </c>
    </row>
    <row r="99" ht="24.9" customHeight="1">
      <c r="A99" s="185" t="inlineStr">
        <is>
          <t>Pulmonary , Clinically Diagnosed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45" t="n"/>
      <c r="L99" s="4">
        <f>SUM(MPR!L98+KARACHI!L99+SINDH!L99+'GILGIT BALTISTAN'!L99+'AZAD KHASHMIR'!L99+'KHYBER PAKHTUNKHWA'!L99)</f>
        <v>0</v>
      </c>
      <c r="M99" s="4">
        <f>SUM(MPR!M98+KARACHI!M99+SINDH!M99+'GILGIT BALTISTAN'!M99+'AZAD KHASHMIR'!M99+'KHYBER PAKHTUNKHWA'!M99)</f>
        <v>0</v>
      </c>
      <c r="N99" s="4">
        <f>SUM(MPR!N98+KARACHI!N99+SINDH!N99+'GILGIT BALTISTAN'!N99+'AZAD KHASHMIR'!N99+'KHYBER PAKHTUNKHWA'!N99)</f>
        <v>0</v>
      </c>
      <c r="O99" s="4">
        <f>SUM(MPR!O98+KARACHI!O99+SINDH!O99+'GILGIT BALTISTAN'!O99+'AZAD KHASHMIR'!O99+'KHYBER PAKHTUNKHWA'!O99)</f>
        <v>0</v>
      </c>
      <c r="P99" s="4">
        <f>SUM(MPR!P98+KARACHI!P99+SINDH!P99+'GILGIT BALTISTAN'!P99+'AZAD KHASHMIR'!P99+'KHYBER PAKHTUNKHWA'!P99)</f>
        <v>0</v>
      </c>
      <c r="Q99" s="4">
        <f>SUM(MPR!Q98+KARACHI!Q99+SINDH!Q99+'GILGIT BALTISTAN'!Q99+'AZAD KHASHMIR'!Q99+'KHYBER PAKHTUNKHWA'!Q99)</f>
        <v>0</v>
      </c>
      <c r="R99" s="4">
        <f>SUM(MPR!R98+KARACHI!R99+SINDH!R99+'GILGIT BALTISTAN'!R99+'AZAD KHASHMIR'!R99+'KHYBER PAKHTUNKHWA'!R99)</f>
        <v>0</v>
      </c>
      <c r="S99" s="4">
        <f>SUM(MPR!S98+KARACHI!S99+SINDH!S99+'GILGIT BALTISTAN'!S99+'AZAD KHASHMIR'!S99+'KHYBER PAKHTUNKHWA'!S99)</f>
        <v>0</v>
      </c>
      <c r="T99" s="4">
        <f>SUM(MPR!T98+KARACHI!T99+SINDH!T99+'GILGIT BALTISTAN'!T99+'AZAD KHASHMIR'!T99+'KHYBER PAKHTUNKHWA'!T99)</f>
        <v>0</v>
      </c>
      <c r="U99" s="4">
        <f>SUM(MPR!U98+KARACHI!U99+SINDH!U99+'GILGIT BALTISTAN'!U99+'AZAD KHASHMIR'!U99+'KHYBER PAKHTUNKHWA'!U99)</f>
        <v>0</v>
      </c>
      <c r="V99" s="4">
        <f>SUM(MPR!V98+KARACHI!V99+SINDH!V99+'GILGIT BALTISTAN'!V99+'AZAD KHASHMIR'!V99+'KHYBER PAKHTUNKHWA'!V99)</f>
        <v>0</v>
      </c>
      <c r="W99" s="4">
        <f>SUM(MPR!W98+KARACHI!W99+SINDH!W99+'GILGIT BALTISTAN'!W99+'AZAD KHASHMIR'!W99+'KHYBER PAKHTUNKHWA'!W99)</f>
        <v>0</v>
      </c>
      <c r="X99" s="4">
        <f>SUM(MPR!X98+KARACHI!X99+SINDH!X99+'GILGIT BALTISTAN'!X99+'AZAD KHASHMIR'!X99+'KHYBER PAKHTUNKHWA'!X99)</f>
        <v>0</v>
      </c>
      <c r="Y99" s="4">
        <f>SUM(MPR!Y98+KARACHI!Y99+SINDH!Y99+'GILGIT BALTISTAN'!Y99+'AZAD KHASHMIR'!Y99+'KHYBER PAKHTUNKHWA'!Y99)</f>
        <v>0</v>
      </c>
      <c r="Z99" s="4">
        <f>SUM(MPR!Z98+KARACHI!Z99+SINDH!Z99+'GILGIT BALTISTAN'!Z99+'AZAD KHASHMIR'!Z99+'KHYBER PAKHTUNKHWA'!Z99)</f>
        <v>0</v>
      </c>
      <c r="AA99" s="4">
        <f>SUM(MPR!AA98+KARACHI!AA99+SINDH!AA99+'GILGIT BALTISTAN'!AA99+'AZAD KHASHMIR'!AA99+'KHYBER PAKHTUNKHWA'!AA99)</f>
        <v>0</v>
      </c>
      <c r="AB99" s="4">
        <f>SUM(L99+N99+P99+R99+T99+V99+X99+Z99)</f>
        <v>0</v>
      </c>
      <c r="AC99" s="4">
        <f>SUM(M99+O99+Q99+S99+U99+W99+Y99+AA99)</f>
        <v>0</v>
      </c>
      <c r="AD99" s="4">
        <f>SUM(AB99:AC99)</f>
        <v>0</v>
      </c>
    </row>
    <row r="100" ht="24.9" customHeight="1">
      <c r="A100" s="185" t="inlineStr">
        <is>
          <t>Extra Pulmonary, Bacteriologically Confermid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45" t="n"/>
      <c r="L100" s="4">
        <f>SUM(MPR!L99+KARACHI!L100+SINDH!L100+'GILGIT BALTISTAN'!L100+'AZAD KHASHMIR'!L100+'KHYBER PAKHTUNKHWA'!L100)</f>
        <v>0</v>
      </c>
      <c r="M100" s="4">
        <f>SUM(MPR!M99+KARACHI!M100+SINDH!M100+'GILGIT BALTISTAN'!M100+'AZAD KHASHMIR'!M100+'KHYBER PAKHTUNKHWA'!M100)</f>
        <v>0</v>
      </c>
      <c r="N100" s="4">
        <f>SUM(MPR!N99+KARACHI!N100+SINDH!N100+'GILGIT BALTISTAN'!N100+'AZAD KHASHMIR'!N100+'KHYBER PAKHTUNKHWA'!N100)</f>
        <v>0</v>
      </c>
      <c r="O100" s="4">
        <f>SUM(MPR!O99+KARACHI!O100+SINDH!O100+'GILGIT BALTISTAN'!O100+'AZAD KHASHMIR'!O100+'KHYBER PAKHTUNKHWA'!O100)</f>
        <v>0</v>
      </c>
      <c r="P100" s="4">
        <f>SUM(MPR!P99+KARACHI!P100+SINDH!P100+'GILGIT BALTISTAN'!P100+'AZAD KHASHMIR'!P100+'KHYBER PAKHTUNKHWA'!P100)</f>
        <v>0</v>
      </c>
      <c r="Q100" s="4">
        <f>SUM(MPR!Q99+KARACHI!Q100+SINDH!Q100+'GILGIT BALTISTAN'!Q100+'AZAD KHASHMIR'!Q100+'KHYBER PAKHTUNKHWA'!Q100)</f>
        <v>0</v>
      </c>
      <c r="R100" s="4">
        <f>SUM(MPR!R99+KARACHI!R100+SINDH!R100+'GILGIT BALTISTAN'!R100+'AZAD KHASHMIR'!R100+'KHYBER PAKHTUNKHWA'!R100)</f>
        <v>0</v>
      </c>
      <c r="S100" s="4">
        <f>SUM(MPR!S99+KARACHI!S100+SINDH!S100+'GILGIT BALTISTAN'!S100+'AZAD KHASHMIR'!S100+'KHYBER PAKHTUNKHWA'!S100)</f>
        <v>0</v>
      </c>
      <c r="T100" s="4">
        <f>SUM(MPR!T99+KARACHI!T100+SINDH!T100+'GILGIT BALTISTAN'!T100+'AZAD KHASHMIR'!T100+'KHYBER PAKHTUNKHWA'!T100)</f>
        <v>0</v>
      </c>
      <c r="U100" s="4">
        <f>SUM(MPR!U99+KARACHI!U100+SINDH!U100+'GILGIT BALTISTAN'!U100+'AZAD KHASHMIR'!U100+'KHYBER PAKHTUNKHWA'!U100)</f>
        <v>0</v>
      </c>
      <c r="V100" s="4">
        <f>SUM(MPR!V99+KARACHI!V100+SINDH!V100+'GILGIT BALTISTAN'!V100+'AZAD KHASHMIR'!V100+'KHYBER PAKHTUNKHWA'!V100)</f>
        <v>0</v>
      </c>
      <c r="W100" s="4">
        <f>SUM(MPR!W99+KARACHI!W100+SINDH!W100+'GILGIT BALTISTAN'!W100+'AZAD KHASHMIR'!W100+'KHYBER PAKHTUNKHWA'!W100)</f>
        <v>0</v>
      </c>
      <c r="X100" s="4">
        <f>SUM(MPR!X99+KARACHI!X100+SINDH!X100+'GILGIT BALTISTAN'!X100+'AZAD KHASHMIR'!X100+'KHYBER PAKHTUNKHWA'!X100)</f>
        <v>0</v>
      </c>
      <c r="Y100" s="4">
        <f>SUM(MPR!Y99+KARACHI!Y100+SINDH!Y100+'GILGIT BALTISTAN'!Y100+'AZAD KHASHMIR'!Y100+'KHYBER PAKHTUNKHWA'!Y100)</f>
        <v>0</v>
      </c>
      <c r="Z100" s="4">
        <f>SUM(MPR!Z99+KARACHI!Z100+SINDH!Z100+'GILGIT BALTISTAN'!Z100+'AZAD KHASHMIR'!Z100+'KHYBER PAKHTUNKHWA'!Z100)</f>
        <v>0</v>
      </c>
      <c r="AA100" s="4">
        <f>SUM(MPR!AA99+KARACHI!AA100+SINDH!AA100+'GILGIT BALTISTAN'!AA100+'AZAD KHASHMIR'!AA100+'KHYBER PAKHTUNKHWA'!AA100)</f>
        <v>0</v>
      </c>
      <c r="AB100" s="4">
        <f>SUM(L100+N100+P100+R100+T100+V100+X100+Z100)</f>
        <v>0</v>
      </c>
      <c r="AC100" s="4">
        <f>SUM(M100+O100+Q100+S100+U100+W100+Y100+AA100)</f>
        <v>0</v>
      </c>
      <c r="AD100" s="4">
        <f>SUM(AB100:AC100)</f>
        <v>0</v>
      </c>
    </row>
    <row r="101" ht="24.9" customHeight="1">
      <c r="A101" s="185" t="inlineStr">
        <is>
          <t>Extra Pulmonary , Clinically Diagnosed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45" t="n"/>
      <c r="L101" s="4">
        <f>SUM(MPR!L100+KARACHI!L101+SINDH!L101+'GILGIT BALTISTAN'!L101+'AZAD KHASHMIR'!L101+'KHYBER PAKHTUNKHWA'!L101)</f>
        <v>0</v>
      </c>
      <c r="M101" s="4">
        <f>SUM(MPR!M100+KARACHI!M101+SINDH!M101+'GILGIT BALTISTAN'!M101+'AZAD KHASHMIR'!M101+'KHYBER PAKHTUNKHWA'!M101)</f>
        <v>0</v>
      </c>
      <c r="N101" s="4">
        <f>SUM(MPR!N100+KARACHI!N101+SINDH!N101+'GILGIT BALTISTAN'!N101+'AZAD KHASHMIR'!N101+'KHYBER PAKHTUNKHWA'!N101)</f>
        <v>0</v>
      </c>
      <c r="O101" s="4">
        <f>SUM(MPR!O100+KARACHI!O101+SINDH!O101+'GILGIT BALTISTAN'!O101+'AZAD KHASHMIR'!O101+'KHYBER PAKHTUNKHWA'!O101)</f>
        <v>0</v>
      </c>
      <c r="P101" s="4">
        <f>SUM(MPR!P100+KARACHI!P101+SINDH!P101+'GILGIT BALTISTAN'!P101+'AZAD KHASHMIR'!P101+'KHYBER PAKHTUNKHWA'!P101)</f>
        <v>0</v>
      </c>
      <c r="Q101" s="4">
        <f>SUM(MPR!Q100+KARACHI!Q101+SINDH!Q101+'GILGIT BALTISTAN'!Q101+'AZAD KHASHMIR'!Q101+'KHYBER PAKHTUNKHWA'!Q101)</f>
        <v>0</v>
      </c>
      <c r="R101" s="4">
        <f>SUM(MPR!R100+KARACHI!R101+SINDH!R101+'GILGIT BALTISTAN'!R101+'AZAD KHASHMIR'!R101+'KHYBER PAKHTUNKHWA'!R101)</f>
        <v>0</v>
      </c>
      <c r="S101" s="4">
        <f>SUM(MPR!S100+KARACHI!S101+SINDH!S101+'GILGIT BALTISTAN'!S101+'AZAD KHASHMIR'!S101+'KHYBER PAKHTUNKHWA'!S101)</f>
        <v>0</v>
      </c>
      <c r="T101" s="4">
        <f>SUM(MPR!T100+KARACHI!T101+SINDH!T101+'GILGIT BALTISTAN'!T101+'AZAD KHASHMIR'!T101+'KHYBER PAKHTUNKHWA'!T101)</f>
        <v>0</v>
      </c>
      <c r="U101" s="4">
        <f>SUM(MPR!U100+KARACHI!U101+SINDH!U101+'GILGIT BALTISTAN'!U101+'AZAD KHASHMIR'!U101+'KHYBER PAKHTUNKHWA'!U101)</f>
        <v>0</v>
      </c>
      <c r="V101" s="4">
        <f>SUM(MPR!V100+KARACHI!V101+SINDH!V101+'GILGIT BALTISTAN'!V101+'AZAD KHASHMIR'!V101+'KHYBER PAKHTUNKHWA'!V101)</f>
        <v>0</v>
      </c>
      <c r="W101" s="4">
        <f>SUM(MPR!W100+KARACHI!W101+SINDH!W101+'GILGIT BALTISTAN'!W101+'AZAD KHASHMIR'!W101+'KHYBER PAKHTUNKHWA'!W101)</f>
        <v>0</v>
      </c>
      <c r="X101" s="4">
        <f>SUM(MPR!X100+KARACHI!X101+SINDH!X101+'GILGIT BALTISTAN'!X101+'AZAD KHASHMIR'!X101+'KHYBER PAKHTUNKHWA'!X101)</f>
        <v>0</v>
      </c>
      <c r="Y101" s="4">
        <f>SUM(MPR!Y100+KARACHI!Y101+SINDH!Y101+'GILGIT BALTISTAN'!Y101+'AZAD KHASHMIR'!Y101+'KHYBER PAKHTUNKHWA'!Y101)</f>
        <v>0</v>
      </c>
      <c r="Z101" s="4">
        <f>SUM(MPR!Z100+KARACHI!Z101+SINDH!Z101+'GILGIT BALTISTAN'!Z101+'AZAD KHASHMIR'!Z101+'KHYBER PAKHTUNKHWA'!Z101)</f>
        <v>0</v>
      </c>
      <c r="AA101" s="4">
        <f>SUM(MPR!AA100+KARACHI!AA101+SINDH!AA101+'GILGIT BALTISTAN'!AA101+'AZAD KHASHMIR'!AA101+'KHYBER PAKHTUNKHWA'!AA101)</f>
        <v>0</v>
      </c>
      <c r="AB101" s="4">
        <f>SUM(L101+N101+P101+R101+T101+V101+X101+Z101)</f>
        <v>0</v>
      </c>
      <c r="AC101" s="4">
        <f>SUM(M101+O101+Q101+S101+U101+W101+Y101+AA101)</f>
        <v>0</v>
      </c>
      <c r="AD101" s="4">
        <f>SUM(AB101:AC101)</f>
        <v>0</v>
      </c>
    </row>
    <row r="102" ht="24.9" customHeight="1">
      <c r="A102" s="67" t="inlineStr">
        <is>
          <t>Total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45" t="n"/>
      <c r="L102" s="4">
        <f>SUM(L98:L101)</f>
        <v>0</v>
      </c>
      <c r="M102" s="4">
        <f>SUM(M98:M101)</f>
        <v>0</v>
      </c>
      <c r="N102" s="4">
        <f>SUM(N98:N101)</f>
        <v>0</v>
      </c>
      <c r="O102" s="4">
        <f>SUM(O98:O101)</f>
        <v>0</v>
      </c>
      <c r="P102" s="4">
        <f>SUM(P98:P101)</f>
        <v>0</v>
      </c>
      <c r="Q102" s="4">
        <f>SUM(Q98:Q101)</f>
        <v>0</v>
      </c>
      <c r="R102" s="4">
        <f>SUM(R98:R101)</f>
        <v>0</v>
      </c>
      <c r="S102" s="4">
        <f>SUM(S98:S101)</f>
        <v>0</v>
      </c>
      <c r="T102" s="4">
        <f>SUM(T98:T101)</f>
        <v>0</v>
      </c>
      <c r="U102" s="4">
        <f>SUM(U98:U101)</f>
        <v>0</v>
      </c>
      <c r="V102" s="4">
        <f>SUM(V98:V101)</f>
        <v>0</v>
      </c>
      <c r="W102" s="4">
        <f>SUM(W98:W101)</f>
        <v>0</v>
      </c>
      <c r="X102" s="4">
        <f>SUM(X98:X101)</f>
        <v>0</v>
      </c>
      <c r="Y102" s="4">
        <f>SUM(Y98:Y101)</f>
        <v>0</v>
      </c>
      <c r="Z102" s="4">
        <f>SUM(Z98:Z101)</f>
        <v>0</v>
      </c>
      <c r="AA102" s="4">
        <f>SUM(AA98:AA101)</f>
        <v>0</v>
      </c>
      <c r="AB102" s="4">
        <f>SUM(AB98:AB101)</f>
        <v>0</v>
      </c>
      <c r="AC102" s="4">
        <f>SUM(AC98:AC101)</f>
        <v>0</v>
      </c>
      <c r="AD102" s="4">
        <f>SUM(AB102:AC102)</f>
        <v>0</v>
      </c>
    </row>
    <row r="103" ht="6.75" customHeight="1">
      <c r="A103" s="27" t="n"/>
      <c r="B103" s="28" t="n"/>
      <c r="C103" s="28" t="n"/>
      <c r="D103" s="28" t="n"/>
      <c r="E103" s="28" t="n"/>
      <c r="F103" s="29" t="n"/>
      <c r="G103" s="29" t="n"/>
      <c r="H103" s="30" t="n"/>
      <c r="I103" s="30" t="n"/>
      <c r="J103" s="30" t="n"/>
      <c r="K103" s="30" t="n"/>
      <c r="L103" s="30" t="n"/>
      <c r="M103" s="30" t="n"/>
      <c r="N103" s="31" t="n"/>
      <c r="O103" s="30" t="n"/>
      <c r="P103" s="87" t="n"/>
      <c r="Q103" s="45" t="n"/>
      <c r="R103" s="32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3" t="n"/>
    </row>
    <row r="104" ht="18" customHeight="1">
      <c r="A104" s="34" t="inlineStr">
        <is>
          <t>Block 3: Presumptive TB Cases Identified Laboratory Diagnosis and use of WRD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6" t="n"/>
      <c r="N104" s="37" t="n"/>
      <c r="O104" s="34" t="inlineStr">
        <is>
          <t>Block 4 :  TB HIV  Activities</t>
        </is>
      </c>
      <c r="P104" s="35" t="n"/>
      <c r="Q104" s="35" t="n"/>
      <c r="R104" s="35" t="n"/>
      <c r="S104" s="35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25" t="n"/>
    </row>
    <row r="105" ht="42.75" customHeight="1">
      <c r="A105" s="6" t="inlineStr">
        <is>
          <t>Total
New OPD in Quarter</t>
        </is>
      </c>
      <c r="B105" s="88" t="inlineStr">
        <is>
          <t>No. of presumptive TB cases identified</t>
        </is>
      </c>
      <c r="C105" s="179" t="n"/>
      <c r="D105" s="6" t="inlineStr">
        <is>
          <t>No. of Presumptive TB
Patients tested 
Using</t>
        </is>
      </c>
      <c r="E105" s="33" t="n"/>
      <c r="F105" s="33" t="n"/>
      <c r="G105" s="45" t="n"/>
      <c r="H105" s="6" t="inlineStr">
        <is>
          <t>Among Presumptive 
TB cases tested  number reported B+</t>
        </is>
      </c>
      <c r="I105" s="33" t="n"/>
      <c r="J105" s="33" t="n"/>
      <c r="K105" s="45" t="n"/>
      <c r="L105" s="6" t="inlineStr">
        <is>
          <t>Among all
registered
number of
B+ TB
Cases</t>
        </is>
      </c>
      <c r="M105" s="6" t="inlineStr">
        <is>
          <t>Amoung All
(N+R+UK)
number tested
by Gene Xpert</t>
        </is>
      </c>
      <c r="N105" s="5" t="n"/>
      <c r="O105" s="165" t="inlineStr">
        <is>
          <t>No. of TB patients
tested for HIV</t>
        </is>
      </c>
      <c r="P105" s="33" t="n"/>
      <c r="Q105" s="33" t="n"/>
      <c r="R105" s="45" t="n"/>
      <c r="S105" s="165" t="inlineStr">
        <is>
          <t>HIV Reactive</t>
        </is>
      </c>
      <c r="T105" s="33" t="n"/>
      <c r="U105" s="33" t="n"/>
      <c r="V105" s="45" t="n"/>
      <c r="W105" s="165" t="inlineStr">
        <is>
          <t>TB Patients confirmed
positive for HIV</t>
        </is>
      </c>
      <c r="X105" s="33" t="n"/>
      <c r="Y105" s="33" t="n"/>
      <c r="Z105" s="45" t="n"/>
      <c r="AA105" s="165" t="inlineStr">
        <is>
          <t>HIV positive TB Patients put on ART</t>
        </is>
      </c>
      <c r="AB105" s="33" t="n"/>
      <c r="AC105" s="33" t="n"/>
      <c r="AD105" s="45" t="n"/>
    </row>
    <row r="106" ht="48" customHeight="1">
      <c r="A106" s="190" t="n"/>
      <c r="B106" s="6" t="inlineStr">
        <is>
          <t>Total</t>
        </is>
      </c>
      <c r="C106" s="88" t="inlineStr">
        <is>
          <t>Through
Community
Referrals (LHWs)</t>
        </is>
      </c>
      <c r="D106" s="88" t="inlineStr">
        <is>
          <t>AFB</t>
        </is>
      </c>
      <c r="E106" s="88" t="inlineStr">
        <is>
          <t>Xp &amp;
AFB</t>
        </is>
      </c>
      <c r="F106" s="88" t="inlineStr">
        <is>
          <t>XP</t>
        </is>
      </c>
      <c r="G106" s="7" t="inlineStr">
        <is>
          <t>G.Tot</t>
        </is>
      </c>
      <c r="H106" s="7" t="inlineStr">
        <is>
          <t>AFB</t>
        </is>
      </c>
      <c r="I106" s="88" t="inlineStr">
        <is>
          <t>AFB +
Xpert</t>
        </is>
      </c>
      <c r="J106" s="7" t="inlineStr">
        <is>
          <t>Xpert</t>
        </is>
      </c>
      <c r="K106" s="7" t="inlineStr">
        <is>
          <t>G.Tot</t>
        </is>
      </c>
      <c r="L106" s="190" t="n"/>
      <c r="M106" s="190" t="n"/>
      <c r="N106" s="5" t="n"/>
      <c r="O106" s="93">
        <f>SUM(MPR!O105+KARACHI!O106+SINDH!O106+'GILGIT BALTISTAN'!O106:R106+'AZAD KHASHMIR'!O106:R106+'KHYBER PAKHTUNKHWA'!O106:R106)</f>
        <v>0</v>
      </c>
      <c r="P106" s="33" t="n"/>
      <c r="Q106" s="33" t="n"/>
      <c r="R106" s="33" t="n"/>
      <c r="S106" s="93">
        <f>SUM(MPR!S105+KARACHI!S106+SINDH!S106+'GILGIT BALTISTAN'!S106:V106+'AZAD KHASHMIR'!S106:V106+'KHYBER PAKHTUNKHWA'!S106:V106)</f>
        <v>0</v>
      </c>
      <c r="T106" s="33" t="n"/>
      <c r="U106" s="33" t="n"/>
      <c r="V106" s="33" t="n"/>
      <c r="W106" s="93">
        <f>SUM(MPR!W105+KARACHI!W106+SINDH!W106+'GILGIT BALTISTAN'!W106:Z106+'AZAD KHASHMIR'!W106:Z106+'KHYBER PAKHTUNKHWA'!W106:Z106)</f>
        <v>0</v>
      </c>
      <c r="X106" s="33" t="n"/>
      <c r="Y106" s="33" t="n"/>
      <c r="Z106" s="33" t="n"/>
      <c r="AA106" s="93">
        <f>SUM(MPR!AA105+KARACHI!AA106+SINDH!AA106+'GILGIT BALTISTAN'!AA106:AD106+'AZAD KHASHMIR'!AA106:AD106+'KHYBER PAKHTUNKHWA'!AA106:AD106)</f>
        <v>0</v>
      </c>
      <c r="AB106" s="33" t="n"/>
      <c r="AC106" s="33" t="n"/>
      <c r="AD106" s="33" t="n"/>
    </row>
    <row r="107" ht="38.25" customHeight="1">
      <c r="A107" s="193">
        <f>SUM(MPR!A106+KARACHI!A107+SINDH!A107+'GILGIT BALTISTAN'!A107:A111+'AZAD KHASHMIR'!A107:A111+'KHYBER PAKHTUNKHWA'!A107:A111)</f>
        <v>0</v>
      </c>
      <c r="B107" s="193">
        <f>SUM(MPR!B106+KARACHI!B107+SINDH!B107+'GILGIT BALTISTAN'!B107:B111+'AZAD KHASHMIR'!B107:B111+'KHYBER PAKHTUNKHWA'!B107:B111)</f>
        <v>0</v>
      </c>
      <c r="C107" s="193">
        <f>SUM(MPR!C106+KARACHI!C107+SINDH!C107+'GILGIT BALTISTAN'!C107:C111+'AZAD KHASHMIR'!C107:C111+'KHYBER PAKHTUNKHWA'!C107:C111)</f>
        <v>0</v>
      </c>
      <c r="D107" s="193">
        <f>SUM(MPR!D106+KARACHI!D107+SINDH!D107+'GILGIT BALTISTAN'!D107:D111+'AZAD KHASHMIR'!D107:D111+'KHYBER PAKHTUNKHWA'!D107:D111)</f>
        <v>0</v>
      </c>
      <c r="E107" s="193">
        <f>SUM(MPR!E106+KARACHI!E107+SINDH!E107+'GILGIT BALTISTAN'!E107:E111+'AZAD KHASHMIR'!E107:E111+'KHYBER PAKHTUNKHWA'!E107:E111)</f>
        <v>0</v>
      </c>
      <c r="F107" s="193">
        <f>SUM(MPR!F106+KARACHI!F107+SINDH!F107+'GILGIT BALTISTAN'!F107:F111+'AZAD KHASHMIR'!F107:F111+'KHYBER PAKHTUNKHWA'!F107:F111)</f>
        <v>0</v>
      </c>
      <c r="G107" s="165">
        <f>SUM(D107:F111)</f>
        <v>0</v>
      </c>
      <c r="H107" s="193">
        <f>SUM(MPR!H106+KARACHI!H107+SINDH!H107+'GILGIT BALTISTAN'!H107:H111+'AZAD KHASHMIR'!H107:H111+'KHYBER PAKHTUNKHWA'!H107:H111)</f>
        <v>0</v>
      </c>
      <c r="I107" s="193">
        <f>SUM(MPR!I106+KARACHI!I107+SINDH!I107+'GILGIT BALTISTAN'!I107:I111+'AZAD KHASHMIR'!I107:I111+'KHYBER PAKHTUNKHWA'!I107:I111)</f>
        <v>0</v>
      </c>
      <c r="J107" s="193">
        <f>SUM(MPR!J106+KARACHI!J107+SINDH!J107+'GILGIT BALTISTAN'!J107:J111+'AZAD KHASHMIR'!J107:J111+'KHYBER PAKHTUNKHWA'!J107:J111)</f>
        <v>0</v>
      </c>
      <c r="K107" s="165">
        <f>SUM(H107:J111)</f>
        <v>0</v>
      </c>
      <c r="L107" s="193">
        <f>SUM(MPR!L106+KARACHI!L107+SINDH!L107+'GILGIT BALTISTAN'!L107:L111+'AZAD KHASHMIR'!L107:L111+'KHYBER PAKHTUNKHWA'!L107:L111)</f>
        <v>0</v>
      </c>
      <c r="M107" s="193">
        <f>SUM(MPR!M106+KARACHI!M107+SINDH!M107+'GILGIT BALTISTAN'!M107:M111+'AZAD KHASHMIR'!M107:M111+'KHYBER PAKHTUNKHWA'!M107:M111)</f>
        <v>0</v>
      </c>
      <c r="N107" s="5" t="n"/>
      <c r="O107" s="165" t="inlineStr">
        <is>
          <t xml:space="preserve">HIV patient tested for TB </t>
        </is>
      </c>
      <c r="P107" s="33" t="n"/>
      <c r="Q107" s="33" t="n"/>
      <c r="R107" s="45" t="n"/>
      <c r="S107" s="165" t="inlineStr">
        <is>
          <t>HIV patients 
diagnosed  for TB</t>
        </is>
      </c>
      <c r="T107" s="33" t="n"/>
      <c r="U107" s="33" t="n"/>
      <c r="V107" s="45" t="n"/>
      <c r="W107" s="165" t="inlineStr">
        <is>
          <t>TB HIV patients put on
 TB Tx</t>
        </is>
      </c>
      <c r="X107" s="33" t="n"/>
      <c r="Y107" s="33" t="n"/>
      <c r="Z107" s="45" t="n"/>
      <c r="AA107" s="165" t="inlineStr">
        <is>
          <t>HIV positive TB negative
patients on TPT</t>
        </is>
      </c>
      <c r="AB107" s="33" t="n"/>
      <c r="AC107" s="33" t="n"/>
      <c r="AD107" s="45" t="n"/>
    </row>
    <row r="108" ht="19.5" customHeight="1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39" t="n"/>
      <c r="O108" s="165">
        <f>SUM(MPR!O107+KARACHI!O108+SINDH!O108+'GILGIT BALTISTAN'!O108:R111+'AZAD KHASHMIR'!O108:R111+'KHYBER PAKHTUNKHWA'!O108:R111)</f>
        <v>0</v>
      </c>
      <c r="P108" s="178" t="n"/>
      <c r="Q108" s="178" t="n"/>
      <c r="R108" s="179" t="n"/>
      <c r="S108" s="165">
        <f>SUM(MPR!S107+KARACHI!S108+SINDH!S108+'GILGIT BALTISTAN'!S108:V111+'AZAD KHASHMIR'!S108:V111+'KHYBER PAKHTUNKHWA'!S108:V111)</f>
        <v>0</v>
      </c>
      <c r="T108" s="178" t="n"/>
      <c r="U108" s="178" t="n"/>
      <c r="V108" s="179" t="n"/>
      <c r="W108" s="165">
        <f>SUM(MPR!W107+KARACHI!W108+SINDH!W108+'GILGIT BALTISTAN'!W108:Z111+'AZAD KHASHMIR'!W108:Z111+'KHYBER PAKHTUNKHWA'!W108:Z111)</f>
        <v>0</v>
      </c>
      <c r="X108" s="178" t="n"/>
      <c r="Y108" s="178" t="n"/>
      <c r="Z108" s="179" t="n"/>
      <c r="AA108" s="8" t="n"/>
      <c r="AB108" s="8" t="inlineStr">
        <is>
          <t>0-4</t>
        </is>
      </c>
      <c r="AC108" s="9" t="inlineStr">
        <is>
          <t>5-14</t>
        </is>
      </c>
      <c r="AD108" s="40" t="inlineStr">
        <is>
          <t>15 +</t>
        </is>
      </c>
    </row>
    <row r="109" ht="18" customHeight="1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39" t="n"/>
      <c r="O109" s="182" t="n"/>
      <c r="R109" s="181" t="n"/>
      <c r="S109" s="182" t="n"/>
      <c r="V109" s="181" t="n"/>
      <c r="W109" s="182" t="n"/>
      <c r="Z109" s="181" t="n"/>
      <c r="AA109" s="10" t="inlineStr">
        <is>
          <t>6H</t>
        </is>
      </c>
      <c r="AB109" s="9">
        <f>SUM(MPR!AB108+KARACHI!AB109+SINDH!AB109+'GILGIT BALTISTAN'!AB109+'AZAD KHASHMIR'!AB109+'KHYBER PAKHTUNKHWA'!AB109)</f>
        <v>0</v>
      </c>
      <c r="AC109" s="9">
        <f>SUM(MPR!AC108+KARACHI!AC109+SINDH!AC109+'GILGIT BALTISTAN'!AC109+'AZAD KHASHMIR'!AC109+'KHYBER PAKHTUNKHWA'!AC109)</f>
        <v>0</v>
      </c>
      <c r="AD109" s="9">
        <f>SUM(MPR!AD108+KARACHI!AD109+SINDH!AD109+'GILGIT BALTISTAN'!AD109+'AZAD KHASHMIR'!AD109+'KHYBER PAKHTUNKHWA'!AD109)</f>
        <v>0</v>
      </c>
    </row>
    <row r="110" ht="18" customHeight="1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39" t="n"/>
      <c r="O110" s="182" t="n"/>
      <c r="R110" s="181" t="n"/>
      <c r="S110" s="182" t="n"/>
      <c r="V110" s="181" t="n"/>
      <c r="W110" s="182" t="n"/>
      <c r="Z110" s="181" t="n"/>
      <c r="AA110" s="10" t="inlineStr">
        <is>
          <t>3HR</t>
        </is>
      </c>
      <c r="AB110" s="9">
        <f>SUM(MPR!AB109+KARACHI!AB110+SINDH!AB110+'GILGIT BALTISTAN'!AB110+'AZAD KHASHMIR'!AB110+'KHYBER PAKHTUNKHWA'!AB110)</f>
        <v>0</v>
      </c>
      <c r="AC110" s="9">
        <f>SUM(MPR!AC109+KARACHI!AC110+SINDH!AC110+'GILGIT BALTISTAN'!AC110+'AZAD KHASHMIR'!AC110+'KHYBER PAKHTUNKHWA'!AC110)</f>
        <v>0</v>
      </c>
      <c r="AD110" s="9">
        <f>SUM(MPR!AD109+KARACHI!AD110+SINDH!AD110+'GILGIT BALTISTAN'!AD110+'AZAD KHASHMIR'!AD110+'KHYBER PAKHTUNKHWA'!AD110)</f>
        <v>0</v>
      </c>
    </row>
    <row r="111" ht="18" customHeight="1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39" t="n"/>
      <c r="O111" s="183" t="n"/>
      <c r="P111" s="22" t="n"/>
      <c r="Q111" s="22" t="n"/>
      <c r="R111" s="184" t="n"/>
      <c r="S111" s="183" t="n"/>
      <c r="T111" s="22" t="n"/>
      <c r="U111" s="22" t="n"/>
      <c r="V111" s="184" t="n"/>
      <c r="W111" s="183" t="n"/>
      <c r="X111" s="22" t="n"/>
      <c r="Y111" s="22" t="n"/>
      <c r="Z111" s="184" t="n"/>
      <c r="AA111" s="10" t="inlineStr">
        <is>
          <t>3 HP</t>
        </is>
      </c>
      <c r="AB111" s="9">
        <f>SUM(MPR!AB110+KARACHI!AB111+SINDH!AB111+'GILGIT BALTISTAN'!AB111+'AZAD KHASHMIR'!AB111+'KHYBER PAKHTUNKHWA'!AB111)</f>
        <v>0</v>
      </c>
      <c r="AC111" s="9">
        <f>SUM(MPR!AC110+KARACHI!AC111+SINDH!AC111+'GILGIT BALTISTAN'!AC111+'AZAD KHASHMIR'!AC111+'KHYBER PAKHTUNKHWA'!AC111)</f>
        <v>0</v>
      </c>
      <c r="AD111" s="9">
        <f>SUM(MPR!AD110+KARACHI!AD111+SINDH!AD111+'GILGIT BALTISTAN'!AD111+'AZAD KHASHMIR'!AD111+'KHYBER PAKHTUNKHWA'!AD111)</f>
        <v>0</v>
      </c>
    </row>
    <row r="112" ht="8.25" customHeight="1">
      <c r="A112" s="1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4" t="n"/>
      <c r="O112" s="43" t="n"/>
      <c r="P112" s="43" t="n"/>
      <c r="Q112" s="43" t="n"/>
      <c r="R112" s="43" t="n"/>
      <c r="S112" s="43" t="n"/>
      <c r="T112" s="43" t="n"/>
      <c r="U112" s="43" t="n"/>
      <c r="V112" s="12" t="n"/>
      <c r="W112" s="12" t="n"/>
      <c r="X112" s="12" t="n"/>
      <c r="Y112" s="12" t="n"/>
      <c r="Z112" s="12" t="n"/>
      <c r="AA112" s="12" t="n"/>
      <c r="AB112" s="43" t="n"/>
      <c r="AC112" s="43" t="n"/>
      <c r="AD112" s="45" t="n"/>
    </row>
    <row r="113" ht="18" customHeight="1">
      <c r="A113" s="34" t="inlineStr">
        <is>
          <t>Block 5 :  Bacteriologically Confermid TB Cases with DST Result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6" t="n"/>
      <c r="N113" s="46" t="n"/>
      <c r="O113" s="34" t="inlineStr">
        <is>
          <t>Block 6 :  Contact Tracing HH *</t>
        </is>
      </c>
      <c r="P113" s="36" t="n"/>
      <c r="Q113" s="35" t="n"/>
      <c r="R113" s="4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8" t="n"/>
      <c r="AC113" s="38" t="n"/>
      <c r="AD113" s="48" t="n"/>
    </row>
    <row r="114" ht="18" customHeight="1">
      <c r="A114" s="80" t="inlineStr">
        <is>
          <t>Sensitive =S
Resistance = R</t>
        </is>
      </c>
      <c r="B114" s="81" t="inlineStr">
        <is>
          <t>PTB</t>
        </is>
      </c>
      <c r="C114" s="33" t="n"/>
      <c r="D114" s="33" t="n"/>
      <c r="E114" s="33" t="n"/>
      <c r="F114" s="33" t="n"/>
      <c r="G114" s="45" t="n"/>
      <c r="H114" s="81" t="inlineStr">
        <is>
          <t>EPTB</t>
        </is>
      </c>
      <c r="I114" s="33" t="n"/>
      <c r="J114" s="33" t="n"/>
      <c r="K114" s="33" t="n"/>
      <c r="L114" s="33" t="n"/>
      <c r="M114" s="45" t="n"/>
      <c r="N114" s="49" t="n"/>
      <c r="O114" s="6" t="inlineStr">
        <is>
          <t>Total No. of HH
of B+ PTB</t>
        </is>
      </c>
      <c r="P114" s="178" t="n"/>
      <c r="Q114" s="179" t="n"/>
      <c r="R114" s="6" t="inlineStr">
        <is>
          <t>No. of HH contacts of
B+ PTB Cases
Screened</t>
        </is>
      </c>
      <c r="S114" s="178" t="n"/>
      <c r="T114" s="179" t="n"/>
      <c r="U114" s="6" t="inlineStr">
        <is>
          <t>No. of TB 
Cases diagnosed Amoung HH
contact
screened</t>
        </is>
      </c>
      <c r="V114" s="178" t="n"/>
      <c r="W114" s="179" t="n"/>
      <c r="X114" s="6" t="inlineStr">
        <is>
          <t>No. of HH Contacts 
Initiated on TPT</t>
        </is>
      </c>
      <c r="Y114" s="178" t="n"/>
      <c r="Z114" s="178" t="n"/>
      <c r="AA114" s="179" t="n"/>
      <c r="AB114" s="6" t="inlineStr">
        <is>
          <t>HIV negative 
Immuno - compromised on 
TPT</t>
        </is>
      </c>
      <c r="AC114" s="178" t="n"/>
      <c r="AD114" s="179" t="n"/>
    </row>
    <row r="115" ht="15" customHeight="1">
      <c r="A115" s="191" t="n"/>
      <c r="B115" s="67" t="inlineStr">
        <is>
          <t>Rifampicin</t>
        </is>
      </c>
      <c r="C115" s="45" t="n"/>
      <c r="D115" s="67" t="inlineStr">
        <is>
          <t>Isoniazid</t>
        </is>
      </c>
      <c r="E115" s="45" t="n"/>
      <c r="F115" s="67" t="inlineStr">
        <is>
          <t>Fluoroquninolone</t>
        </is>
      </c>
      <c r="G115" s="45" t="n"/>
      <c r="H115" s="67" t="inlineStr">
        <is>
          <t>Rifampicin</t>
        </is>
      </c>
      <c r="I115" s="45" t="n"/>
      <c r="J115" s="67" t="inlineStr">
        <is>
          <t>Isoniazid</t>
        </is>
      </c>
      <c r="K115" s="45" t="n"/>
      <c r="L115" s="67" t="inlineStr">
        <is>
          <t>Fluoroquninolone</t>
        </is>
      </c>
      <c r="M115" s="45" t="n"/>
      <c r="N115" s="50" t="n"/>
      <c r="O115" s="182" t="n"/>
      <c r="Q115" s="181" t="n"/>
      <c r="R115" s="182" t="n"/>
      <c r="T115" s="181" t="n"/>
      <c r="U115" s="182" t="n"/>
      <c r="W115" s="181" t="n"/>
      <c r="X115" s="182" t="n"/>
      <c r="AA115" s="181" t="n"/>
      <c r="AB115" s="182" t="n"/>
      <c r="AD115" s="181" t="n"/>
    </row>
    <row r="116" ht="24.9" customHeight="1">
      <c r="A116" s="190" t="n"/>
      <c r="B116" s="67" t="inlineStr">
        <is>
          <t>S</t>
        </is>
      </c>
      <c r="C116" s="67" t="inlineStr">
        <is>
          <t>R</t>
        </is>
      </c>
      <c r="D116" s="67" t="inlineStr">
        <is>
          <t>S</t>
        </is>
      </c>
      <c r="E116" s="67" t="inlineStr">
        <is>
          <t>R</t>
        </is>
      </c>
      <c r="F116" s="67" t="inlineStr">
        <is>
          <t>S</t>
        </is>
      </c>
      <c r="G116" s="67" t="inlineStr">
        <is>
          <t>R</t>
        </is>
      </c>
      <c r="H116" s="67" t="inlineStr">
        <is>
          <t>S</t>
        </is>
      </c>
      <c r="I116" s="67" t="inlineStr">
        <is>
          <t>R</t>
        </is>
      </c>
      <c r="J116" s="67" t="inlineStr">
        <is>
          <t>S</t>
        </is>
      </c>
      <c r="K116" s="67" t="inlineStr">
        <is>
          <t>R</t>
        </is>
      </c>
      <c r="L116" s="67" t="inlineStr">
        <is>
          <t>S</t>
        </is>
      </c>
      <c r="M116" s="67" t="inlineStr">
        <is>
          <t>R</t>
        </is>
      </c>
      <c r="N116" s="51" t="n"/>
      <c r="O116" s="182" t="n"/>
      <c r="Q116" s="181" t="n"/>
      <c r="R116" s="182" t="n"/>
      <c r="T116" s="181" t="n"/>
      <c r="U116" s="182" t="n"/>
      <c r="W116" s="181" t="n"/>
      <c r="X116" s="183" t="n"/>
      <c r="Y116" s="22" t="n"/>
      <c r="Z116" s="22" t="n"/>
      <c r="AA116" s="184" t="n"/>
      <c r="AB116" s="183" t="n"/>
      <c r="AC116" s="22" t="n"/>
      <c r="AD116" s="184" t="n"/>
    </row>
    <row r="117" ht="24.9" customHeight="1">
      <c r="A117" s="67" t="inlineStr">
        <is>
          <t>New + UK</t>
        </is>
      </c>
      <c r="B117" s="4">
        <f>SUM(MPR!B116+KARACHI!B117+SINDH!B117+'GILGIT BALTISTAN'!B117+'AZAD KHASHMIR'!B117+'KHYBER PAKHTUNKHWA'!B117)</f>
        <v>0</v>
      </c>
      <c r="C117" s="4">
        <f>SUM(MPR!C116+KARACHI!C117+SINDH!C117+'GILGIT BALTISTAN'!C117+'AZAD KHASHMIR'!C117+'KHYBER PAKHTUNKHWA'!C117)</f>
        <v>0</v>
      </c>
      <c r="D117" s="4">
        <f>SUM(MPR!D116+KARACHI!D117+SINDH!D117+'GILGIT BALTISTAN'!D117+'AZAD KHASHMIR'!D117+'KHYBER PAKHTUNKHWA'!D117)</f>
        <v>0</v>
      </c>
      <c r="E117" s="4">
        <f>SUM(MPR!E116+KARACHI!E117+SINDH!E117+'GILGIT BALTISTAN'!E117+'AZAD KHASHMIR'!E117+'KHYBER PAKHTUNKHWA'!E117)</f>
        <v>0</v>
      </c>
      <c r="F117" s="4">
        <f>SUM(MPR!F116+KARACHI!F117+SINDH!F117+'GILGIT BALTISTAN'!F117+'AZAD KHASHMIR'!F117+'KHYBER PAKHTUNKHWA'!F117)</f>
        <v>0</v>
      </c>
      <c r="G117" s="4">
        <f>SUM(MPR!G116+KARACHI!G117+SINDH!G117+'GILGIT BALTISTAN'!G117+'AZAD KHASHMIR'!G117+'KHYBER PAKHTUNKHWA'!G117)</f>
        <v>0</v>
      </c>
      <c r="H117" s="4">
        <f>SUM(MPR!H116+KARACHI!H117+SINDH!H117+'GILGIT BALTISTAN'!H117+'AZAD KHASHMIR'!H117+'KHYBER PAKHTUNKHWA'!H117)</f>
        <v>0</v>
      </c>
      <c r="I117" s="4">
        <f>SUM(MPR!I116+KARACHI!I117+SINDH!I117+'GILGIT BALTISTAN'!I117+'AZAD KHASHMIR'!I117+'KHYBER PAKHTUNKHWA'!I117)</f>
        <v>0</v>
      </c>
      <c r="J117" s="4">
        <f>SUM(MPR!J116+KARACHI!J117+SINDH!J117+'GILGIT BALTISTAN'!J117+'AZAD KHASHMIR'!J117+'KHYBER PAKHTUNKHWA'!J117)</f>
        <v>0</v>
      </c>
      <c r="K117" s="4">
        <f>SUM(MPR!K116+KARACHI!K117+SINDH!K117+'GILGIT BALTISTAN'!K117+'AZAD KHASHMIR'!K117+'KHYBER PAKHTUNKHWA'!K117)</f>
        <v>0</v>
      </c>
      <c r="L117" s="4">
        <f>SUM(MPR!L116+KARACHI!L117+SINDH!L117+'GILGIT BALTISTAN'!L117+'AZAD KHASHMIR'!L117+'KHYBER PAKHTUNKHWA'!L117)</f>
        <v>0</v>
      </c>
      <c r="M117" s="4">
        <f>SUM(MPR!M116+KARACHI!M117+SINDH!M117+'GILGIT BALTISTAN'!M117+'AZAD KHASHMIR'!M117+'KHYBER PAKHTUNKHWA'!M117)</f>
        <v>0</v>
      </c>
      <c r="N117" s="51" t="n"/>
      <c r="O117" s="183" t="n"/>
      <c r="P117" s="22" t="n"/>
      <c r="Q117" s="184" t="n"/>
      <c r="R117" s="183" t="n"/>
      <c r="S117" s="22" t="n"/>
      <c r="T117" s="184" t="n"/>
      <c r="U117" s="183" t="n"/>
      <c r="V117" s="22" t="n"/>
      <c r="W117" s="184" t="n"/>
      <c r="X117" s="17" t="n"/>
      <c r="Y117" s="13" t="inlineStr">
        <is>
          <t>0-4</t>
        </is>
      </c>
      <c r="Z117" s="15" t="inlineStr">
        <is>
          <t>5-14</t>
        </is>
      </c>
      <c r="AA117" s="16" t="inlineStr">
        <is>
          <t>15+</t>
        </is>
      </c>
      <c r="AB117" s="13" t="inlineStr">
        <is>
          <t>0-4</t>
        </is>
      </c>
      <c r="AC117" s="15" t="inlineStr">
        <is>
          <t>5-14</t>
        </is>
      </c>
      <c r="AD117" s="16" t="inlineStr">
        <is>
          <t>15+</t>
        </is>
      </c>
    </row>
    <row r="118" ht="24.9" customHeight="1">
      <c r="A118" s="67" t="inlineStr">
        <is>
          <t>Relapse</t>
        </is>
      </c>
      <c r="B118" s="4">
        <f>SUM(MPR!B117+KARACHI!B118+SINDH!B118+'GILGIT BALTISTAN'!B118+'AZAD KHASHMIR'!B118+'KHYBER PAKHTUNKHWA'!B118)</f>
        <v>0</v>
      </c>
      <c r="C118" s="4">
        <f>SUM(MPR!C117+KARACHI!C118+SINDH!C118+'GILGIT BALTISTAN'!C118+'AZAD KHASHMIR'!C118+'KHYBER PAKHTUNKHWA'!C118)</f>
        <v>0</v>
      </c>
      <c r="D118" s="4">
        <f>SUM(MPR!D117+KARACHI!D118+SINDH!D118+'GILGIT BALTISTAN'!D118+'AZAD KHASHMIR'!D118+'KHYBER PAKHTUNKHWA'!D118)</f>
        <v>0</v>
      </c>
      <c r="E118" s="4">
        <f>SUM(MPR!E117+KARACHI!E118+SINDH!E118+'GILGIT BALTISTAN'!E118+'AZAD KHASHMIR'!E118+'KHYBER PAKHTUNKHWA'!E118)</f>
        <v>0</v>
      </c>
      <c r="F118" s="4">
        <f>SUM(MPR!F117+KARACHI!F118+SINDH!F118+'GILGIT BALTISTAN'!F118+'AZAD KHASHMIR'!F118+'KHYBER PAKHTUNKHWA'!F118)</f>
        <v>0</v>
      </c>
      <c r="G118" s="4">
        <f>SUM(MPR!G117+KARACHI!G118+SINDH!G118+'GILGIT BALTISTAN'!G118+'AZAD KHASHMIR'!G118+'KHYBER PAKHTUNKHWA'!G118)</f>
        <v>0</v>
      </c>
      <c r="H118" s="4">
        <f>SUM(MPR!H117+KARACHI!H118+SINDH!H118+'GILGIT BALTISTAN'!H118+'AZAD KHASHMIR'!H118+'KHYBER PAKHTUNKHWA'!H118)</f>
        <v>0</v>
      </c>
      <c r="I118" s="4">
        <f>SUM(MPR!I117+KARACHI!I118+SINDH!I118+'GILGIT BALTISTAN'!I118+'AZAD KHASHMIR'!I118+'KHYBER PAKHTUNKHWA'!I118)</f>
        <v>0</v>
      </c>
      <c r="J118" s="4">
        <f>SUM(MPR!J117+KARACHI!J118+SINDH!J118+'GILGIT BALTISTAN'!J118+'AZAD KHASHMIR'!J118+'KHYBER PAKHTUNKHWA'!J118)</f>
        <v>0</v>
      </c>
      <c r="K118" s="4">
        <f>SUM(MPR!K117+KARACHI!K118+SINDH!K118+'GILGIT BALTISTAN'!K118+'AZAD KHASHMIR'!K118+'KHYBER PAKHTUNKHWA'!K118)</f>
        <v>0</v>
      </c>
      <c r="L118" s="4">
        <f>SUM(MPR!L117+KARACHI!L118+SINDH!L118+'GILGIT BALTISTAN'!L118+'AZAD KHASHMIR'!L118+'KHYBER PAKHTUNKHWA'!L118)</f>
        <v>0</v>
      </c>
      <c r="M118" s="4">
        <f>SUM(MPR!M117+KARACHI!M118+SINDH!M118+'GILGIT BALTISTAN'!M118+'AZAD KHASHMIR'!M118+'KHYBER PAKHTUNKHWA'!M118)</f>
        <v>0</v>
      </c>
      <c r="N118" s="51" t="n"/>
      <c r="O118" s="7" t="inlineStr">
        <is>
          <t>0-4</t>
        </is>
      </c>
      <c r="P118" s="52" t="inlineStr">
        <is>
          <t>5-14</t>
        </is>
      </c>
      <c r="Q118" s="14" t="inlineStr">
        <is>
          <t>15 +</t>
        </is>
      </c>
      <c r="R118" s="13" t="inlineStr">
        <is>
          <t>0-4</t>
        </is>
      </c>
      <c r="S118" s="14" t="inlineStr">
        <is>
          <t>5-14</t>
        </is>
      </c>
      <c r="T118" s="14" t="inlineStr">
        <is>
          <t>15 +</t>
        </is>
      </c>
      <c r="U118" s="13" t="inlineStr">
        <is>
          <t>0-4</t>
        </is>
      </c>
      <c r="V118" s="14" t="inlineStr">
        <is>
          <t>5-14</t>
        </is>
      </c>
      <c r="W118" s="14" t="inlineStr">
        <is>
          <t>15 +</t>
        </is>
      </c>
      <c r="X118" s="17" t="inlineStr">
        <is>
          <t>6H</t>
        </is>
      </c>
      <c r="Y118" s="4">
        <f>SUM(MPR!Y117+KARACHI!Y118+SINDH!Y118+'GILGIT BALTISTAN'!Y118+'AZAD KHASHMIR'!Y118+'KHYBER PAKHTUNKHWA'!Y118)</f>
        <v>0</v>
      </c>
      <c r="Z118" s="4">
        <f>SUM(MPR!Z117+KARACHI!Z118+SINDH!Z118+'GILGIT BALTISTAN'!Z118+'AZAD KHASHMIR'!Z118+'KHYBER PAKHTUNKHWA'!Z118)</f>
        <v>0</v>
      </c>
      <c r="AA118" s="4">
        <f>SUM(MPR!AA117+KARACHI!AA118+SINDH!AA118+'GILGIT BALTISTAN'!AA118+'AZAD KHASHMIR'!AA118+'KHYBER PAKHTUNKHWA'!AA118)</f>
        <v>0</v>
      </c>
      <c r="AB118" s="4">
        <f>SUM(MPR!AB117+KARACHI!AB118+SINDH!AB118+'GILGIT BALTISTAN'!AB118+'AZAD KHASHMIR'!AB118+'KHYBER PAKHTUNKHWA'!AB118)</f>
        <v>0</v>
      </c>
      <c r="AC118" s="4">
        <f>SUM(MPR!AC117+KARACHI!AC118+SINDH!AC118+'GILGIT BALTISTAN'!AC118+'AZAD KHASHMIR'!AC118+'KHYBER PAKHTUNKHWA'!AC118)</f>
        <v>0</v>
      </c>
      <c r="AD118" s="4">
        <f>SUM(MPR!AD117+KARACHI!AD118+SINDH!AD118+'GILGIT BALTISTAN'!AD118+'AZAD KHASHMIR'!AD118+'KHYBER PAKHTUNKHWA'!AD118)</f>
        <v>0</v>
      </c>
    </row>
    <row r="119" ht="24.9" customHeight="1">
      <c r="A119" s="165" t="inlineStr">
        <is>
          <t>Previously treated</t>
        </is>
      </c>
      <c r="B119" s="4">
        <f>SUM(MPR!B118+KARACHI!B119+SINDH!B119+'GILGIT BALTISTAN'!B119+'AZAD KHASHMIR'!B119+'KHYBER PAKHTUNKHWA'!B119)</f>
        <v>0</v>
      </c>
      <c r="C119" s="4">
        <f>SUM(MPR!C118+KARACHI!C119+SINDH!C119+'GILGIT BALTISTAN'!C119+'AZAD KHASHMIR'!C119+'KHYBER PAKHTUNKHWA'!C119)</f>
        <v>0</v>
      </c>
      <c r="D119" s="4">
        <f>SUM(MPR!D118+KARACHI!D119+SINDH!D119+'GILGIT BALTISTAN'!D119+'AZAD KHASHMIR'!D119+'KHYBER PAKHTUNKHWA'!D119)</f>
        <v>0</v>
      </c>
      <c r="E119" s="4">
        <f>SUM(MPR!E118+KARACHI!E119+SINDH!E119+'GILGIT BALTISTAN'!E119+'AZAD KHASHMIR'!E119+'KHYBER PAKHTUNKHWA'!E119)</f>
        <v>0</v>
      </c>
      <c r="F119" s="4">
        <f>SUM(MPR!F118+KARACHI!F119+SINDH!F119+'GILGIT BALTISTAN'!F119+'AZAD KHASHMIR'!F119+'KHYBER PAKHTUNKHWA'!F119)</f>
        <v>0</v>
      </c>
      <c r="G119" s="4">
        <f>SUM(MPR!G118+KARACHI!G119+SINDH!G119+'GILGIT BALTISTAN'!G119+'AZAD KHASHMIR'!G119+'KHYBER PAKHTUNKHWA'!G119)</f>
        <v>0</v>
      </c>
      <c r="H119" s="4">
        <f>SUM(MPR!H118+KARACHI!H119+SINDH!H119+'GILGIT BALTISTAN'!H119+'AZAD KHASHMIR'!H119+'KHYBER PAKHTUNKHWA'!H119)</f>
        <v>0</v>
      </c>
      <c r="I119" s="4">
        <f>SUM(MPR!I118+KARACHI!I119+SINDH!I119+'GILGIT BALTISTAN'!I119+'AZAD KHASHMIR'!I119+'KHYBER PAKHTUNKHWA'!I119)</f>
        <v>0</v>
      </c>
      <c r="J119" s="4">
        <f>SUM(MPR!J118+KARACHI!J119+SINDH!J119+'GILGIT BALTISTAN'!J119+'AZAD KHASHMIR'!J119+'KHYBER PAKHTUNKHWA'!J119)</f>
        <v>0</v>
      </c>
      <c r="K119" s="4">
        <f>SUM(MPR!K118+KARACHI!K119+SINDH!K119+'GILGIT BALTISTAN'!K119+'AZAD KHASHMIR'!K119+'KHYBER PAKHTUNKHWA'!K119)</f>
        <v>0</v>
      </c>
      <c r="L119" s="4">
        <f>SUM(MPR!L118+KARACHI!L119+SINDH!L119+'GILGIT BALTISTAN'!L119+'AZAD KHASHMIR'!L119+'KHYBER PAKHTUNKHWA'!L119)</f>
        <v>0</v>
      </c>
      <c r="M119" s="4">
        <f>SUM(MPR!M118+KARACHI!M119+SINDH!M119+'GILGIT BALTISTAN'!M119+'AZAD KHASHMIR'!M119+'KHYBER PAKHTUNKHWA'!M119)</f>
        <v>0</v>
      </c>
      <c r="N119" s="51" t="n"/>
      <c r="O119" s="4">
        <f>SUM(MPR!O118+KARACHI!O119+SINDH!O119+'GILGIT BALTISTAN'!O119:O120+'AZAD KHASHMIR'!O119:O120+'KHYBER PAKHTUNKHWA'!O119:O120)</f>
        <v>0</v>
      </c>
      <c r="P119" s="4">
        <f>SUM(MPR!P118+KARACHI!P119+SINDH!P119+'GILGIT BALTISTAN'!P119:P120+'AZAD KHASHMIR'!P119:P120+'KHYBER PAKHTUNKHWA'!P119:P120)</f>
        <v>0</v>
      </c>
      <c r="Q119" s="4">
        <f>SUM(MPR!Q118+KARACHI!Q119+SINDH!Q119+'GILGIT BALTISTAN'!Q119:Q120+'AZAD KHASHMIR'!Q119:Q120+'KHYBER PAKHTUNKHWA'!Q119:Q120)</f>
        <v>0</v>
      </c>
      <c r="R119" s="4">
        <f>SUM(MPR!R118+KARACHI!R119+SINDH!R119+'GILGIT BALTISTAN'!R119:R120+'AZAD KHASHMIR'!R119:R120+'KHYBER PAKHTUNKHWA'!R119:R120)</f>
        <v>0</v>
      </c>
      <c r="S119" s="4">
        <f>SUM(MPR!S118+KARACHI!S119+SINDH!S119+'GILGIT BALTISTAN'!S119:S120+'AZAD KHASHMIR'!S119:S120+'KHYBER PAKHTUNKHWA'!S119:S120)</f>
        <v>0</v>
      </c>
      <c r="T119" s="4">
        <f>SUM(MPR!T118+KARACHI!T119+SINDH!T119+'GILGIT BALTISTAN'!T119:T120+'AZAD KHASHMIR'!T119:T120+'KHYBER PAKHTUNKHWA'!T119:T120)</f>
        <v>0</v>
      </c>
      <c r="U119" s="4">
        <f>SUM(MPR!U118+KARACHI!U119+SINDH!U119+'GILGIT BALTISTAN'!U119:U120+'AZAD KHASHMIR'!U119:U120+'KHYBER PAKHTUNKHWA'!U119:U120)</f>
        <v>0</v>
      </c>
      <c r="V119" s="4">
        <f>SUM(MPR!V118+KARACHI!V119+SINDH!V119+'GILGIT BALTISTAN'!V119:V120+'AZAD KHASHMIR'!V119:V120+'KHYBER PAKHTUNKHWA'!V119:V120)</f>
        <v>0</v>
      </c>
      <c r="W119" s="4">
        <f>SUM(MPR!W118+KARACHI!W119+SINDH!W119+'GILGIT BALTISTAN'!W119:W120+'AZAD KHASHMIR'!W119:W120+'KHYBER PAKHTUNKHWA'!W119:W120)</f>
        <v>0</v>
      </c>
      <c r="X119" s="17" t="inlineStr">
        <is>
          <t>3HR</t>
        </is>
      </c>
      <c r="Y119" s="4">
        <f>SUM(MPR!Y118+KARACHI!Y119+SINDH!Y119+'GILGIT BALTISTAN'!Y119+'AZAD KHASHMIR'!Y119+'KHYBER PAKHTUNKHWA'!Y119)</f>
        <v>0</v>
      </c>
      <c r="Z119" s="4">
        <f>SUM(MPR!Z118+KARACHI!Z119+SINDH!Z119+'GILGIT BALTISTAN'!Z119+'AZAD KHASHMIR'!Z119+'KHYBER PAKHTUNKHWA'!Z119)</f>
        <v>0</v>
      </c>
      <c r="AA119" s="4">
        <f>SUM(MPR!AA118+KARACHI!AA119+SINDH!AA119+'GILGIT BALTISTAN'!AA119+'AZAD KHASHMIR'!AA119+'KHYBER PAKHTUNKHWA'!AA119)</f>
        <v>0</v>
      </c>
      <c r="AB119" s="4">
        <f>SUM(MPR!AB118+KARACHI!AB119+SINDH!AB119+'GILGIT BALTISTAN'!AB119+'AZAD KHASHMIR'!AB119+'KHYBER PAKHTUNKHWA'!AB119)</f>
        <v>0</v>
      </c>
      <c r="AC119" s="4">
        <f>SUM(MPR!AC118+KARACHI!AC119+SINDH!AC119+'GILGIT BALTISTAN'!AC119+'AZAD KHASHMIR'!AC119+'KHYBER PAKHTUNKHWA'!AC119)</f>
        <v>0</v>
      </c>
      <c r="AD119" s="4">
        <f>SUM(MPR!AD118+KARACHI!AD119+SINDH!AD119+'GILGIT BALTISTAN'!AD119+'AZAD KHASHMIR'!AD119+'KHYBER PAKHTUNKHWA'!AD119)</f>
        <v>0</v>
      </c>
    </row>
    <row r="120" ht="24.9" customHeight="1">
      <c r="A120" s="67" t="inlineStr">
        <is>
          <t>Total</t>
        </is>
      </c>
      <c r="B120" s="67">
        <f>SUM(B117:B119)</f>
        <v>0</v>
      </c>
      <c r="C120" s="67">
        <f>SUM(C117:C119)</f>
        <v>0</v>
      </c>
      <c r="D120" s="67">
        <f>SUM(D117:D119)</f>
        <v>0</v>
      </c>
      <c r="E120" s="67">
        <f>SUM(E117:E119)</f>
        <v>0</v>
      </c>
      <c r="F120" s="67">
        <f>SUM(F117:F119)</f>
        <v>0</v>
      </c>
      <c r="G120" s="67">
        <f>SUM(G117:G119)</f>
        <v>0</v>
      </c>
      <c r="H120" s="67">
        <f>SUM(H117:H119)</f>
        <v>0</v>
      </c>
      <c r="I120" s="67">
        <f>SUM(I117:I119)</f>
        <v>0</v>
      </c>
      <c r="J120" s="67">
        <f>SUM(J117:J119)</f>
        <v>0</v>
      </c>
      <c r="K120" s="67">
        <f>SUM(K117:K119)</f>
        <v>0</v>
      </c>
      <c r="L120" s="67">
        <f>SUM(L117:L119)</f>
        <v>0</v>
      </c>
      <c r="M120" s="67">
        <f>SUM(M117:M119)</f>
        <v>0</v>
      </c>
      <c r="N120" s="51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53" t="inlineStr">
        <is>
          <t>3 HP</t>
        </is>
      </c>
      <c r="Y120" s="4">
        <f>SUM(MPR!Y119+KARACHI!Y120+SINDH!Y120+'GILGIT BALTISTAN'!Y120+'AZAD KHASHMIR'!Y120+'KHYBER PAKHTUNKHWA'!Y120)</f>
        <v>0</v>
      </c>
      <c r="Z120" s="4">
        <f>SUM(MPR!Z119+KARACHI!Z120+SINDH!Z120+'GILGIT BALTISTAN'!Z120+'AZAD KHASHMIR'!Z120+'KHYBER PAKHTUNKHWA'!Z120)</f>
        <v>0</v>
      </c>
      <c r="AA120" s="4">
        <f>SUM(MPR!AA119+KARACHI!AA120+SINDH!AA120+'GILGIT BALTISTAN'!AA120+'AZAD KHASHMIR'!AA120+'KHYBER PAKHTUNKHWA'!AA120)</f>
        <v>0</v>
      </c>
      <c r="AB120" s="4">
        <f>SUM(MPR!AB119+KARACHI!AB120+SINDH!AB120+'GILGIT BALTISTAN'!AB120+'AZAD KHASHMIR'!AB120+'KHYBER PAKHTUNKHWA'!AB120)</f>
        <v>0</v>
      </c>
      <c r="AC120" s="4">
        <f>SUM(MPR!AC119+KARACHI!AC120+SINDH!AC120+'GILGIT BALTISTAN'!AC120+'AZAD KHASHMIR'!AC120+'KHYBER PAKHTUNKHWA'!AC120)</f>
        <v>0</v>
      </c>
      <c r="AD120" s="4">
        <f>SUM(MPR!AD119+KARACHI!AD120+SINDH!AD120+'GILGIT BALTISTAN'!AD120+'AZAD KHASHMIR'!AD120+'KHYBER PAKHTUNKHWA'!AD120)</f>
        <v>0</v>
      </c>
    </row>
    <row r="121" ht="23.4" customHeight="1">
      <c r="A121" s="146" t="inlineStr">
        <is>
          <t xml:space="preserve">                                                                       INDIVIDUAL/CONSOLIDATED (TICK ONE)</t>
        </is>
      </c>
      <c r="Y121" s="1" t="n"/>
      <c r="Z121" s="133" t="inlineStr">
        <is>
          <t>TB - 07</t>
        </is>
      </c>
      <c r="AB121" s="1" t="n"/>
      <c r="AC121" s="1" t="n"/>
      <c r="AD121" s="1" t="n"/>
    </row>
    <row r="122" ht="30.9" customHeight="1">
      <c r="A122" s="134" t="inlineStr">
        <is>
          <t xml:space="preserve">Name of TB Care Facility (BMU) :  </t>
        </is>
      </c>
      <c r="E122">
        <f>E4</f>
        <v>0</v>
      </c>
      <c r="I122" s="136" t="n"/>
      <c r="K122" s="176">
        <f>K4</f>
        <v>0</v>
      </c>
      <c r="O122" s="138" t="n"/>
      <c r="S122" s="54" t="n"/>
      <c r="T122" s="2" t="n"/>
      <c r="U122" s="139" t="inlineStr">
        <is>
          <t xml:space="preserve">Patients registered during  </t>
        </is>
      </c>
      <c r="Z122" s="147" t="inlineStr">
        <is>
          <t>4th Quarter</t>
        </is>
      </c>
      <c r="AC122" s="98">
        <f>AC83</f>
        <v>0</v>
      </c>
    </row>
    <row r="123" ht="15" customHeight="1"/>
    <row r="124" ht="15.6" customHeight="1">
      <c r="A124" s="99" t="inlineStr">
        <is>
          <t>Name of TB Coodinator/Facility incharge  :</t>
        </is>
      </c>
      <c r="I124" s="100" t="inlineStr">
        <is>
          <t>___________________________________________________</t>
        </is>
      </c>
      <c r="P124" s="21" t="n"/>
      <c r="Q124" s="21" t="n"/>
      <c r="U124" s="101" t="inlineStr">
        <is>
          <t>Date of completion of this form :</t>
        </is>
      </c>
      <c r="AA124" s="102" t="inlineStr">
        <is>
          <t>_______________________</t>
        </is>
      </c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" customHeight="1">
      <c r="A126" s="177" t="inlineStr">
        <is>
          <t xml:space="preserve">Block 1: </t>
        </is>
      </c>
      <c r="B126" s="178" t="n"/>
      <c r="C126" s="178" t="n"/>
      <c r="D126" s="178" t="n"/>
      <c r="E126" s="178" t="n"/>
      <c r="F126" s="178" t="n"/>
      <c r="G126" s="178" t="n"/>
      <c r="H126" s="178" t="n"/>
      <c r="I126" s="178" t="n"/>
      <c r="J126" s="178" t="n"/>
      <c r="K126" s="179" t="n"/>
      <c r="L126" s="67" t="inlineStr">
        <is>
          <t>New (N)</t>
        </is>
      </c>
      <c r="M126" s="179" t="n"/>
      <c r="N126" s="67" t="inlineStr">
        <is>
          <t>Relapse ®</t>
        </is>
      </c>
      <c r="O126" s="179" t="n"/>
      <c r="P126" s="165" t="inlineStr">
        <is>
          <t>Previous Treatment History Unknown
(UK)</t>
        </is>
      </c>
      <c r="Q126" s="178" t="n"/>
      <c r="R126" s="179" t="n"/>
      <c r="S126" s="165" t="inlineStr">
        <is>
          <t>New episode
(N+R+UK)</t>
        </is>
      </c>
      <c r="T126" s="178" t="n"/>
      <c r="U126" s="179" t="n"/>
      <c r="V126" s="67" t="inlineStr">
        <is>
          <t>Re - registered Cases ( Excluding Recurrent cases)</t>
        </is>
      </c>
      <c r="W126" s="33" t="n"/>
      <c r="X126" s="33" t="n"/>
      <c r="Y126" s="33" t="n"/>
      <c r="Z126" s="33" t="n"/>
      <c r="AA126" s="33" t="n"/>
      <c r="AB126" s="45" t="n"/>
      <c r="AC126" s="67" t="inlineStr">
        <is>
          <t>Total</t>
        </is>
      </c>
      <c r="AD126" s="179" t="n"/>
    </row>
    <row r="127" ht="23.25" customHeight="1">
      <c r="A127" s="180" t="inlineStr">
        <is>
          <t>All TB Cases Registered</t>
        </is>
      </c>
      <c r="K127" s="181" t="n"/>
      <c r="L127" s="182" t="n"/>
      <c r="M127" s="181" t="n"/>
      <c r="N127" s="182" t="n"/>
      <c r="O127" s="181" t="n"/>
      <c r="P127" s="182" t="n"/>
      <c r="R127" s="181" t="n"/>
      <c r="S127" s="182" t="n"/>
      <c r="U127" s="181" t="n"/>
      <c r="V127" s="165" t="inlineStr">
        <is>
          <t>Treatment after failure</t>
        </is>
      </c>
      <c r="W127" s="178" t="n"/>
      <c r="X127" s="179" t="n"/>
      <c r="Y127" s="165" t="inlineStr">
        <is>
          <t>Treatment after lost to follow-up</t>
        </is>
      </c>
      <c r="Z127" s="179" t="n"/>
      <c r="AA127" s="165" t="inlineStr">
        <is>
          <t>Other</t>
        </is>
      </c>
      <c r="AB127" s="179" t="n"/>
      <c r="AC127" s="182" t="n"/>
      <c r="AD127" s="181" t="n"/>
    </row>
    <row r="128">
      <c r="A128" s="183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184" t="n"/>
      <c r="L128" s="183" t="n"/>
      <c r="M128" s="184" t="n"/>
      <c r="N128" s="183" t="n"/>
      <c r="O128" s="184" t="n"/>
      <c r="P128" s="183" t="n"/>
      <c r="Q128" s="22" t="n"/>
      <c r="R128" s="184" t="n"/>
      <c r="S128" s="183" t="n"/>
      <c r="T128" s="22" t="n"/>
      <c r="U128" s="184" t="n"/>
      <c r="V128" s="183" t="n"/>
      <c r="W128" s="22" t="n"/>
      <c r="X128" s="184" t="n"/>
      <c r="Y128" s="183" t="n"/>
      <c r="Z128" s="184" t="n"/>
      <c r="AA128" s="183" t="n"/>
      <c r="AB128" s="184" t="n"/>
      <c r="AC128" s="183" t="n"/>
      <c r="AD128" s="184" t="n"/>
    </row>
    <row r="129" ht="24.9" customHeight="1">
      <c r="A129" s="185" t="inlineStr">
        <is>
          <t>Pulmonary, Bacteriologically Confermid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45" t="n"/>
      <c r="L129" s="4">
        <f>SUM(MPR!L128+KARACHI!L129+SINDH!L129+'GILGIT BALTISTAN'!L129:M129+'AZAD KHASHMIR'!L129:M129+'KHYBER PAKHTUNKHWA'!L129:M129)</f>
        <v>0</v>
      </c>
      <c r="M129" s="45" t="n"/>
      <c r="N129" s="4">
        <f>SUM(MPR!N128+KARACHI!N129+SINDH!N129+'GILGIT BALTISTAN'!N129:O129+'AZAD KHASHMIR'!N129:O129+'KHYBER PAKHTUNKHWA'!N129:O129)</f>
        <v>0</v>
      </c>
      <c r="O129" s="45" t="n"/>
      <c r="P129" s="4">
        <f>SUM(MPR!P128+KARACHI!P129+SINDH!P129+'GILGIT BALTISTAN'!P129:R129+'AZAD KHASHMIR'!P129:R129+'KHYBER PAKHTUNKHWA'!P129:R129)</f>
        <v>0</v>
      </c>
      <c r="Q129" s="33" t="n"/>
      <c r="R129" s="45" t="n"/>
      <c r="S129" s="67">
        <f>SUM(L129+N129+P129)</f>
        <v>0</v>
      </c>
      <c r="T129" s="33" t="n"/>
      <c r="U129" s="45" t="n"/>
      <c r="V129" s="4">
        <f>SUM(MPR!V128+KARACHI!V129+SINDH!V129+'GILGIT BALTISTAN'!V129:X129+'AZAD KHASHMIR'!V129:X129+'KHYBER PAKHTUNKHWA'!V129:X129)</f>
        <v>0</v>
      </c>
      <c r="W129" s="33" t="n"/>
      <c r="X129" s="45" t="n"/>
      <c r="Y129" s="4">
        <f>SUM(MPR!Y128+KARACHI!Y129+SINDH!Y129+'GILGIT BALTISTAN'!Y129:Z129+'AZAD KHASHMIR'!Y129:Z129+'KHYBER PAKHTUNKHWA'!Y129:Z129)</f>
        <v>0</v>
      </c>
      <c r="Z129" s="45" t="n"/>
      <c r="AA129" s="4">
        <f>SUM(MPR!AA128+KARACHI!AA129+SINDH!AA129+'GILGIT BALTISTAN'!AA129:AB129+'AZAD KHASHMIR'!AA129:AB129+'KHYBER PAKHTUNKHWA'!AA129:AB129)</f>
        <v>0</v>
      </c>
      <c r="AB129" s="45" t="n"/>
      <c r="AC129" s="67">
        <f>SUM(L129+N129+P129+V129+Y129+AA129)</f>
        <v>0</v>
      </c>
      <c r="AD129" s="45" t="n"/>
    </row>
    <row r="130" ht="24.9" customHeight="1">
      <c r="A130" s="185" t="inlineStr">
        <is>
          <t>Pulmonary , Clinically Diagnosed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45" t="n"/>
      <c r="L130" s="4">
        <f>SUM(MPR!L129+KARACHI!L130+SINDH!L130+'GILGIT BALTISTAN'!L130:M130+'AZAD KHASHMIR'!L130:M130+'KHYBER PAKHTUNKHWA'!L130:M130)</f>
        <v>0</v>
      </c>
      <c r="M130" s="45" t="n"/>
      <c r="N130" s="4">
        <f>SUM(MPR!N129+KARACHI!N130+SINDH!N130+'GILGIT BALTISTAN'!N130:O130+'AZAD KHASHMIR'!N130:O130+'KHYBER PAKHTUNKHWA'!N130:O130)</f>
        <v>0</v>
      </c>
      <c r="O130" s="45" t="n"/>
      <c r="P130" s="4">
        <f>SUM(MPR!P129+KARACHI!P130+SINDH!P130+'GILGIT BALTISTAN'!P130:R130+'AZAD KHASHMIR'!P130:R130+'KHYBER PAKHTUNKHWA'!P130:R130)</f>
        <v>0</v>
      </c>
      <c r="Q130" s="33" t="n"/>
      <c r="R130" s="45" t="n"/>
      <c r="S130" s="67">
        <f>SUM(L130+N130+P130)</f>
        <v>0</v>
      </c>
      <c r="T130" s="33" t="n"/>
      <c r="U130" s="45" t="n"/>
      <c r="V130" s="4">
        <f>SUM(MPR!V129+KARACHI!V130+SINDH!V130+'GILGIT BALTISTAN'!V130:X130+'AZAD KHASHMIR'!V130:X130+'KHYBER PAKHTUNKHWA'!V130:X130)</f>
        <v>0</v>
      </c>
      <c r="W130" s="33" t="n"/>
      <c r="X130" s="45" t="n"/>
      <c r="Y130" s="4">
        <f>SUM(MPR!Y129+KARACHI!Y130+SINDH!Y130+'GILGIT BALTISTAN'!Y130:Z130+'AZAD KHASHMIR'!Y130:Z130+'KHYBER PAKHTUNKHWA'!Y130:Z130)</f>
        <v>0</v>
      </c>
      <c r="Z130" s="45" t="n"/>
      <c r="AA130" s="4">
        <f>SUM(MPR!AA129+KARACHI!AA130+SINDH!AA130+'GILGIT BALTISTAN'!AA130:AB130+'AZAD KHASHMIR'!AA130:AB130+'KHYBER PAKHTUNKHWA'!AA130:AB130)</f>
        <v>0</v>
      </c>
      <c r="AB130" s="45" t="n"/>
      <c r="AC130" s="67">
        <f>SUM(L130+N130+P130+V130+Y130+AA130)</f>
        <v>0</v>
      </c>
      <c r="AD130" s="45" t="n"/>
    </row>
    <row r="131" ht="24.9" customHeight="1">
      <c r="A131" s="185" t="inlineStr">
        <is>
          <t>Extra Pulmonary, Bacteriologically Confermid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45" t="n"/>
      <c r="L131" s="4">
        <f>SUM(MPR!L130+KARACHI!L131+SINDH!L131+'GILGIT BALTISTAN'!L131:M131+'AZAD KHASHMIR'!L131:M131+'KHYBER PAKHTUNKHWA'!L131:M131)</f>
        <v>0</v>
      </c>
      <c r="M131" s="45" t="n"/>
      <c r="N131" s="4">
        <f>SUM(MPR!N130+KARACHI!N131+SINDH!N131+'GILGIT BALTISTAN'!N131:O131+'AZAD KHASHMIR'!N131:O131+'KHYBER PAKHTUNKHWA'!N131:O131)</f>
        <v>0</v>
      </c>
      <c r="O131" s="45" t="n"/>
      <c r="P131" s="4">
        <f>SUM(MPR!P130+KARACHI!P131+SINDH!P131+'GILGIT BALTISTAN'!P131:R131+'AZAD KHASHMIR'!P131:R131+'KHYBER PAKHTUNKHWA'!P131:R131)</f>
        <v>0</v>
      </c>
      <c r="Q131" s="33" t="n"/>
      <c r="R131" s="45" t="n"/>
      <c r="S131" s="67">
        <f>SUM(L131+N131+P131)</f>
        <v>0</v>
      </c>
      <c r="T131" s="33" t="n"/>
      <c r="U131" s="45" t="n"/>
      <c r="V131" s="4">
        <f>SUM(MPR!V130+KARACHI!V131+SINDH!V131+'GILGIT BALTISTAN'!V131:X131+'AZAD KHASHMIR'!V131:X131+'KHYBER PAKHTUNKHWA'!V131:X131)</f>
        <v>0</v>
      </c>
      <c r="W131" s="33" t="n"/>
      <c r="X131" s="45" t="n"/>
      <c r="Y131" s="4">
        <f>SUM(MPR!Y130+KARACHI!Y131+SINDH!Y131+'GILGIT BALTISTAN'!Y131:Z131+'AZAD KHASHMIR'!Y131:Z131+'KHYBER PAKHTUNKHWA'!Y131:Z131)</f>
        <v>0</v>
      </c>
      <c r="Z131" s="45" t="n"/>
      <c r="AA131" s="4">
        <f>SUM(MPR!AA130+KARACHI!AA131+SINDH!AA131+'GILGIT BALTISTAN'!AA131:AB131+'AZAD KHASHMIR'!AA131:AB131+'KHYBER PAKHTUNKHWA'!AA131:AB131)</f>
        <v>0</v>
      </c>
      <c r="AB131" s="45" t="n"/>
      <c r="AC131" s="67">
        <f>SUM(L131+N131+P131+V131+Y131+AA131)</f>
        <v>0</v>
      </c>
      <c r="AD131" s="45" t="n"/>
    </row>
    <row r="132" ht="24.9" customHeight="1">
      <c r="A132" s="185" t="inlineStr">
        <is>
          <t>Extra Pulmonary , Clinically Diagnosed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45" t="n"/>
      <c r="L132" s="4">
        <f>SUM(MPR!L131+KARACHI!L132+SINDH!L132+'GILGIT BALTISTAN'!L132:M132+'AZAD KHASHMIR'!L132:M132+'KHYBER PAKHTUNKHWA'!L132:M132)</f>
        <v>0</v>
      </c>
      <c r="M132" s="45" t="n"/>
      <c r="N132" s="4">
        <f>SUM(MPR!N131+KARACHI!N132+SINDH!N132+'GILGIT BALTISTAN'!N132:O132+'AZAD KHASHMIR'!N132:O132+'KHYBER PAKHTUNKHWA'!N132:O132)</f>
        <v>0</v>
      </c>
      <c r="O132" s="45" t="n"/>
      <c r="P132" s="4">
        <f>SUM(MPR!P131+KARACHI!P132+SINDH!P132+'GILGIT BALTISTAN'!P132:R132+'AZAD KHASHMIR'!P132:R132+'KHYBER PAKHTUNKHWA'!P132:R132)</f>
        <v>0</v>
      </c>
      <c r="Q132" s="33" t="n"/>
      <c r="R132" s="45" t="n"/>
      <c r="S132" s="67">
        <f>SUM(L132+N132+P132)</f>
        <v>0</v>
      </c>
      <c r="T132" s="33" t="n"/>
      <c r="U132" s="45" t="n"/>
      <c r="V132" s="4">
        <f>SUM(MPR!V131+KARACHI!V132+SINDH!V132+'GILGIT BALTISTAN'!V132:X132+'AZAD KHASHMIR'!V132:X132+'KHYBER PAKHTUNKHWA'!V132:X132)</f>
        <v>0</v>
      </c>
      <c r="W132" s="33" t="n"/>
      <c r="X132" s="45" t="n"/>
      <c r="Y132" s="4">
        <f>SUM(MPR!Y131+KARACHI!Y132+SINDH!Y132+'GILGIT BALTISTAN'!Y132:Z132+'AZAD KHASHMIR'!Y132:Z132+'KHYBER PAKHTUNKHWA'!Y132:Z132)</f>
        <v>0</v>
      </c>
      <c r="Z132" s="45" t="n"/>
      <c r="AA132" s="4">
        <f>SUM(MPR!AA131+KARACHI!AA132+SINDH!AA132+'GILGIT BALTISTAN'!AA132:AB132+'AZAD KHASHMIR'!AA132:AB132+'KHYBER PAKHTUNKHWA'!AA132:AB132)</f>
        <v>0</v>
      </c>
      <c r="AB132" s="45" t="n"/>
      <c r="AC132" s="67">
        <f>SUM(L132+N132+P132+V132+Y132+AA132)</f>
        <v>0</v>
      </c>
      <c r="AD132" s="45" t="n"/>
    </row>
    <row r="133" ht="24.9" customHeight="1">
      <c r="A133" s="185" t="inlineStr">
        <is>
          <t>Total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45" t="n"/>
      <c r="L133" s="67">
        <f>SUM(L129:M132)</f>
        <v>0</v>
      </c>
      <c r="M133" s="45" t="n"/>
      <c r="N133" s="67">
        <f>SUM(N129:O132)</f>
        <v>0</v>
      </c>
      <c r="O133" s="45" t="n"/>
      <c r="P133" s="67">
        <f>SUM(P129:R132)</f>
        <v>0</v>
      </c>
      <c r="Q133" s="33" t="n"/>
      <c r="R133" s="45" t="n"/>
      <c r="S133" s="67">
        <f>SUM(L133+N133+P133)</f>
        <v>0</v>
      </c>
      <c r="T133" s="33" t="n"/>
      <c r="U133" s="45" t="n"/>
      <c r="V133" s="67">
        <f>SUM(V129:X132)</f>
        <v>0</v>
      </c>
      <c r="W133" s="33" t="n"/>
      <c r="X133" s="45" t="n"/>
      <c r="Y133" s="67">
        <f>SUM(Y129:Z132)</f>
        <v>0</v>
      </c>
      <c r="Z133" s="45" t="n"/>
      <c r="AA133" s="67">
        <f>SUM(AA129:AB132)</f>
        <v>0</v>
      </c>
      <c r="AB133" s="45" t="n"/>
      <c r="AC133" s="67">
        <f>SUM(L133+N133+P133+V133+Y133+AA133)</f>
        <v>0</v>
      </c>
      <c r="AD133" s="45" t="n"/>
    </row>
    <row r="134" ht="15.6" customHeight="1">
      <c r="A134" s="23" t="inlineStr">
        <is>
          <t>Block 2: All New, Relapse and previous treatment history unknown Cases registered during the period by Age Group and Gender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5" t="n"/>
    </row>
    <row r="135" ht="21.75" customHeight="1">
      <c r="A135" s="186" t="n"/>
      <c r="B135" s="178" t="n"/>
      <c r="C135" s="178" t="n"/>
      <c r="D135" s="178" t="n"/>
      <c r="E135" s="178" t="n"/>
      <c r="F135" s="178" t="n"/>
      <c r="G135" s="178" t="n"/>
      <c r="H135" s="178" t="n"/>
      <c r="I135" s="178" t="n"/>
      <c r="J135" s="178" t="n"/>
      <c r="K135" s="179" t="n"/>
      <c r="L135" s="67" t="inlineStr">
        <is>
          <t>0-4</t>
        </is>
      </c>
      <c r="M135" s="45" t="n"/>
      <c r="N135" s="187" t="inlineStr">
        <is>
          <t>5-14</t>
        </is>
      </c>
      <c r="O135" s="45" t="n"/>
      <c r="P135" s="188" t="inlineStr">
        <is>
          <t>15-24</t>
        </is>
      </c>
      <c r="Q135" s="45" t="n"/>
      <c r="R135" s="188" t="inlineStr">
        <is>
          <t>25-34</t>
        </is>
      </c>
      <c r="S135" s="45" t="n"/>
      <c r="T135" s="188" t="inlineStr">
        <is>
          <t>35-44</t>
        </is>
      </c>
      <c r="U135" s="45" t="n"/>
      <c r="V135" s="188" t="inlineStr">
        <is>
          <t>45-54</t>
        </is>
      </c>
      <c r="W135" s="45" t="n"/>
      <c r="X135" s="188" t="inlineStr">
        <is>
          <t>55-64</t>
        </is>
      </c>
      <c r="Y135" s="45" t="n"/>
      <c r="Z135" s="188" t="inlineStr">
        <is>
          <t>65 &amp; Above</t>
        </is>
      </c>
      <c r="AA135" s="45" t="n"/>
      <c r="AB135" s="188" t="inlineStr">
        <is>
          <t>Total</t>
        </is>
      </c>
      <c r="AC135" s="45" t="n"/>
      <c r="AD135" s="189" t="inlineStr">
        <is>
          <t>Grand
Total</t>
        </is>
      </c>
    </row>
    <row r="136">
      <c r="A136" s="18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184" t="n"/>
      <c r="L136" s="67" t="inlineStr">
        <is>
          <t>M</t>
        </is>
      </c>
      <c r="M136" s="67" t="inlineStr">
        <is>
          <t>F</t>
        </is>
      </c>
      <c r="N136" s="67" t="inlineStr">
        <is>
          <t>M</t>
        </is>
      </c>
      <c r="O136" s="67" t="inlineStr">
        <is>
          <t>F</t>
        </is>
      </c>
      <c r="P136" s="67" t="inlineStr">
        <is>
          <t>M</t>
        </is>
      </c>
      <c r="Q136" s="67" t="inlineStr">
        <is>
          <t>F</t>
        </is>
      </c>
      <c r="R136" s="67" t="inlineStr">
        <is>
          <t>M</t>
        </is>
      </c>
      <c r="S136" s="67" t="inlineStr">
        <is>
          <t>F</t>
        </is>
      </c>
      <c r="T136" s="67" t="inlineStr">
        <is>
          <t>M</t>
        </is>
      </c>
      <c r="U136" s="67" t="inlineStr">
        <is>
          <t>F</t>
        </is>
      </c>
      <c r="V136" s="67" t="inlineStr">
        <is>
          <t>M</t>
        </is>
      </c>
      <c r="W136" s="67" t="inlineStr">
        <is>
          <t>F</t>
        </is>
      </c>
      <c r="X136" s="67" t="inlineStr">
        <is>
          <t>M</t>
        </is>
      </c>
      <c r="Y136" s="67" t="inlineStr">
        <is>
          <t>F</t>
        </is>
      </c>
      <c r="Z136" s="67" t="inlineStr">
        <is>
          <t>M</t>
        </is>
      </c>
      <c r="AA136" s="67" t="inlineStr">
        <is>
          <t>F</t>
        </is>
      </c>
      <c r="AB136" s="67" t="inlineStr">
        <is>
          <t>M</t>
        </is>
      </c>
      <c r="AC136" s="67" t="inlineStr">
        <is>
          <t>F</t>
        </is>
      </c>
      <c r="AD136" s="190" t="n"/>
    </row>
    <row r="137" ht="24.9" customHeight="1">
      <c r="A137" s="185" t="inlineStr">
        <is>
          <t>Pulmonary, Bacteriologically Confermid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45" t="n"/>
      <c r="L137" s="4">
        <f>SUM(MPR!L136+KARACHI!L137+SINDH!L137+'GILGIT BALTISTAN'!L137+'AZAD KHASHMIR'!L137+'KHYBER PAKHTUNKHWA'!L137)</f>
        <v>0</v>
      </c>
      <c r="M137" s="4">
        <f>SUM(MPR!M136+KARACHI!M137+SINDH!M137+'GILGIT BALTISTAN'!M137+'AZAD KHASHMIR'!M137+'KHYBER PAKHTUNKHWA'!M137)</f>
        <v>0</v>
      </c>
      <c r="N137" s="4">
        <f>SUM(MPR!N136+KARACHI!N137+SINDH!N137+'GILGIT BALTISTAN'!N137+'AZAD KHASHMIR'!N137+'KHYBER PAKHTUNKHWA'!N137)</f>
        <v>0</v>
      </c>
      <c r="O137" s="4">
        <f>SUM(MPR!O136+KARACHI!O137+SINDH!O137+'GILGIT BALTISTAN'!O137+'AZAD KHASHMIR'!O137+'KHYBER PAKHTUNKHWA'!O137)</f>
        <v>0</v>
      </c>
      <c r="P137" s="4">
        <f>SUM(MPR!P136+KARACHI!P137+SINDH!P137+'GILGIT BALTISTAN'!P137+'AZAD KHASHMIR'!P137+'KHYBER PAKHTUNKHWA'!P137)</f>
        <v>0</v>
      </c>
      <c r="Q137" s="4">
        <f>SUM(MPR!Q136+KARACHI!Q137+SINDH!Q137+'GILGIT BALTISTAN'!Q137+'AZAD KHASHMIR'!Q137+'KHYBER PAKHTUNKHWA'!Q137)</f>
        <v>0</v>
      </c>
      <c r="R137" s="4">
        <f>SUM(MPR!R136+KARACHI!R137+SINDH!R137+'GILGIT BALTISTAN'!R137+'AZAD KHASHMIR'!R137+'KHYBER PAKHTUNKHWA'!R137)</f>
        <v>0</v>
      </c>
      <c r="S137" s="4">
        <f>SUM(MPR!S136+KARACHI!S137+SINDH!S137+'GILGIT BALTISTAN'!S137+'AZAD KHASHMIR'!S137+'KHYBER PAKHTUNKHWA'!S137)</f>
        <v>0</v>
      </c>
      <c r="T137" s="4">
        <f>SUM(MPR!T136+KARACHI!T137+SINDH!T137+'GILGIT BALTISTAN'!T137+'AZAD KHASHMIR'!T137+'KHYBER PAKHTUNKHWA'!T137)</f>
        <v>0</v>
      </c>
      <c r="U137" s="4">
        <f>SUM(MPR!U136+KARACHI!U137+SINDH!U137+'GILGIT BALTISTAN'!U137+'AZAD KHASHMIR'!U137+'KHYBER PAKHTUNKHWA'!U137)</f>
        <v>0</v>
      </c>
      <c r="V137" s="4">
        <f>SUM(MPR!V136+KARACHI!V137+SINDH!V137+'GILGIT BALTISTAN'!V137+'AZAD KHASHMIR'!V137+'KHYBER PAKHTUNKHWA'!V137)</f>
        <v>0</v>
      </c>
      <c r="W137" s="4">
        <f>SUM(MPR!W136+KARACHI!W137+SINDH!W137+'GILGIT BALTISTAN'!W137+'AZAD KHASHMIR'!W137+'KHYBER PAKHTUNKHWA'!W137)</f>
        <v>0</v>
      </c>
      <c r="X137" s="4">
        <f>SUM(MPR!X136+KARACHI!X137+SINDH!X137+'GILGIT BALTISTAN'!X137+'AZAD KHASHMIR'!X137+'KHYBER PAKHTUNKHWA'!X137)</f>
        <v>0</v>
      </c>
      <c r="Y137" s="4">
        <f>SUM(MPR!Y136+KARACHI!Y137+SINDH!Y137+'GILGIT BALTISTAN'!Y137+'AZAD KHASHMIR'!Y137+'KHYBER PAKHTUNKHWA'!Y137)</f>
        <v>0</v>
      </c>
      <c r="Z137" s="4">
        <f>SUM(MPR!Z136+KARACHI!Z137+SINDH!Z137+'GILGIT BALTISTAN'!Z137+'AZAD KHASHMIR'!Z137+'KHYBER PAKHTUNKHWA'!Z137)</f>
        <v>0</v>
      </c>
      <c r="AA137" s="4">
        <f>SUM(MPR!AA136+KARACHI!AA137+SINDH!AA137+'GILGIT BALTISTAN'!AA137+'AZAD KHASHMIR'!AA137+'KHYBER PAKHTUNKHWA'!AA137)</f>
        <v>0</v>
      </c>
      <c r="AB137" s="67">
        <f>SUM(L137+N137+P137+R137+T137+V137+X137+Z137)</f>
        <v>0</v>
      </c>
      <c r="AC137" s="67">
        <f>SUM(M137+O137+Q137+S137+U137+W137+Y137+AA137)</f>
        <v>0</v>
      </c>
      <c r="AD137" s="67">
        <f>SUM(AB137:AC137)</f>
        <v>0</v>
      </c>
    </row>
    <row r="138" ht="24.9" customHeight="1">
      <c r="A138" s="185" t="inlineStr">
        <is>
          <t>Pulmonary , Clinically Diagnosed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45" t="n"/>
      <c r="L138" s="4">
        <f>SUM(MPR!L137+KARACHI!L138+SINDH!L138+'GILGIT BALTISTAN'!L138+'AZAD KHASHMIR'!L138+'KHYBER PAKHTUNKHWA'!L138)</f>
        <v>0</v>
      </c>
      <c r="M138" s="4">
        <f>SUM(MPR!M137+KARACHI!M138+SINDH!M138+'GILGIT BALTISTAN'!M138+'AZAD KHASHMIR'!M138+'KHYBER PAKHTUNKHWA'!M138)</f>
        <v>0</v>
      </c>
      <c r="N138" s="4">
        <f>SUM(MPR!N137+KARACHI!N138+SINDH!N138+'GILGIT BALTISTAN'!N138+'AZAD KHASHMIR'!N138+'KHYBER PAKHTUNKHWA'!N138)</f>
        <v>0</v>
      </c>
      <c r="O138" s="4">
        <f>SUM(MPR!O137+KARACHI!O138+SINDH!O138+'GILGIT BALTISTAN'!O138+'AZAD KHASHMIR'!O138+'KHYBER PAKHTUNKHWA'!O138)</f>
        <v>0</v>
      </c>
      <c r="P138" s="4">
        <f>SUM(MPR!P137+KARACHI!P138+SINDH!P138+'GILGIT BALTISTAN'!P138+'AZAD KHASHMIR'!P138+'KHYBER PAKHTUNKHWA'!P138)</f>
        <v>0</v>
      </c>
      <c r="Q138" s="4">
        <f>SUM(MPR!Q137+KARACHI!Q138+SINDH!Q138+'GILGIT BALTISTAN'!Q138+'AZAD KHASHMIR'!Q138+'KHYBER PAKHTUNKHWA'!Q138)</f>
        <v>0</v>
      </c>
      <c r="R138" s="4">
        <f>SUM(MPR!R137+KARACHI!R138+SINDH!R138+'GILGIT BALTISTAN'!R138+'AZAD KHASHMIR'!R138+'KHYBER PAKHTUNKHWA'!R138)</f>
        <v>0</v>
      </c>
      <c r="S138" s="4">
        <f>SUM(MPR!S137+KARACHI!S138+SINDH!S138+'GILGIT BALTISTAN'!S138+'AZAD KHASHMIR'!S138+'KHYBER PAKHTUNKHWA'!S138)</f>
        <v>0</v>
      </c>
      <c r="T138" s="4">
        <f>SUM(MPR!T137+KARACHI!T138+SINDH!T138+'GILGIT BALTISTAN'!T138+'AZAD KHASHMIR'!T138+'KHYBER PAKHTUNKHWA'!T138)</f>
        <v>0</v>
      </c>
      <c r="U138" s="4">
        <f>SUM(MPR!U137+KARACHI!U138+SINDH!U138+'GILGIT BALTISTAN'!U138+'AZAD KHASHMIR'!U138+'KHYBER PAKHTUNKHWA'!U138)</f>
        <v>0</v>
      </c>
      <c r="V138" s="4">
        <f>SUM(MPR!V137+KARACHI!V138+SINDH!V138+'GILGIT BALTISTAN'!V138+'AZAD KHASHMIR'!V138+'KHYBER PAKHTUNKHWA'!V138)</f>
        <v>0</v>
      </c>
      <c r="W138" s="4">
        <f>SUM(MPR!W137+KARACHI!W138+SINDH!W138+'GILGIT BALTISTAN'!W138+'AZAD KHASHMIR'!W138+'KHYBER PAKHTUNKHWA'!W138)</f>
        <v>0</v>
      </c>
      <c r="X138" s="4">
        <f>SUM(MPR!X137+KARACHI!X138+SINDH!X138+'GILGIT BALTISTAN'!X138+'AZAD KHASHMIR'!X138+'KHYBER PAKHTUNKHWA'!X138)</f>
        <v>0</v>
      </c>
      <c r="Y138" s="4">
        <f>SUM(MPR!Y137+KARACHI!Y138+SINDH!Y138+'GILGIT BALTISTAN'!Y138+'AZAD KHASHMIR'!Y138+'KHYBER PAKHTUNKHWA'!Y138)</f>
        <v>0</v>
      </c>
      <c r="Z138" s="4">
        <f>SUM(MPR!Z137+KARACHI!Z138+SINDH!Z138+'GILGIT BALTISTAN'!Z138+'AZAD KHASHMIR'!Z138+'KHYBER PAKHTUNKHWA'!Z138)</f>
        <v>0</v>
      </c>
      <c r="AA138" s="4">
        <f>SUM(MPR!AA137+KARACHI!AA138+SINDH!AA138+'GILGIT BALTISTAN'!AA138+'AZAD KHASHMIR'!AA138+'KHYBER PAKHTUNKHWA'!AA138)</f>
        <v>0</v>
      </c>
      <c r="AB138" s="67">
        <f>SUM(L138+N138+P138+R138+T138+V138+X138+Z138)</f>
        <v>0</v>
      </c>
      <c r="AC138" s="67">
        <f>SUM(M138+O138+Q138+S138+U138+W138+Y138+AA138)</f>
        <v>0</v>
      </c>
      <c r="AD138" s="67">
        <f>SUM(AB138:AC138)</f>
        <v>0</v>
      </c>
    </row>
    <row r="139" ht="24.9" customHeight="1">
      <c r="A139" s="185" t="inlineStr">
        <is>
          <t>Extra Pulmonary, Bacteriologically Confermid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45" t="n"/>
      <c r="L139" s="4">
        <f>SUM(MPR!L138+KARACHI!L139+SINDH!L139+'GILGIT BALTISTAN'!L139+'AZAD KHASHMIR'!L139+'KHYBER PAKHTUNKHWA'!L139)</f>
        <v>0</v>
      </c>
      <c r="M139" s="4">
        <f>SUM(MPR!M138+KARACHI!M139+SINDH!M139+'GILGIT BALTISTAN'!M139+'AZAD KHASHMIR'!M139+'KHYBER PAKHTUNKHWA'!M139)</f>
        <v>0</v>
      </c>
      <c r="N139" s="4">
        <f>SUM(MPR!N138+KARACHI!N139+SINDH!N139+'GILGIT BALTISTAN'!N139+'AZAD KHASHMIR'!N139+'KHYBER PAKHTUNKHWA'!N139)</f>
        <v>0</v>
      </c>
      <c r="O139" s="4">
        <f>SUM(MPR!O138+KARACHI!O139+SINDH!O139+'GILGIT BALTISTAN'!O139+'AZAD KHASHMIR'!O139+'KHYBER PAKHTUNKHWA'!O139)</f>
        <v>0</v>
      </c>
      <c r="P139" s="4">
        <f>SUM(MPR!P138+KARACHI!P139+SINDH!P139+'GILGIT BALTISTAN'!P139+'AZAD KHASHMIR'!P139+'KHYBER PAKHTUNKHWA'!P139)</f>
        <v>0</v>
      </c>
      <c r="Q139" s="4">
        <f>SUM(MPR!Q138+KARACHI!Q139+SINDH!Q139+'GILGIT BALTISTAN'!Q139+'AZAD KHASHMIR'!Q139+'KHYBER PAKHTUNKHWA'!Q139)</f>
        <v>0</v>
      </c>
      <c r="R139" s="4">
        <f>SUM(MPR!R138+KARACHI!R139+SINDH!R139+'GILGIT BALTISTAN'!R139+'AZAD KHASHMIR'!R139+'KHYBER PAKHTUNKHWA'!R139)</f>
        <v>0</v>
      </c>
      <c r="S139" s="4">
        <f>SUM(MPR!S138+KARACHI!S139+SINDH!S139+'GILGIT BALTISTAN'!S139+'AZAD KHASHMIR'!S139+'KHYBER PAKHTUNKHWA'!S139)</f>
        <v>0</v>
      </c>
      <c r="T139" s="4">
        <f>SUM(MPR!T138+KARACHI!T139+SINDH!T139+'GILGIT BALTISTAN'!T139+'AZAD KHASHMIR'!T139+'KHYBER PAKHTUNKHWA'!T139)</f>
        <v>0</v>
      </c>
      <c r="U139" s="4">
        <f>SUM(MPR!U138+KARACHI!U139+SINDH!U139+'GILGIT BALTISTAN'!U139+'AZAD KHASHMIR'!U139+'KHYBER PAKHTUNKHWA'!U139)</f>
        <v>0</v>
      </c>
      <c r="V139" s="4">
        <f>SUM(MPR!V138+KARACHI!V139+SINDH!V139+'GILGIT BALTISTAN'!V139+'AZAD KHASHMIR'!V139+'KHYBER PAKHTUNKHWA'!V139)</f>
        <v>0</v>
      </c>
      <c r="W139" s="4">
        <f>SUM(MPR!W138+KARACHI!W139+SINDH!W139+'GILGIT BALTISTAN'!W139+'AZAD KHASHMIR'!W139+'KHYBER PAKHTUNKHWA'!W139)</f>
        <v>0</v>
      </c>
      <c r="X139" s="4">
        <f>SUM(MPR!X138+KARACHI!X139+SINDH!X139+'GILGIT BALTISTAN'!X139+'AZAD KHASHMIR'!X139+'KHYBER PAKHTUNKHWA'!X139)</f>
        <v>0</v>
      </c>
      <c r="Y139" s="4">
        <f>SUM(MPR!Y138+KARACHI!Y139+SINDH!Y139+'GILGIT BALTISTAN'!Y139+'AZAD KHASHMIR'!Y139+'KHYBER PAKHTUNKHWA'!Y139)</f>
        <v>0</v>
      </c>
      <c r="Z139" s="4">
        <f>SUM(MPR!Z138+KARACHI!Z139+SINDH!Z139+'GILGIT BALTISTAN'!Z139+'AZAD KHASHMIR'!Z139+'KHYBER PAKHTUNKHWA'!Z139)</f>
        <v>0</v>
      </c>
      <c r="AA139" s="4">
        <f>SUM(MPR!AA138+KARACHI!AA139+SINDH!AA139+'GILGIT BALTISTAN'!AA139+'AZAD KHASHMIR'!AA139+'KHYBER PAKHTUNKHWA'!AA139)</f>
        <v>0</v>
      </c>
      <c r="AB139" s="67">
        <f>SUM(L139+N139+P139+R139+T139+V139+X139+Z139)</f>
        <v>0</v>
      </c>
      <c r="AC139" s="67">
        <f>SUM(M139+O139+Q139+S139+U139+W139+Y139+AA139)</f>
        <v>0</v>
      </c>
      <c r="AD139" s="67">
        <f>SUM(AB139:AC139)</f>
        <v>0</v>
      </c>
    </row>
    <row r="140" ht="24.9" customHeight="1">
      <c r="A140" s="185" t="inlineStr">
        <is>
          <t>Extra Pulmonary , Clinically Diagnosed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45" t="n"/>
      <c r="L140" s="4">
        <f>SUM(MPR!L139+KARACHI!L140+SINDH!L140+'GILGIT BALTISTAN'!L140+'AZAD KHASHMIR'!L140+'KHYBER PAKHTUNKHWA'!L140)</f>
        <v>0</v>
      </c>
      <c r="M140" s="4">
        <f>SUM(MPR!M139+KARACHI!M140+SINDH!M140+'GILGIT BALTISTAN'!M140+'AZAD KHASHMIR'!M140+'KHYBER PAKHTUNKHWA'!M140)</f>
        <v>0</v>
      </c>
      <c r="N140" s="4">
        <f>SUM(MPR!N139+KARACHI!N140+SINDH!N140+'GILGIT BALTISTAN'!N140+'AZAD KHASHMIR'!N140+'KHYBER PAKHTUNKHWA'!N140)</f>
        <v>0</v>
      </c>
      <c r="O140" s="4">
        <f>SUM(MPR!O139+KARACHI!O140+SINDH!O140+'GILGIT BALTISTAN'!O140+'AZAD KHASHMIR'!O140+'KHYBER PAKHTUNKHWA'!O140)</f>
        <v>0</v>
      </c>
      <c r="P140" s="4">
        <f>SUM(MPR!P139+KARACHI!P140+SINDH!P140+'GILGIT BALTISTAN'!P140+'AZAD KHASHMIR'!P140+'KHYBER PAKHTUNKHWA'!P140)</f>
        <v>0</v>
      </c>
      <c r="Q140" s="4">
        <f>SUM(MPR!Q139+KARACHI!Q140+SINDH!Q140+'GILGIT BALTISTAN'!Q140+'AZAD KHASHMIR'!Q140+'KHYBER PAKHTUNKHWA'!Q140)</f>
        <v>0</v>
      </c>
      <c r="R140" s="4">
        <f>SUM(MPR!R139+KARACHI!R140+SINDH!R140+'GILGIT BALTISTAN'!R140+'AZAD KHASHMIR'!R140+'KHYBER PAKHTUNKHWA'!R140)</f>
        <v>0</v>
      </c>
      <c r="S140" s="4">
        <f>SUM(MPR!S139+KARACHI!S140+SINDH!S140+'GILGIT BALTISTAN'!S140+'AZAD KHASHMIR'!S140+'KHYBER PAKHTUNKHWA'!S140)</f>
        <v>0</v>
      </c>
      <c r="T140" s="4">
        <f>SUM(MPR!T139+KARACHI!T140+SINDH!T140+'GILGIT BALTISTAN'!T140+'AZAD KHASHMIR'!T140+'KHYBER PAKHTUNKHWA'!T140)</f>
        <v>0</v>
      </c>
      <c r="U140" s="4">
        <f>SUM(MPR!U139+KARACHI!U140+SINDH!U140+'GILGIT BALTISTAN'!U140+'AZAD KHASHMIR'!U140+'KHYBER PAKHTUNKHWA'!U140)</f>
        <v>0</v>
      </c>
      <c r="V140" s="4">
        <f>SUM(MPR!V139+KARACHI!V140+SINDH!V140+'GILGIT BALTISTAN'!V140+'AZAD KHASHMIR'!V140+'KHYBER PAKHTUNKHWA'!V140)</f>
        <v>0</v>
      </c>
      <c r="W140" s="4">
        <f>SUM(MPR!W139+KARACHI!W140+SINDH!W140+'GILGIT BALTISTAN'!W140+'AZAD KHASHMIR'!W140+'KHYBER PAKHTUNKHWA'!W140)</f>
        <v>0</v>
      </c>
      <c r="X140" s="4">
        <f>SUM(MPR!X139+KARACHI!X140+SINDH!X140+'GILGIT BALTISTAN'!X140+'AZAD KHASHMIR'!X140+'KHYBER PAKHTUNKHWA'!X140)</f>
        <v>0</v>
      </c>
      <c r="Y140" s="4">
        <f>SUM(MPR!Y139+KARACHI!Y140+SINDH!Y140+'GILGIT BALTISTAN'!Y140+'AZAD KHASHMIR'!Y140+'KHYBER PAKHTUNKHWA'!Y140)</f>
        <v>0</v>
      </c>
      <c r="Z140" s="4">
        <f>SUM(MPR!Z139+KARACHI!Z140+SINDH!Z140+'GILGIT BALTISTAN'!Z140+'AZAD KHASHMIR'!Z140+'KHYBER PAKHTUNKHWA'!Z140)</f>
        <v>0</v>
      </c>
      <c r="AA140" s="4">
        <f>SUM(MPR!AA139+KARACHI!AA140+SINDH!AA140+'GILGIT BALTISTAN'!AA140+'AZAD KHASHMIR'!AA140+'KHYBER PAKHTUNKHWA'!AA140)</f>
        <v>0</v>
      </c>
      <c r="AB140" s="67">
        <f>SUM(L140+N140+P140+R140+T140+V140+X140+Z140)</f>
        <v>0</v>
      </c>
      <c r="AC140" s="67">
        <f>SUM(M140+O140+Q140+S140+U140+W140+Y140+AA140)</f>
        <v>0</v>
      </c>
      <c r="AD140" s="67">
        <f>SUM(AB140:AC140)</f>
        <v>0</v>
      </c>
    </row>
    <row r="141" ht="24.9" customHeight="1">
      <c r="A141" s="67" t="inlineStr">
        <is>
          <t>Total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45" t="n"/>
      <c r="L141" s="67">
        <f>SUM(L137:L140)</f>
        <v>0</v>
      </c>
      <c r="M141" s="67">
        <f>SUM(M137:M140)</f>
        <v>0</v>
      </c>
      <c r="N141" s="67">
        <f>SUM(N137:N140)</f>
        <v>0</v>
      </c>
      <c r="O141" s="67">
        <f>SUM(O137:O140)</f>
        <v>0</v>
      </c>
      <c r="P141" s="67">
        <f>SUM(P137:P140)</f>
        <v>0</v>
      </c>
      <c r="Q141" s="67">
        <f>SUM(Q137:Q140)</f>
        <v>0</v>
      </c>
      <c r="R141" s="67">
        <f>SUM(R137:R140)</f>
        <v>0</v>
      </c>
      <c r="S141" s="67">
        <f>SUM(S137:S140)</f>
        <v>0</v>
      </c>
      <c r="T141" s="67">
        <f>SUM(T137:T140)</f>
        <v>0</v>
      </c>
      <c r="U141" s="67">
        <f>SUM(U137:U140)</f>
        <v>0</v>
      </c>
      <c r="V141" s="67">
        <f>SUM(V137:V140)</f>
        <v>0</v>
      </c>
      <c r="W141" s="67">
        <f>SUM(W137:W140)</f>
        <v>0</v>
      </c>
      <c r="X141" s="67">
        <f>SUM(X137:X140)</f>
        <v>0</v>
      </c>
      <c r="Y141" s="67">
        <f>SUM(Y137:Y140)</f>
        <v>0</v>
      </c>
      <c r="Z141" s="67">
        <f>SUM(Z137:Z140)</f>
        <v>0</v>
      </c>
      <c r="AA141" s="67">
        <f>SUM(AA137:AA140)</f>
        <v>0</v>
      </c>
      <c r="AB141" s="67">
        <f>SUM(AB137:AB140)</f>
        <v>0</v>
      </c>
      <c r="AC141" s="67">
        <f>SUM(AC137:AC140)</f>
        <v>0</v>
      </c>
      <c r="AD141" s="67">
        <f>SUM(AB141:AC141)</f>
        <v>0</v>
      </c>
    </row>
    <row r="142" ht="6.75" customHeight="1">
      <c r="A142" s="27" t="n"/>
      <c r="B142" s="28" t="n"/>
      <c r="C142" s="28" t="n"/>
      <c r="D142" s="28" t="n"/>
      <c r="E142" s="28" t="n"/>
      <c r="F142" s="29" t="n"/>
      <c r="G142" s="29" t="n"/>
      <c r="H142" s="30" t="n"/>
      <c r="I142" s="30" t="n"/>
      <c r="J142" s="30" t="n"/>
      <c r="K142" s="30" t="n"/>
      <c r="L142" s="30" t="n"/>
      <c r="M142" s="30" t="n"/>
      <c r="N142" s="31" t="n"/>
      <c r="O142" s="30" t="n"/>
      <c r="P142" s="87" t="n"/>
      <c r="Q142" s="45" t="n"/>
      <c r="R142" s="32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3" t="n"/>
    </row>
    <row r="143" ht="18" customHeight="1">
      <c r="A143" s="34" t="inlineStr">
        <is>
          <t>Block 3: Presumptive TB Cases Identified Laboratory Diagnosis and use of WRD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6" t="n"/>
      <c r="N143" s="37" t="n"/>
      <c r="O143" s="34" t="inlineStr">
        <is>
          <t>Block 4 :  TB HIV  Activities</t>
        </is>
      </c>
      <c r="P143" s="35" t="n"/>
      <c r="Q143" s="35" t="n"/>
      <c r="R143" s="35" t="n"/>
      <c r="S143" s="35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25" t="n"/>
    </row>
    <row r="144" ht="42.75" customHeight="1">
      <c r="A144" s="6" t="inlineStr">
        <is>
          <t>Total
New OPD in Quarter</t>
        </is>
      </c>
      <c r="B144" s="88" t="inlineStr">
        <is>
          <t>No. of presumptive TB cases identified</t>
        </is>
      </c>
      <c r="C144" s="179" t="n"/>
      <c r="D144" s="6" t="inlineStr">
        <is>
          <t>No. of Presumptive TB
Patients tested 
Using</t>
        </is>
      </c>
      <c r="E144" s="33" t="n"/>
      <c r="F144" s="33" t="n"/>
      <c r="G144" s="45" t="n"/>
      <c r="H144" s="6" t="inlineStr">
        <is>
          <t>Among Presumptive 
TB cases tested  number reported B+</t>
        </is>
      </c>
      <c r="I144" s="33" t="n"/>
      <c r="J144" s="33" t="n"/>
      <c r="K144" s="45" t="n"/>
      <c r="L144" s="6" t="inlineStr">
        <is>
          <t>Among all
registered
number of
B+ TB
Cases</t>
        </is>
      </c>
      <c r="M144" s="6" t="inlineStr">
        <is>
          <t>Amoung All
(N+R+UK)
number tested
by Gene Xpert</t>
        </is>
      </c>
      <c r="N144" s="5" t="n"/>
      <c r="O144" s="165" t="inlineStr">
        <is>
          <t>No. of TB patients
tested for HIV</t>
        </is>
      </c>
      <c r="P144" s="33" t="n"/>
      <c r="Q144" s="33" t="n"/>
      <c r="R144" s="45" t="n"/>
      <c r="S144" s="165" t="inlineStr">
        <is>
          <t>HIV Reactive</t>
        </is>
      </c>
      <c r="T144" s="33" t="n"/>
      <c r="U144" s="33" t="n"/>
      <c r="V144" s="45" t="n"/>
      <c r="W144" s="165" t="inlineStr">
        <is>
          <t>TB Patients confirmed
positive for HIV</t>
        </is>
      </c>
      <c r="X144" s="33" t="n"/>
      <c r="Y144" s="33" t="n"/>
      <c r="Z144" s="45" t="n"/>
      <c r="AA144" s="165" t="inlineStr">
        <is>
          <t>HIV positive TB Patients put on ART</t>
        </is>
      </c>
      <c r="AB144" s="33" t="n"/>
      <c r="AC144" s="33" t="n"/>
      <c r="AD144" s="45" t="n"/>
    </row>
    <row r="145" ht="48" customHeight="1">
      <c r="A145" s="190" t="n"/>
      <c r="B145" s="6" t="inlineStr">
        <is>
          <t>Total</t>
        </is>
      </c>
      <c r="C145" s="88" t="inlineStr">
        <is>
          <t>Through
Community
Referrals (LHWs)</t>
        </is>
      </c>
      <c r="D145" s="88" t="inlineStr">
        <is>
          <t>AFB</t>
        </is>
      </c>
      <c r="E145" s="88" t="inlineStr">
        <is>
          <t>Xp &amp;
AFB</t>
        </is>
      </c>
      <c r="F145" s="88" t="inlineStr">
        <is>
          <t>XP</t>
        </is>
      </c>
      <c r="G145" s="7" t="inlineStr">
        <is>
          <t>G.Tot</t>
        </is>
      </c>
      <c r="H145" s="7" t="inlineStr">
        <is>
          <t>AFB</t>
        </is>
      </c>
      <c r="I145" s="88" t="inlineStr">
        <is>
          <t>AFB +
Xpert</t>
        </is>
      </c>
      <c r="J145" s="7" t="inlineStr">
        <is>
          <t>Xpert</t>
        </is>
      </c>
      <c r="K145" s="7" t="inlineStr">
        <is>
          <t>G.Tot</t>
        </is>
      </c>
      <c r="L145" s="190" t="n"/>
      <c r="M145" s="190" t="n"/>
      <c r="N145" s="5" t="n"/>
      <c r="O145" s="93">
        <f>SUM(MPR!O144+KARACHI!O145+SINDH!O145+'GILGIT BALTISTAN'!O145:R145+'AZAD KHASHMIR'!O145:R145+'KHYBER PAKHTUNKHWA'!O145:R145)</f>
        <v>0</v>
      </c>
      <c r="P145" s="33" t="n"/>
      <c r="Q145" s="33" t="n"/>
      <c r="R145" s="33" t="n"/>
      <c r="S145" s="93">
        <f>SUM(MPR!S144+KARACHI!S145+SINDH!S145+'GILGIT BALTISTAN'!S145:V145+'AZAD KHASHMIR'!S145:V145+'KHYBER PAKHTUNKHWA'!S145:V145)</f>
        <v>0</v>
      </c>
      <c r="T145" s="33" t="n"/>
      <c r="U145" s="33" t="n"/>
      <c r="V145" s="33" t="n"/>
      <c r="W145" s="93">
        <f>SUM(MPR!W144+KARACHI!W145+SINDH!W145+'GILGIT BALTISTAN'!W145:Z145+'AZAD KHASHMIR'!W145:Z145+'KHYBER PAKHTUNKHWA'!W145:Z145)</f>
        <v>0</v>
      </c>
      <c r="X145" s="33" t="n"/>
      <c r="Y145" s="33" t="n"/>
      <c r="Z145" s="33" t="n"/>
      <c r="AA145" s="93">
        <f>SUM(MPR!AA144+KARACHI!AA145+SINDH!AA145+'GILGIT BALTISTAN'!AA145:AD145+'AZAD KHASHMIR'!AA145:AD145+'KHYBER PAKHTUNKHWA'!AA145:AD145)</f>
        <v>0</v>
      </c>
      <c r="AB145" s="33" t="n"/>
      <c r="AC145" s="33" t="n"/>
      <c r="AD145" s="33" t="n"/>
    </row>
    <row r="146" ht="38.25" customHeight="1">
      <c r="A146" s="193">
        <f>SUM(MPR!A145+KARACHI!A146+SINDH!A146+'GILGIT BALTISTAN'!A146:A150+'AZAD KHASHMIR'!A146:A150+'KHYBER PAKHTUNKHWA'!A146:A150)</f>
        <v>0</v>
      </c>
      <c r="B146" s="193">
        <f>SUM(MPR!B145+KARACHI!B146+SINDH!B146+'GILGIT BALTISTAN'!B146:B150+'AZAD KHASHMIR'!B146:B150+'KHYBER PAKHTUNKHWA'!B146:B150)</f>
        <v>0</v>
      </c>
      <c r="C146" s="193">
        <f>SUM(MPR!C145+KARACHI!C146+SINDH!C146+'GILGIT BALTISTAN'!C146:C150+'AZAD KHASHMIR'!C146:C150+'KHYBER PAKHTUNKHWA'!C146:C150)</f>
        <v>0</v>
      </c>
      <c r="D146" s="193">
        <f>SUM(MPR!D145+KARACHI!D146+SINDH!D146+'GILGIT BALTISTAN'!D146:D150+'AZAD KHASHMIR'!D146:D150+'KHYBER PAKHTUNKHWA'!D146:D150)</f>
        <v>0</v>
      </c>
      <c r="E146" s="193">
        <f>SUM(MPR!E145+KARACHI!E146+SINDH!E146+'GILGIT BALTISTAN'!E146:E150+'AZAD KHASHMIR'!E146:E150+'KHYBER PAKHTUNKHWA'!E146:E150)</f>
        <v>0</v>
      </c>
      <c r="F146" s="193">
        <f>SUM(MPR!F145+KARACHI!F146+SINDH!F146+'GILGIT BALTISTAN'!F146:F150+'AZAD KHASHMIR'!F146:F150+'KHYBER PAKHTUNKHWA'!F146:F150)</f>
        <v>0</v>
      </c>
      <c r="G146" s="193">
        <f>SUM(D146:F150)</f>
        <v>0</v>
      </c>
      <c r="H146" s="193">
        <f>SUM(MPR!H145+KARACHI!H146+SINDH!H146+'GILGIT BALTISTAN'!H146:H150+'AZAD KHASHMIR'!H146:H150+'KHYBER PAKHTUNKHWA'!H146:H150)</f>
        <v>0</v>
      </c>
      <c r="I146" s="193">
        <f>SUM(MPR!I145+KARACHI!I146+SINDH!I146+'GILGIT BALTISTAN'!I146:I150+'AZAD KHASHMIR'!I146:I150+'KHYBER PAKHTUNKHWA'!I146:I150)</f>
        <v>0</v>
      </c>
      <c r="J146" s="193">
        <f>SUM(MPR!J145+KARACHI!J146+SINDH!J146+'GILGIT BALTISTAN'!J146:J150+'AZAD KHASHMIR'!J146:J150+'KHYBER PAKHTUNKHWA'!J146:J150)</f>
        <v>0</v>
      </c>
      <c r="K146" s="193">
        <f>SUM(H146:J150)</f>
        <v>0</v>
      </c>
      <c r="L146" s="193">
        <f>SUM(MPR!L145+KARACHI!L146+SINDH!L146+'GILGIT BALTISTAN'!L146:L150+'AZAD KHASHMIR'!L146:L150+'KHYBER PAKHTUNKHWA'!L146:L150)</f>
        <v>0</v>
      </c>
      <c r="M146" s="193">
        <f>SUM(MPR!M145+KARACHI!M146+SINDH!M146+'GILGIT BALTISTAN'!M146:M150+'AZAD KHASHMIR'!M146:M150+'KHYBER PAKHTUNKHWA'!M146:M150)</f>
        <v>0</v>
      </c>
      <c r="N146" s="5" t="n"/>
      <c r="O146" s="165" t="inlineStr">
        <is>
          <t xml:space="preserve">HIV patient tested for TB </t>
        </is>
      </c>
      <c r="P146" s="33" t="n"/>
      <c r="Q146" s="33" t="n"/>
      <c r="R146" s="45" t="n"/>
      <c r="S146" s="165" t="inlineStr">
        <is>
          <t>HIV patients 
diagnosed  for TB</t>
        </is>
      </c>
      <c r="T146" s="33" t="n"/>
      <c r="U146" s="33" t="n"/>
      <c r="V146" s="45" t="n"/>
      <c r="W146" s="165" t="inlineStr">
        <is>
          <t>TB HIV patients put on
 TB Tx</t>
        </is>
      </c>
      <c r="X146" s="33" t="n"/>
      <c r="Y146" s="33" t="n"/>
      <c r="Z146" s="45" t="n"/>
      <c r="AA146" s="165" t="inlineStr">
        <is>
          <t>HIV positive TB negative
patients on TPT</t>
        </is>
      </c>
      <c r="AB146" s="33" t="n"/>
      <c r="AC146" s="33" t="n"/>
      <c r="AD146" s="45" t="n"/>
    </row>
    <row r="147" ht="19.5" customHeight="1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39" t="n"/>
      <c r="O147" s="165">
        <f>SUM(MPR!O146+KARACHI!O147+SINDH!O147+'GILGIT BALTISTAN'!O147:R150+'AZAD KHASHMIR'!O147:R150+'KHYBER PAKHTUNKHWA'!O147:R150)</f>
        <v>0</v>
      </c>
      <c r="P147" s="178" t="n"/>
      <c r="Q147" s="178" t="n"/>
      <c r="R147" s="179" t="n"/>
      <c r="S147" s="165">
        <f>SUM(MPR!S146+KARACHI!S147+SINDH!S147+'GILGIT BALTISTAN'!S147:V150+'AZAD KHASHMIR'!S147:V150+'KHYBER PAKHTUNKHWA'!S147:V150)</f>
        <v>0</v>
      </c>
      <c r="T147" s="178" t="n"/>
      <c r="U147" s="178" t="n"/>
      <c r="V147" s="179" t="n"/>
      <c r="W147" s="165">
        <f>SUM(MPR!W146+KARACHI!W147+SINDH!W147+'GILGIT BALTISTAN'!W147:Z150+'AZAD KHASHMIR'!W147:Z150+'KHYBER PAKHTUNKHWA'!W147:Z150)</f>
        <v>0</v>
      </c>
      <c r="X147" s="178" t="n"/>
      <c r="Y147" s="178" t="n"/>
      <c r="Z147" s="179" t="n"/>
      <c r="AA147" s="8" t="n"/>
      <c r="AB147" s="8" t="inlineStr">
        <is>
          <t>0-4</t>
        </is>
      </c>
      <c r="AC147" s="9" t="inlineStr">
        <is>
          <t>5-14</t>
        </is>
      </c>
      <c r="AD147" s="40" t="inlineStr">
        <is>
          <t>15 +</t>
        </is>
      </c>
    </row>
    <row r="148" ht="18" customHeight="1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39" t="n"/>
      <c r="O148" s="182" t="n"/>
      <c r="R148" s="181" t="n"/>
      <c r="S148" s="182" t="n"/>
      <c r="V148" s="181" t="n"/>
      <c r="W148" s="182" t="n"/>
      <c r="Z148" s="181" t="n"/>
      <c r="AA148" s="10" t="inlineStr">
        <is>
          <t>6H</t>
        </is>
      </c>
      <c r="AB148" s="9">
        <f>SUM(MPR!AB147+KARACHI!AB148+SINDH!AB148+'GILGIT BALTISTAN'!AB148+'AZAD KHASHMIR'!AB148+'KHYBER PAKHTUNKHWA'!AB148)</f>
        <v>0</v>
      </c>
      <c r="AC148" s="9">
        <f>SUM(MPR!AC147+KARACHI!AC148+SINDH!AC148+'GILGIT BALTISTAN'!AC148+'AZAD KHASHMIR'!AC148+'KHYBER PAKHTUNKHWA'!AC148)</f>
        <v>0</v>
      </c>
      <c r="AD148" s="9">
        <f>SUM(MPR!AD147+KARACHI!AD148+SINDH!AD148+'GILGIT BALTISTAN'!AD148+'AZAD KHASHMIR'!AD148+'KHYBER PAKHTUNKHWA'!AD148)</f>
        <v>0</v>
      </c>
    </row>
    <row r="149" ht="18" customHeight="1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39" t="n"/>
      <c r="O149" s="182" t="n"/>
      <c r="R149" s="181" t="n"/>
      <c r="S149" s="182" t="n"/>
      <c r="V149" s="181" t="n"/>
      <c r="W149" s="182" t="n"/>
      <c r="Z149" s="181" t="n"/>
      <c r="AA149" s="10" t="inlineStr">
        <is>
          <t>3HR</t>
        </is>
      </c>
      <c r="AB149" s="9">
        <f>SUM(MPR!AB148+KARACHI!AB149+SINDH!AB149+'GILGIT BALTISTAN'!AB149+'AZAD KHASHMIR'!AB149+'KHYBER PAKHTUNKHWA'!AB149)</f>
        <v>0</v>
      </c>
      <c r="AC149" s="9">
        <f>SUM(MPR!AC148+KARACHI!AC149+SINDH!AC149+'GILGIT BALTISTAN'!AC149+'AZAD KHASHMIR'!AC149+'KHYBER PAKHTUNKHWA'!AC149)</f>
        <v>0</v>
      </c>
      <c r="AD149" s="9">
        <f>SUM(MPR!AD148+KARACHI!AD149+SINDH!AD149+'GILGIT BALTISTAN'!AD149+'AZAD KHASHMIR'!AD149+'KHYBER PAKHTUNKHWA'!AD149)</f>
        <v>0</v>
      </c>
    </row>
    <row r="150" ht="18" customHeight="1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39" t="n"/>
      <c r="O150" s="183" t="n"/>
      <c r="P150" s="22" t="n"/>
      <c r="Q150" s="22" t="n"/>
      <c r="R150" s="184" t="n"/>
      <c r="S150" s="183" t="n"/>
      <c r="T150" s="22" t="n"/>
      <c r="U150" s="22" t="n"/>
      <c r="V150" s="184" t="n"/>
      <c r="W150" s="183" t="n"/>
      <c r="X150" s="22" t="n"/>
      <c r="Y150" s="22" t="n"/>
      <c r="Z150" s="184" t="n"/>
      <c r="AA150" s="10" t="inlineStr">
        <is>
          <t>3 HP</t>
        </is>
      </c>
      <c r="AB150" s="9">
        <f>SUM(MPR!AB149+KARACHI!AB150+SINDH!AB150+'GILGIT BALTISTAN'!AB150+'AZAD KHASHMIR'!AB150+'KHYBER PAKHTUNKHWA'!AB150)</f>
        <v>0</v>
      </c>
      <c r="AC150" s="9">
        <f>SUM(MPR!AC149+KARACHI!AC150+SINDH!AC150+'GILGIT BALTISTAN'!AC150+'AZAD KHASHMIR'!AC150+'KHYBER PAKHTUNKHWA'!AC150)</f>
        <v>0</v>
      </c>
      <c r="AD150" s="9">
        <f>SUM(MPR!AD149+KARACHI!AD150+SINDH!AD150+'GILGIT BALTISTAN'!AD150+'AZAD KHASHMIR'!AD150+'KHYBER PAKHTUNKHWA'!AD150)</f>
        <v>0</v>
      </c>
    </row>
    <row r="151" ht="8.25" customHeight="1">
      <c r="A151" s="11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4" t="n"/>
      <c r="O151" s="43" t="n"/>
      <c r="P151" s="43" t="n"/>
      <c r="Q151" s="43" t="n"/>
      <c r="R151" s="43" t="n"/>
      <c r="S151" s="43" t="n"/>
      <c r="T151" s="43" t="n"/>
      <c r="U151" s="43" t="n"/>
      <c r="V151" s="12" t="n"/>
      <c r="W151" s="12" t="n"/>
      <c r="X151" s="12" t="n"/>
      <c r="Y151" s="12" t="n"/>
      <c r="Z151" s="12" t="n"/>
      <c r="AA151" s="12" t="n"/>
      <c r="AB151" s="43" t="n"/>
      <c r="AC151" s="43" t="n"/>
      <c r="AD151" s="45" t="n"/>
    </row>
    <row r="152" ht="18" customHeight="1">
      <c r="A152" s="34" t="inlineStr">
        <is>
          <t>Block 5 :  Bacteriologically Confermid TB Cases with DST Result</t>
        </is>
      </c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6" t="n"/>
      <c r="N152" s="46" t="n"/>
      <c r="O152" s="34" t="inlineStr">
        <is>
          <t>Block 6 :  Contact Tracing HH *</t>
        </is>
      </c>
      <c r="P152" s="36" t="n"/>
      <c r="Q152" s="35" t="n"/>
      <c r="R152" s="4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8" t="n"/>
      <c r="AC152" s="38" t="n"/>
      <c r="AD152" s="48" t="n"/>
    </row>
    <row r="153" ht="18" customHeight="1">
      <c r="A153" s="80" t="inlineStr">
        <is>
          <t>Sensitive =S
Resistance = R</t>
        </is>
      </c>
      <c r="B153" s="81" t="inlineStr">
        <is>
          <t>PTB</t>
        </is>
      </c>
      <c r="C153" s="33" t="n"/>
      <c r="D153" s="33" t="n"/>
      <c r="E153" s="33" t="n"/>
      <c r="F153" s="33" t="n"/>
      <c r="G153" s="45" t="n"/>
      <c r="H153" s="81" t="inlineStr">
        <is>
          <t>EPTB</t>
        </is>
      </c>
      <c r="I153" s="33" t="n"/>
      <c r="J153" s="33" t="n"/>
      <c r="K153" s="33" t="n"/>
      <c r="L153" s="33" t="n"/>
      <c r="M153" s="45" t="n"/>
      <c r="N153" s="49" t="n"/>
      <c r="O153" s="6" t="inlineStr">
        <is>
          <t>Total No. of HH
of B+ PTB</t>
        </is>
      </c>
      <c r="P153" s="178" t="n"/>
      <c r="Q153" s="179" t="n"/>
      <c r="R153" s="6" t="inlineStr">
        <is>
          <t>No. of HH contacts of
B+ PTB Cases
Screened</t>
        </is>
      </c>
      <c r="S153" s="178" t="n"/>
      <c r="T153" s="179" t="n"/>
      <c r="U153" s="6" t="inlineStr">
        <is>
          <t>No. of TB 
Cases diagnosed Amoung HH
contact
screened</t>
        </is>
      </c>
      <c r="V153" s="178" t="n"/>
      <c r="W153" s="179" t="n"/>
      <c r="X153" s="6" t="inlineStr">
        <is>
          <t>No. of HH Contacts 
Initiated on TPT</t>
        </is>
      </c>
      <c r="Y153" s="178" t="n"/>
      <c r="Z153" s="178" t="n"/>
      <c r="AA153" s="179" t="n"/>
      <c r="AB153" s="6" t="inlineStr">
        <is>
          <t>HIV negative 
Immuno - compromised on 
TPT</t>
        </is>
      </c>
      <c r="AC153" s="178" t="n"/>
      <c r="AD153" s="179" t="n"/>
    </row>
    <row r="154" ht="14.25" customHeight="1">
      <c r="A154" s="191" t="n"/>
      <c r="B154" s="67" t="inlineStr">
        <is>
          <t>Rifampicin</t>
        </is>
      </c>
      <c r="C154" s="45" t="n"/>
      <c r="D154" s="67" t="inlineStr">
        <is>
          <t>Isoniazid</t>
        </is>
      </c>
      <c r="E154" s="45" t="n"/>
      <c r="F154" s="67" t="inlineStr">
        <is>
          <t>Fluoroquninolone</t>
        </is>
      </c>
      <c r="G154" s="45" t="n"/>
      <c r="H154" s="67" t="inlineStr">
        <is>
          <t>Rifampicin</t>
        </is>
      </c>
      <c r="I154" s="45" t="n"/>
      <c r="J154" s="67" t="inlineStr">
        <is>
          <t>Isoniazid</t>
        </is>
      </c>
      <c r="K154" s="45" t="n"/>
      <c r="L154" s="67" t="inlineStr">
        <is>
          <t>Fluoroquninolone</t>
        </is>
      </c>
      <c r="M154" s="45" t="n"/>
      <c r="N154" s="50" t="n"/>
      <c r="O154" s="182" t="n"/>
      <c r="Q154" s="181" t="n"/>
      <c r="R154" s="182" t="n"/>
      <c r="T154" s="181" t="n"/>
      <c r="U154" s="182" t="n"/>
      <c r="W154" s="181" t="n"/>
      <c r="X154" s="182" t="n"/>
      <c r="AA154" s="181" t="n"/>
      <c r="AB154" s="182" t="n"/>
      <c r="AD154" s="181" t="n"/>
    </row>
    <row r="155" ht="24.9" customHeight="1">
      <c r="A155" s="190" t="n"/>
      <c r="B155" s="67" t="inlineStr">
        <is>
          <t>S</t>
        </is>
      </c>
      <c r="C155" s="67" t="inlineStr">
        <is>
          <t>R</t>
        </is>
      </c>
      <c r="D155" s="67" t="inlineStr">
        <is>
          <t>S</t>
        </is>
      </c>
      <c r="E155" s="67" t="inlineStr">
        <is>
          <t>R</t>
        </is>
      </c>
      <c r="F155" s="67" t="inlineStr">
        <is>
          <t>S</t>
        </is>
      </c>
      <c r="G155" s="67" t="inlineStr">
        <is>
          <t>R</t>
        </is>
      </c>
      <c r="H155" s="67" t="inlineStr">
        <is>
          <t>S</t>
        </is>
      </c>
      <c r="I155" s="67" t="inlineStr">
        <is>
          <t>R</t>
        </is>
      </c>
      <c r="J155" s="67" t="inlineStr">
        <is>
          <t>S</t>
        </is>
      </c>
      <c r="K155" s="67" t="inlineStr">
        <is>
          <t>R</t>
        </is>
      </c>
      <c r="L155" s="67" t="inlineStr">
        <is>
          <t>S</t>
        </is>
      </c>
      <c r="M155" s="67" t="inlineStr">
        <is>
          <t>R</t>
        </is>
      </c>
      <c r="N155" s="51" t="n"/>
      <c r="O155" s="182" t="n"/>
      <c r="Q155" s="181" t="n"/>
      <c r="R155" s="182" t="n"/>
      <c r="T155" s="181" t="n"/>
      <c r="U155" s="182" t="n"/>
      <c r="W155" s="181" t="n"/>
      <c r="X155" s="183" t="n"/>
      <c r="Y155" s="22" t="n"/>
      <c r="Z155" s="22" t="n"/>
      <c r="AA155" s="184" t="n"/>
      <c r="AB155" s="183" t="n"/>
      <c r="AC155" s="22" t="n"/>
      <c r="AD155" s="184" t="n"/>
    </row>
    <row r="156" ht="24.9" customHeight="1">
      <c r="A156" s="67" t="inlineStr">
        <is>
          <t>New + UK</t>
        </is>
      </c>
      <c r="B156" s="4">
        <f>SUM(MPR!B155+KARACHI!B156+SINDH!B156+'GILGIT BALTISTAN'!B156+'AZAD KHASHMIR'!B156+'KHYBER PAKHTUNKHWA'!B156)</f>
        <v>105</v>
      </c>
      <c r="C156" s="4">
        <f>SUM(MPR!C155+KARACHI!C156+SINDH!C156+'GILGIT BALTISTAN'!C156+'AZAD KHASHMIR'!C156+'KHYBER PAKHTUNKHWA'!C156)</f>
        <v>0</v>
      </c>
      <c r="D156" s="4">
        <f>SUM(MPR!D155+KARACHI!D156+SINDH!D156+'GILGIT BALTISTAN'!D156+'AZAD KHASHMIR'!D156+'KHYBER PAKHTUNKHWA'!D156)</f>
        <v>0</v>
      </c>
      <c r="E156" s="4">
        <f>SUM(MPR!E155+KARACHI!E156+SINDH!E156+'GILGIT BALTISTAN'!E156+'AZAD KHASHMIR'!E156+'KHYBER PAKHTUNKHWA'!E156)</f>
        <v>0</v>
      </c>
      <c r="F156" s="4">
        <f>SUM(MPR!F155+KARACHI!F156+SINDH!F156+'GILGIT BALTISTAN'!F156+'AZAD KHASHMIR'!F156+'KHYBER PAKHTUNKHWA'!F156)</f>
        <v>0</v>
      </c>
      <c r="G156" s="4">
        <f>SUM(MPR!G155+KARACHI!G156+SINDH!G156+'GILGIT BALTISTAN'!G156+'AZAD KHASHMIR'!G156+'KHYBER PAKHTUNKHWA'!G156)</f>
        <v>0</v>
      </c>
      <c r="H156" s="4">
        <f>SUM(MPR!H155+KARACHI!H156+SINDH!H156+'GILGIT BALTISTAN'!H156+'AZAD KHASHMIR'!H156+'KHYBER PAKHTUNKHWA'!H156)</f>
        <v>0</v>
      </c>
      <c r="I156" s="4">
        <f>SUM(MPR!I155+KARACHI!I156+SINDH!I156+'GILGIT BALTISTAN'!I156+'AZAD KHASHMIR'!I156+'KHYBER PAKHTUNKHWA'!I156)</f>
        <v>0</v>
      </c>
      <c r="J156" s="4">
        <f>SUM(MPR!J155+KARACHI!J156+SINDH!J156+'GILGIT BALTISTAN'!J156+'AZAD KHASHMIR'!J156+'KHYBER PAKHTUNKHWA'!J156)</f>
        <v>0</v>
      </c>
      <c r="K156" s="4">
        <f>SUM(MPR!K155+KARACHI!K156+SINDH!K156+'GILGIT BALTISTAN'!K156+'AZAD KHASHMIR'!K156+'KHYBER PAKHTUNKHWA'!K156)</f>
        <v>0</v>
      </c>
      <c r="L156" s="4">
        <f>SUM(MPR!L155+KARACHI!L156+SINDH!L156+'GILGIT BALTISTAN'!L156+'AZAD KHASHMIR'!L156+'KHYBER PAKHTUNKHWA'!L156)</f>
        <v>0</v>
      </c>
      <c r="M156" s="4">
        <f>SUM(MPR!M155+KARACHI!M156+SINDH!M156+'GILGIT BALTISTAN'!M156+'AZAD KHASHMIR'!M156+'KHYBER PAKHTUNKHWA'!M156)</f>
        <v>0</v>
      </c>
      <c r="N156" s="51" t="n"/>
      <c r="O156" s="183" t="n"/>
      <c r="P156" s="22" t="n"/>
      <c r="Q156" s="184" t="n"/>
      <c r="R156" s="183" t="n"/>
      <c r="S156" s="22" t="n"/>
      <c r="T156" s="184" t="n"/>
      <c r="U156" s="183" t="n"/>
      <c r="V156" s="22" t="n"/>
      <c r="W156" s="184" t="n"/>
      <c r="X156" s="17" t="n"/>
      <c r="Y156" s="13" t="inlineStr">
        <is>
          <t>0-4</t>
        </is>
      </c>
      <c r="Z156" s="15" t="inlineStr">
        <is>
          <t>5-14</t>
        </is>
      </c>
      <c r="AA156" s="16" t="inlineStr">
        <is>
          <t>15+</t>
        </is>
      </c>
      <c r="AB156" s="13" t="inlineStr">
        <is>
          <t>0-4</t>
        </is>
      </c>
      <c r="AC156" s="15" t="inlineStr">
        <is>
          <t>5-14</t>
        </is>
      </c>
      <c r="AD156" s="16" t="inlineStr">
        <is>
          <t>15+</t>
        </is>
      </c>
    </row>
    <row r="157" ht="24.9" customHeight="1">
      <c r="A157" s="67" t="inlineStr">
        <is>
          <t>Relapse</t>
        </is>
      </c>
      <c r="B157" s="4">
        <f>SUM(MPR!B156+KARACHI!B157+SINDH!B157+'GILGIT BALTISTAN'!B157+'AZAD KHASHMIR'!B157+'KHYBER PAKHTUNKHWA'!B157)</f>
        <v>0</v>
      </c>
      <c r="C157" s="4">
        <f>SUM(MPR!C156+KARACHI!C157+SINDH!C157+'GILGIT BALTISTAN'!C157+'AZAD KHASHMIR'!C157+'KHYBER PAKHTUNKHWA'!C157)</f>
        <v>0</v>
      </c>
      <c r="D157" s="4">
        <f>SUM(MPR!D156+KARACHI!D157+SINDH!D157+'GILGIT BALTISTAN'!D157+'AZAD KHASHMIR'!D157+'KHYBER PAKHTUNKHWA'!D157)</f>
        <v>0</v>
      </c>
      <c r="E157" s="4">
        <f>SUM(MPR!E156+KARACHI!E157+SINDH!E157+'GILGIT BALTISTAN'!E157+'AZAD KHASHMIR'!E157+'KHYBER PAKHTUNKHWA'!E157)</f>
        <v>0</v>
      </c>
      <c r="F157" s="4">
        <f>SUM(MPR!F156+KARACHI!F157+SINDH!F157+'GILGIT BALTISTAN'!F157+'AZAD KHASHMIR'!F157+'KHYBER PAKHTUNKHWA'!F157)</f>
        <v>0</v>
      </c>
      <c r="G157" s="4">
        <f>SUM(MPR!G156+KARACHI!G157+SINDH!G157+'GILGIT BALTISTAN'!G157+'AZAD KHASHMIR'!G157+'KHYBER PAKHTUNKHWA'!G157)</f>
        <v>0</v>
      </c>
      <c r="H157" s="4">
        <f>SUM(MPR!H156+KARACHI!H157+SINDH!H157+'GILGIT BALTISTAN'!H157+'AZAD KHASHMIR'!H157+'KHYBER PAKHTUNKHWA'!H157)</f>
        <v>0</v>
      </c>
      <c r="I157" s="4">
        <f>SUM(MPR!I156+KARACHI!I157+SINDH!I157+'GILGIT BALTISTAN'!I157+'AZAD KHASHMIR'!I157+'KHYBER PAKHTUNKHWA'!I157)</f>
        <v>0</v>
      </c>
      <c r="J157" s="4">
        <f>SUM(MPR!J156+KARACHI!J157+SINDH!J157+'GILGIT BALTISTAN'!J157+'AZAD KHASHMIR'!J157+'KHYBER PAKHTUNKHWA'!J157)</f>
        <v>0</v>
      </c>
      <c r="K157" s="4">
        <f>SUM(MPR!K156+KARACHI!K157+SINDH!K157+'GILGIT BALTISTAN'!K157+'AZAD KHASHMIR'!K157+'KHYBER PAKHTUNKHWA'!K157)</f>
        <v>0</v>
      </c>
      <c r="L157" s="4">
        <f>SUM(MPR!L156+KARACHI!L157+SINDH!L157+'GILGIT BALTISTAN'!L157+'AZAD KHASHMIR'!L157+'KHYBER PAKHTUNKHWA'!L157)</f>
        <v>0</v>
      </c>
      <c r="M157" s="4">
        <f>SUM(MPR!M156+KARACHI!M157+SINDH!M157+'GILGIT BALTISTAN'!M157+'AZAD KHASHMIR'!M157+'KHYBER PAKHTUNKHWA'!M157)</f>
        <v>0</v>
      </c>
      <c r="N157" s="51" t="n"/>
      <c r="O157" s="7" t="inlineStr">
        <is>
          <t>0-4</t>
        </is>
      </c>
      <c r="P157" s="52" t="inlineStr">
        <is>
          <t>5-14</t>
        </is>
      </c>
      <c r="Q157" s="14" t="inlineStr">
        <is>
          <t>15 +</t>
        </is>
      </c>
      <c r="R157" s="13" t="inlineStr">
        <is>
          <t>0-4</t>
        </is>
      </c>
      <c r="S157" s="14" t="inlineStr">
        <is>
          <t>5-14</t>
        </is>
      </c>
      <c r="T157" s="14" t="inlineStr">
        <is>
          <t>15 +</t>
        </is>
      </c>
      <c r="U157" s="13" t="inlineStr">
        <is>
          <t>0-4</t>
        </is>
      </c>
      <c r="V157" s="14" t="inlineStr">
        <is>
          <t>5-14</t>
        </is>
      </c>
      <c r="W157" s="14" t="inlineStr">
        <is>
          <t>15 +</t>
        </is>
      </c>
      <c r="X157" s="17" t="inlineStr">
        <is>
          <t>6H</t>
        </is>
      </c>
      <c r="Y157" s="4">
        <f>SUM(MPR!Y156+KARACHI!Y157+SINDH!Y157+'GILGIT BALTISTAN'!Y157+'AZAD KHASHMIR'!Y157+'KHYBER PAKHTUNKHWA'!Y157)</f>
        <v>0</v>
      </c>
      <c r="Z157" s="4">
        <f>SUM(MPR!Z156+KARACHI!Z157+SINDH!Z157+'GILGIT BALTISTAN'!Z157+'AZAD KHASHMIR'!Z157+'KHYBER PAKHTUNKHWA'!Z157)</f>
        <v>0</v>
      </c>
      <c r="AA157" s="4">
        <f>SUM(MPR!AA156+KARACHI!AA157+SINDH!AA157+'GILGIT BALTISTAN'!AA157+'AZAD KHASHMIR'!AA157+'KHYBER PAKHTUNKHWA'!AA157)</f>
        <v>0</v>
      </c>
      <c r="AB157" s="4">
        <f>SUM(MPR!AB156+KARACHI!AB157+SINDH!AB157+'GILGIT BALTISTAN'!AB157+'AZAD KHASHMIR'!AB157+'KHYBER PAKHTUNKHWA'!AB157)</f>
        <v>0</v>
      </c>
      <c r="AC157" s="4">
        <f>SUM(MPR!AC156+KARACHI!AC157+SINDH!AC157+'GILGIT BALTISTAN'!AC157+'AZAD KHASHMIR'!AC157+'KHYBER PAKHTUNKHWA'!AC157)</f>
        <v>0</v>
      </c>
      <c r="AD157" s="4">
        <f>SUM(MPR!AD156+KARACHI!AD157+SINDH!AD157+'GILGIT BALTISTAN'!AD157+'AZAD KHASHMIR'!AD157+'KHYBER PAKHTUNKHWA'!AD157)</f>
        <v>0</v>
      </c>
    </row>
    <row r="158" ht="24.9" customHeight="1">
      <c r="A158" s="165" t="inlineStr">
        <is>
          <t>Previously treated</t>
        </is>
      </c>
      <c r="B158" s="4">
        <f>SUM(MPR!B157+KARACHI!B158+SINDH!B158+'GILGIT BALTISTAN'!B158+'AZAD KHASHMIR'!B158+'KHYBER PAKHTUNKHWA'!B158)</f>
        <v>0</v>
      </c>
      <c r="C158" s="4">
        <f>SUM(MPR!C157+KARACHI!C158+SINDH!C158+'GILGIT BALTISTAN'!C158+'AZAD KHASHMIR'!C158+'KHYBER PAKHTUNKHWA'!C158)</f>
        <v>0</v>
      </c>
      <c r="D158" s="4">
        <f>SUM(MPR!D157+KARACHI!D158+SINDH!D158+'GILGIT BALTISTAN'!D158+'AZAD KHASHMIR'!D158+'KHYBER PAKHTUNKHWA'!D158)</f>
        <v>0</v>
      </c>
      <c r="E158" s="4">
        <f>SUM(MPR!E157+KARACHI!E158+SINDH!E158+'GILGIT BALTISTAN'!E158+'AZAD KHASHMIR'!E158+'KHYBER PAKHTUNKHWA'!E158)</f>
        <v>0</v>
      </c>
      <c r="F158" s="4">
        <f>SUM(MPR!F157+KARACHI!F158+SINDH!F158+'GILGIT BALTISTAN'!F158+'AZAD KHASHMIR'!F158+'KHYBER PAKHTUNKHWA'!F158)</f>
        <v>0</v>
      </c>
      <c r="G158" s="4">
        <f>SUM(MPR!G157+KARACHI!G158+SINDH!G158+'GILGIT BALTISTAN'!G158+'AZAD KHASHMIR'!G158+'KHYBER PAKHTUNKHWA'!G158)</f>
        <v>0</v>
      </c>
      <c r="H158" s="4">
        <f>SUM(MPR!H157+KARACHI!H158+SINDH!H158+'GILGIT BALTISTAN'!H158+'AZAD KHASHMIR'!H158+'KHYBER PAKHTUNKHWA'!H158)</f>
        <v>0</v>
      </c>
      <c r="I158" s="4">
        <f>SUM(MPR!I157+KARACHI!I158+SINDH!I158+'GILGIT BALTISTAN'!I158+'AZAD KHASHMIR'!I158+'KHYBER PAKHTUNKHWA'!I158)</f>
        <v>0</v>
      </c>
      <c r="J158" s="4">
        <f>SUM(MPR!J157+KARACHI!J158+SINDH!J158+'GILGIT BALTISTAN'!J158+'AZAD KHASHMIR'!J158+'KHYBER PAKHTUNKHWA'!J158)</f>
        <v>0</v>
      </c>
      <c r="K158" s="4">
        <f>SUM(MPR!K157+KARACHI!K158+SINDH!K158+'GILGIT BALTISTAN'!K158+'AZAD KHASHMIR'!K158+'KHYBER PAKHTUNKHWA'!K158)</f>
        <v>0</v>
      </c>
      <c r="L158" s="4">
        <f>SUM(MPR!L157+KARACHI!L158+SINDH!L158+'GILGIT BALTISTAN'!L158+'AZAD KHASHMIR'!L158+'KHYBER PAKHTUNKHWA'!L158)</f>
        <v>0</v>
      </c>
      <c r="M158" s="4">
        <f>SUM(MPR!M157+KARACHI!M158+SINDH!M158+'GILGIT BALTISTAN'!M158+'AZAD KHASHMIR'!M158+'KHYBER PAKHTUNKHWA'!M158)</f>
        <v>0</v>
      </c>
      <c r="N158" s="51" t="n"/>
      <c r="O158" s="4">
        <f>SUM(MPR!O157+KARACHI!O158+SINDH!O158+'GILGIT BALTISTAN'!O158:O159+'AZAD KHASHMIR'!O158:O159+'KHYBER PAKHTUNKHWA'!O158:O159)</f>
        <v>0</v>
      </c>
      <c r="P158" s="4">
        <f>SUM(MPR!P157+KARACHI!P158+SINDH!P158+'GILGIT BALTISTAN'!P158:P159+'AZAD KHASHMIR'!P158:P159+'KHYBER PAKHTUNKHWA'!P158:P159)</f>
        <v>0</v>
      </c>
      <c r="Q158" s="4">
        <f>SUM(MPR!Q157+KARACHI!Q158+SINDH!Q158+'GILGIT BALTISTAN'!Q158:Q159+'AZAD KHASHMIR'!Q158:Q159+'KHYBER PAKHTUNKHWA'!Q158:Q159)</f>
        <v>0</v>
      </c>
      <c r="R158" s="4">
        <f>SUM(MPR!R157+KARACHI!R158+SINDH!R158+'GILGIT BALTISTAN'!R158:R159+'AZAD KHASHMIR'!R158:R159+'KHYBER PAKHTUNKHWA'!R158:R159)</f>
        <v>0</v>
      </c>
      <c r="S158" s="4">
        <f>SUM(MPR!S157+KARACHI!S158+SINDH!S158+'GILGIT BALTISTAN'!S158:S159+'AZAD KHASHMIR'!S158:S159+'KHYBER PAKHTUNKHWA'!S158:S159)</f>
        <v>0</v>
      </c>
      <c r="T158" s="4">
        <f>SUM(MPR!T157+KARACHI!T158+SINDH!T158+'GILGIT BALTISTAN'!T158:T159+'AZAD KHASHMIR'!T158:T159+'KHYBER PAKHTUNKHWA'!T158:T159)</f>
        <v>0</v>
      </c>
      <c r="U158" s="4">
        <f>SUM(MPR!U157+KARACHI!U158+SINDH!U158+'GILGIT BALTISTAN'!U158:U159+'AZAD KHASHMIR'!U158:U159+'KHYBER PAKHTUNKHWA'!U158:U159)</f>
        <v>0</v>
      </c>
      <c r="V158" s="4">
        <f>SUM(MPR!V157+KARACHI!V158+SINDH!V158+'GILGIT BALTISTAN'!V158:V159+'AZAD KHASHMIR'!V158:V159+'KHYBER PAKHTUNKHWA'!V158:V159)</f>
        <v>0</v>
      </c>
      <c r="W158" s="4">
        <f>SUM(MPR!W157+KARACHI!W158+SINDH!W158+'GILGIT BALTISTAN'!W158:W159+'AZAD KHASHMIR'!W158:W159+'KHYBER PAKHTUNKHWA'!W158:W159)</f>
        <v>0</v>
      </c>
      <c r="X158" s="17" t="inlineStr">
        <is>
          <t>3HR</t>
        </is>
      </c>
      <c r="Y158" s="4">
        <f>SUM(MPR!Y157+KARACHI!Y158+SINDH!Y158+'GILGIT BALTISTAN'!Y158+'AZAD KHASHMIR'!Y158+'KHYBER PAKHTUNKHWA'!Y158)</f>
        <v>0</v>
      </c>
      <c r="Z158" s="4">
        <f>SUM(MPR!Z157+KARACHI!Z158+SINDH!Z158+'GILGIT BALTISTAN'!Z158+'AZAD KHASHMIR'!Z158+'KHYBER PAKHTUNKHWA'!Z158)</f>
        <v>0</v>
      </c>
      <c r="AA158" s="4">
        <f>SUM(MPR!AA157+KARACHI!AA158+SINDH!AA158+'GILGIT BALTISTAN'!AA158+'AZAD KHASHMIR'!AA158+'KHYBER PAKHTUNKHWA'!AA158)</f>
        <v>0</v>
      </c>
      <c r="AB158" s="4">
        <f>SUM(MPR!AB157+KARACHI!AB158+SINDH!AB158+'GILGIT BALTISTAN'!AB158+'AZAD KHASHMIR'!AB158+'KHYBER PAKHTUNKHWA'!AB158)</f>
        <v>0</v>
      </c>
      <c r="AC158" s="4">
        <f>SUM(MPR!AC157+KARACHI!AC158+SINDH!AC158+'GILGIT BALTISTAN'!AC158+'AZAD KHASHMIR'!AC158+'KHYBER PAKHTUNKHWA'!AC158)</f>
        <v>0</v>
      </c>
      <c r="AD158" s="4">
        <f>SUM(MPR!AD157+KARACHI!AD158+SINDH!AD158+'GILGIT BALTISTAN'!AD158+'AZAD KHASHMIR'!AD158+'KHYBER PAKHTUNKHWA'!AD158)</f>
        <v>0</v>
      </c>
    </row>
    <row r="159" ht="24.9" customHeight="1">
      <c r="A159" s="67" t="inlineStr">
        <is>
          <t>Total</t>
        </is>
      </c>
      <c r="B159" s="67">
        <f>SUM(B156:B158)</f>
        <v>105</v>
      </c>
      <c r="C159" s="67">
        <f>SUM(C156:C158)</f>
        <v>0</v>
      </c>
      <c r="D159" s="67">
        <f>SUM(D156:D158)</f>
        <v>0</v>
      </c>
      <c r="E159" s="67">
        <f>SUM(E156:E158)</f>
        <v>0</v>
      </c>
      <c r="F159" s="67">
        <f>SUM(F156:F158)</f>
        <v>0</v>
      </c>
      <c r="G159" s="67">
        <f>SUM(G156:G158)</f>
        <v>0</v>
      </c>
      <c r="H159" s="67">
        <f>SUM(H156:H158)</f>
        <v>0</v>
      </c>
      <c r="I159" s="67">
        <f>SUM(I156:I158)</f>
        <v>0</v>
      </c>
      <c r="J159" s="67">
        <f>SUM(J156:J158)</f>
        <v>0</v>
      </c>
      <c r="K159" s="67">
        <f>SUM(K156:K158)</f>
        <v>0</v>
      </c>
      <c r="L159" s="67">
        <f>SUM(L156:L158)</f>
        <v>0</v>
      </c>
      <c r="M159" s="67">
        <f>SUM(M156:M158)</f>
        <v>0</v>
      </c>
      <c r="N159" s="51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53" t="inlineStr">
        <is>
          <t>3 HP</t>
        </is>
      </c>
      <c r="Y159" s="4">
        <f>SUM(MPR!Y158+KARACHI!Y159+SINDH!Y159+'GILGIT BALTISTAN'!Y159+'AZAD KHASHMIR'!Y159+'KHYBER PAKHTUNKHWA'!Y159)</f>
        <v>0</v>
      </c>
      <c r="Z159" s="4">
        <f>SUM(MPR!Z158+KARACHI!Z159+SINDH!Z159+'GILGIT BALTISTAN'!Z159+'AZAD KHASHMIR'!Z159+'KHYBER PAKHTUNKHWA'!Z159)</f>
        <v>0</v>
      </c>
      <c r="AA159" s="4">
        <f>SUM(MPR!AA158+KARACHI!AA159+SINDH!AA159+'GILGIT BALTISTAN'!AA159+'AZAD KHASHMIR'!AA159+'KHYBER PAKHTUNKHWA'!AA159)</f>
        <v>0</v>
      </c>
      <c r="AB159" s="4">
        <f>SUM(MPR!AB158+KARACHI!AB159+SINDH!AB159+'GILGIT BALTISTAN'!AB159+'AZAD KHASHMIR'!AB159+'KHYBER PAKHTUNKHWA'!AB159)</f>
        <v>0</v>
      </c>
      <c r="AC159" s="4">
        <f>SUM(MPR!AC158+KARACHI!AC159+SINDH!AC159+'GILGIT BALTISTAN'!AC159+'AZAD KHASHMIR'!AC159+'KHYBER PAKHTUNKHWA'!AC159)</f>
        <v>0</v>
      </c>
      <c r="AD159" s="4">
        <f>SUM(MPR!AD158+KARACHI!AD159+SINDH!AD159+'GILGIT BALTISTAN'!AD159+'AZAD KHASHMIR'!AD159+'KHYBER PAKHTUNKHWA'!AD159)</f>
        <v>0</v>
      </c>
    </row>
    <row r="160" ht="23.4" customHeight="1">
      <c r="A160" s="132" t="inlineStr">
        <is>
          <t xml:space="preserve">                                                                       INDIVIDUAL/CONSOLIDATED (TICK ONE)</t>
        </is>
      </c>
      <c r="Y160" s="1" t="n"/>
      <c r="Z160" s="133" t="inlineStr">
        <is>
          <t>TB - 07</t>
        </is>
      </c>
      <c r="AB160" s="1" t="n"/>
      <c r="AC160" s="1" t="n"/>
      <c r="AD160" s="1" t="n"/>
    </row>
    <row r="161" ht="30.9" customHeight="1">
      <c r="A161" s="134" t="inlineStr">
        <is>
          <t xml:space="preserve">Name of TB Care Facility (BMU) :  </t>
        </is>
      </c>
      <c r="E161" s="176">
        <f>E4</f>
        <v>0</v>
      </c>
      <c r="I161" s="136" t="n"/>
      <c r="K161" s="176">
        <f>K4</f>
        <v>0</v>
      </c>
      <c r="O161" s="138" t="n"/>
      <c r="S161" s="54" t="n"/>
      <c r="T161" s="2" t="n"/>
      <c r="U161" s="139" t="inlineStr">
        <is>
          <t xml:space="preserve">Patients registered during  </t>
        </is>
      </c>
      <c r="Z161" s="140" t="inlineStr">
        <is>
          <t>COSOLIDATED</t>
        </is>
      </c>
      <c r="AC161" s="98">
        <f>AC122</f>
        <v>0</v>
      </c>
    </row>
    <row r="162" ht="15.6" customHeight="1">
      <c r="A162" s="99" t="inlineStr">
        <is>
          <t>Name of TB Coodinator/Facility incharge  :</t>
        </is>
      </c>
      <c r="I162" s="100" t="inlineStr">
        <is>
          <t>___________________________________________________</t>
        </is>
      </c>
      <c r="P162" s="21" t="n"/>
      <c r="Q162" s="21" t="n"/>
      <c r="U162" s="101" t="inlineStr">
        <is>
          <t>Date of completion of this form :</t>
        </is>
      </c>
      <c r="AA162" s="102" t="inlineStr">
        <is>
          <t>_______________________</t>
        </is>
      </c>
    </row>
    <row r="16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</row>
    <row r="164" ht="15" customHeight="1">
      <c r="A164" s="177" t="inlineStr">
        <is>
          <t xml:space="preserve">Block 1: </t>
        </is>
      </c>
      <c r="B164" s="178" t="n"/>
      <c r="C164" s="178" t="n"/>
      <c r="D164" s="178" t="n"/>
      <c r="E164" s="178" t="n"/>
      <c r="F164" s="178" t="n"/>
      <c r="G164" s="178" t="n"/>
      <c r="H164" s="178" t="n"/>
      <c r="I164" s="178" t="n"/>
      <c r="J164" s="178" t="n"/>
      <c r="K164" s="179" t="n"/>
      <c r="L164" s="67" t="inlineStr">
        <is>
          <t>New (N)</t>
        </is>
      </c>
      <c r="M164" s="179" t="n"/>
      <c r="N164" s="67" t="inlineStr">
        <is>
          <t>Relapse ®</t>
        </is>
      </c>
      <c r="O164" s="179" t="n"/>
      <c r="P164" s="165" t="inlineStr">
        <is>
          <t>Previous Treatment History Unknown
(UK)</t>
        </is>
      </c>
      <c r="Q164" s="178" t="n"/>
      <c r="R164" s="179" t="n"/>
      <c r="S164" s="165" t="inlineStr">
        <is>
          <t>New episode
(N+R+UK)</t>
        </is>
      </c>
      <c r="T164" s="178" t="n"/>
      <c r="U164" s="179" t="n"/>
      <c r="V164" s="67" t="inlineStr">
        <is>
          <t>Re - registered Cases ( Excluding Recurrent cases)</t>
        </is>
      </c>
      <c r="W164" s="33" t="n"/>
      <c r="X164" s="33" t="n"/>
      <c r="Y164" s="33" t="n"/>
      <c r="Z164" s="33" t="n"/>
      <c r="AA164" s="33" t="n"/>
      <c r="AB164" s="45" t="n"/>
      <c r="AC164" s="67" t="inlineStr">
        <is>
          <t>Total</t>
        </is>
      </c>
      <c r="AD164" s="179" t="n"/>
    </row>
    <row r="165" ht="23.25" customHeight="1">
      <c r="A165" s="180" t="inlineStr">
        <is>
          <t>All TB Cases Registered</t>
        </is>
      </c>
      <c r="K165" s="181" t="n"/>
      <c r="L165" s="182" t="n"/>
      <c r="M165" s="181" t="n"/>
      <c r="N165" s="182" t="n"/>
      <c r="O165" s="181" t="n"/>
      <c r="P165" s="182" t="n"/>
      <c r="R165" s="181" t="n"/>
      <c r="S165" s="182" t="n"/>
      <c r="U165" s="181" t="n"/>
      <c r="V165" s="165" t="inlineStr">
        <is>
          <t>Treatment after failure</t>
        </is>
      </c>
      <c r="W165" s="178" t="n"/>
      <c r="X165" s="179" t="n"/>
      <c r="Y165" s="165" t="inlineStr">
        <is>
          <t>Treatment after lost to follow-up</t>
        </is>
      </c>
      <c r="Z165" s="179" t="n"/>
      <c r="AA165" s="165" t="inlineStr">
        <is>
          <t>Other</t>
        </is>
      </c>
      <c r="AB165" s="179" t="n"/>
      <c r="AC165" s="182" t="n"/>
      <c r="AD165" s="181" t="n"/>
    </row>
    <row r="166">
      <c r="A166" s="183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184" t="n"/>
      <c r="L166" s="183" t="n"/>
      <c r="M166" s="184" t="n"/>
      <c r="N166" s="183" t="n"/>
      <c r="O166" s="184" t="n"/>
      <c r="P166" s="183" t="n"/>
      <c r="Q166" s="22" t="n"/>
      <c r="R166" s="184" t="n"/>
      <c r="S166" s="183" t="n"/>
      <c r="T166" s="22" t="n"/>
      <c r="U166" s="184" t="n"/>
      <c r="V166" s="183" t="n"/>
      <c r="W166" s="22" t="n"/>
      <c r="X166" s="184" t="n"/>
      <c r="Y166" s="183" t="n"/>
      <c r="Z166" s="184" t="n"/>
      <c r="AA166" s="183" t="n"/>
      <c r="AB166" s="184" t="n"/>
      <c r="AC166" s="183" t="n"/>
      <c r="AD166" s="184" t="n"/>
    </row>
    <row r="167" ht="24.9" customHeight="1">
      <c r="A167" s="185" t="inlineStr">
        <is>
          <t>Pulmonary, Bacteriologically Confermid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45" t="n"/>
      <c r="L167" s="4">
        <f>L11+L51+L90+L129</f>
        <v>1683</v>
      </c>
      <c r="M167" s="45" t="n"/>
      <c r="N167" s="4">
        <f>N11+N51+N90+N129</f>
        <v>157</v>
      </c>
      <c r="O167" s="45" t="n"/>
      <c r="P167" s="194">
        <f>P11+P51+P90+P129</f>
        <v>2</v>
      </c>
      <c r="Q167" s="33" t="n"/>
      <c r="R167" s="45" t="n"/>
      <c r="S167" s="4">
        <f>SUM(L167+N167+P167)</f>
        <v>1842</v>
      </c>
      <c r="T167" s="33" t="n"/>
      <c r="U167" s="45" t="n"/>
      <c r="V167" s="194">
        <f>V11+V51+V90+V129</f>
        <v>2</v>
      </c>
      <c r="W167" s="33" t="n"/>
      <c r="X167" s="45" t="n"/>
      <c r="Y167" s="4">
        <f>Y11+Y51+Y90+Y129</f>
        <v>6</v>
      </c>
      <c r="Z167" s="45" t="n"/>
      <c r="AA167" s="4">
        <f>AA11+AA51+AA90+AA129</f>
        <v>7</v>
      </c>
      <c r="AB167" s="45" t="n"/>
      <c r="AC167" s="4">
        <f>SUM(L167+N167+P167+V167+Y167+AA167)</f>
        <v>1857</v>
      </c>
      <c r="AD167" s="45" t="n"/>
    </row>
    <row r="168" ht="24.9" customHeight="1">
      <c r="A168" s="185" t="inlineStr">
        <is>
          <t>Pulmonary , Clinically Diagnosed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45" t="n"/>
      <c r="L168" s="4">
        <f>L12+L52+L91+L130</f>
        <v>2828</v>
      </c>
      <c r="M168" s="45" t="n"/>
      <c r="N168" s="4">
        <f>N12+N52+N91+N130</f>
        <v>67</v>
      </c>
      <c r="O168" s="45" t="n"/>
      <c r="P168" s="194">
        <f>P12+P52+P91+P130</f>
        <v>2</v>
      </c>
      <c r="Q168" s="33" t="n"/>
      <c r="R168" s="45" t="n"/>
      <c r="S168" s="4">
        <f>SUM(L168+N168+P168)</f>
        <v>2897</v>
      </c>
      <c r="T168" s="33" t="n"/>
      <c r="U168" s="45" t="n"/>
      <c r="V168" s="194">
        <f>V12+V52+V91+V130</f>
        <v>1</v>
      </c>
      <c r="W168" s="33" t="n"/>
      <c r="X168" s="45" t="n"/>
      <c r="Y168" s="4">
        <f>Y12+Y52+Y91+Y130</f>
        <v>8</v>
      </c>
      <c r="Z168" s="45" t="n"/>
      <c r="AA168" s="4">
        <f>AA12+AA52+AA91+AA130</f>
        <v>7</v>
      </c>
      <c r="AB168" s="45" t="n"/>
      <c r="AC168" s="4">
        <f>SUM(L168+N168+P168+V168+Y168+AA168)</f>
        <v>2913</v>
      </c>
      <c r="AD168" s="45" t="n"/>
    </row>
    <row r="169" ht="24.9" customHeight="1">
      <c r="A169" s="185" t="inlineStr">
        <is>
          <t>Extra Pulmonary, Bacteriologically Confermid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45" t="n"/>
      <c r="L169" s="4">
        <f>L13+L53+L92+L131</f>
        <v>11</v>
      </c>
      <c r="M169" s="45" t="n"/>
      <c r="N169" s="4">
        <f>N13+N53+N92+N131</f>
        <v>0</v>
      </c>
      <c r="O169" s="45" t="n"/>
      <c r="P169" s="194">
        <f>P13+P53+P92+P131</f>
        <v>0</v>
      </c>
      <c r="Q169" s="33" t="n"/>
      <c r="R169" s="45" t="n"/>
      <c r="S169" s="4">
        <f>SUM(L169+N169+P169)</f>
        <v>11</v>
      </c>
      <c r="T169" s="33" t="n"/>
      <c r="U169" s="45" t="n"/>
      <c r="V169" s="194">
        <f>V13+V53+V92+V131</f>
        <v>0</v>
      </c>
      <c r="W169" s="33" t="n"/>
      <c r="X169" s="45" t="n"/>
      <c r="Y169" s="4">
        <f>Y13+Y53+Y92+Y131</f>
        <v>0</v>
      </c>
      <c r="Z169" s="45" t="n"/>
      <c r="AA169" s="4">
        <f>AA13+AA53+AA92+AA131</f>
        <v>3</v>
      </c>
      <c r="AB169" s="45" t="n"/>
      <c r="AC169" s="4">
        <f>SUM(L169+N169+P169+V169+Y169+AA169)</f>
        <v>14</v>
      </c>
      <c r="AD169" s="45" t="n"/>
    </row>
    <row r="170" ht="24.9" customHeight="1">
      <c r="A170" s="185" t="inlineStr">
        <is>
          <t>Extra Pulmonary , Clinically Diagnosed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45" t="n"/>
      <c r="L170" s="4">
        <f>L14+L54+L93+L132</f>
        <v>1651</v>
      </c>
      <c r="M170" s="45" t="n"/>
      <c r="N170" s="4">
        <f>N14+N54+N93+N132</f>
        <v>23</v>
      </c>
      <c r="O170" s="45" t="n"/>
      <c r="P170" s="194">
        <f>P14+P54+P93+P132</f>
        <v>0</v>
      </c>
      <c r="Q170" s="33" t="n"/>
      <c r="R170" s="45" t="n"/>
      <c r="S170" s="4">
        <f>SUM(L170+N170+P170)</f>
        <v>1674</v>
      </c>
      <c r="T170" s="33" t="n"/>
      <c r="U170" s="45" t="n"/>
      <c r="V170" s="194">
        <f>V14+V54+V93+V132</f>
        <v>0</v>
      </c>
      <c r="W170" s="33" t="n"/>
      <c r="X170" s="45" t="n"/>
      <c r="Y170" s="4">
        <f>Y14+Y54+Y93+Y132</f>
        <v>1</v>
      </c>
      <c r="Z170" s="45" t="n"/>
      <c r="AA170" s="4">
        <f>AA14+AA54+AA93+AA132</f>
        <v>7</v>
      </c>
      <c r="AB170" s="45" t="n"/>
      <c r="AC170" s="4">
        <f>SUM(L170+N170+P170+V170+Y170+AA170)</f>
        <v>1682</v>
      </c>
      <c r="AD170" s="45" t="n"/>
    </row>
    <row r="171" ht="24.9" customHeight="1">
      <c r="A171" s="185" t="inlineStr">
        <is>
          <t>Total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45" t="n"/>
      <c r="L171" s="4">
        <f>SUM(L167:M170)</f>
        <v>6173</v>
      </c>
      <c r="M171" s="45" t="n"/>
      <c r="N171" s="4">
        <f>SUM(N167:O170)</f>
        <v>247</v>
      </c>
      <c r="O171" s="45" t="n"/>
      <c r="P171" s="4">
        <f>SUM(P167:R170)</f>
        <v>4</v>
      </c>
      <c r="Q171" s="33" t="n"/>
      <c r="R171" s="45" t="n"/>
      <c r="S171" s="4">
        <f>SUM(L171+N171+P171)</f>
        <v>6424</v>
      </c>
      <c r="T171" s="33" t="n"/>
      <c r="U171" s="45" t="n"/>
      <c r="V171" s="4">
        <f>SUM(V167:X170)</f>
        <v>3</v>
      </c>
      <c r="W171" s="33" t="n"/>
      <c r="X171" s="45" t="n"/>
      <c r="Y171" s="4">
        <f>SUM(Y167:Z170)</f>
        <v>15</v>
      </c>
      <c r="Z171" s="45" t="n"/>
      <c r="AA171" s="4">
        <f>SUM(AA167:AB170)</f>
        <v>24</v>
      </c>
      <c r="AB171" s="45" t="n"/>
      <c r="AC171" s="4">
        <f>SUM(L171+N171+P171+V171+Y171+AA171)</f>
        <v>6466</v>
      </c>
      <c r="AD171" s="45" t="n"/>
    </row>
    <row r="172" ht="15.6" customHeight="1">
      <c r="A172" s="23" t="inlineStr">
        <is>
          <t>Block 2: All New, Relapse and previous treatment history unknown Cases registered during the period by Age Group and Gender</t>
        </is>
      </c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5" t="n"/>
    </row>
    <row r="173" ht="21.75" customHeight="1">
      <c r="A173" s="186" t="n"/>
      <c r="B173" s="178" t="n"/>
      <c r="C173" s="178" t="n"/>
      <c r="D173" s="178" t="n"/>
      <c r="E173" s="178" t="n"/>
      <c r="F173" s="178" t="n"/>
      <c r="G173" s="178" t="n"/>
      <c r="H173" s="178" t="n"/>
      <c r="I173" s="178" t="n"/>
      <c r="J173" s="178" t="n"/>
      <c r="K173" s="179" t="n"/>
      <c r="L173" s="67" t="inlineStr">
        <is>
          <t>0-4</t>
        </is>
      </c>
      <c r="M173" s="45" t="n"/>
      <c r="N173" s="187" t="inlineStr">
        <is>
          <t>5-14</t>
        </is>
      </c>
      <c r="O173" s="45" t="n"/>
      <c r="P173" s="188" t="inlineStr">
        <is>
          <t>15-24</t>
        </is>
      </c>
      <c r="Q173" s="45" t="n"/>
      <c r="R173" s="188" t="inlineStr">
        <is>
          <t>25-34</t>
        </is>
      </c>
      <c r="S173" s="45" t="n"/>
      <c r="T173" s="188" t="inlineStr">
        <is>
          <t>35-44</t>
        </is>
      </c>
      <c r="U173" s="45" t="n"/>
      <c r="V173" s="188" t="inlineStr">
        <is>
          <t>45-54</t>
        </is>
      </c>
      <c r="W173" s="45" t="n"/>
      <c r="X173" s="188" t="inlineStr">
        <is>
          <t>55-64</t>
        </is>
      </c>
      <c r="Y173" s="45" t="n"/>
      <c r="Z173" s="188" t="inlineStr">
        <is>
          <t>65 &amp; Above</t>
        </is>
      </c>
      <c r="AA173" s="45" t="n"/>
      <c r="AB173" s="188" t="inlineStr">
        <is>
          <t>Total</t>
        </is>
      </c>
      <c r="AC173" s="45" t="n"/>
      <c r="AD173" s="189" t="inlineStr">
        <is>
          <t>Grand
Total</t>
        </is>
      </c>
    </row>
    <row r="174">
      <c r="A174" s="183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184" t="n"/>
      <c r="L174" s="67" t="inlineStr">
        <is>
          <t>M</t>
        </is>
      </c>
      <c r="M174" s="67" t="inlineStr">
        <is>
          <t>F</t>
        </is>
      </c>
      <c r="N174" s="67" t="inlineStr">
        <is>
          <t>M</t>
        </is>
      </c>
      <c r="O174" s="67" t="inlineStr">
        <is>
          <t>F</t>
        </is>
      </c>
      <c r="P174" s="67" t="inlineStr">
        <is>
          <t>M</t>
        </is>
      </c>
      <c r="Q174" s="67" t="inlineStr">
        <is>
          <t>F</t>
        </is>
      </c>
      <c r="R174" s="67" t="inlineStr">
        <is>
          <t>M</t>
        </is>
      </c>
      <c r="S174" s="67" t="inlineStr">
        <is>
          <t>F</t>
        </is>
      </c>
      <c r="T174" s="67" t="inlineStr">
        <is>
          <t>M</t>
        </is>
      </c>
      <c r="U174" s="67" t="inlineStr">
        <is>
          <t>F</t>
        </is>
      </c>
      <c r="V174" s="67" t="inlineStr">
        <is>
          <t>M</t>
        </is>
      </c>
      <c r="W174" s="67" t="inlineStr">
        <is>
          <t>F</t>
        </is>
      </c>
      <c r="X174" s="67" t="inlineStr">
        <is>
          <t>M</t>
        </is>
      </c>
      <c r="Y174" s="67" t="inlineStr">
        <is>
          <t>F</t>
        </is>
      </c>
      <c r="Z174" s="67" t="inlineStr">
        <is>
          <t>M</t>
        </is>
      </c>
      <c r="AA174" s="67" t="inlineStr">
        <is>
          <t>F</t>
        </is>
      </c>
      <c r="AB174" s="67" t="inlineStr">
        <is>
          <t>M</t>
        </is>
      </c>
      <c r="AC174" s="67" t="inlineStr">
        <is>
          <t>F</t>
        </is>
      </c>
      <c r="AD174" s="190" t="n"/>
    </row>
    <row r="175" ht="18" customHeight="1">
      <c r="A175" s="185" t="inlineStr">
        <is>
          <t>Pulmonary, Bacteriologically Confermid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45" t="n"/>
      <c r="L175" s="4">
        <f>L19+L59+L98+L137</f>
        <v>1</v>
      </c>
      <c r="M175" s="4">
        <f>M19+M59+M98+M137</f>
        <v>2</v>
      </c>
      <c r="N175" s="4">
        <f>N19+N59+N98+N137</f>
        <v>21</v>
      </c>
      <c r="O175" s="4">
        <f>O19+O59+O98+O137</f>
        <v>44</v>
      </c>
      <c r="P175" s="4">
        <f>P19+P59+P98+P137</f>
        <v>127</v>
      </c>
      <c r="Q175" s="4">
        <f>Q19+Q59+Q98+Q137</f>
        <v>218</v>
      </c>
      <c r="R175" s="4">
        <f>R19+R59+R98+R137</f>
        <v>153</v>
      </c>
      <c r="S175" s="4">
        <f>S19+S59+S98+S137</f>
        <v>149</v>
      </c>
      <c r="T175" s="4">
        <f>T19+T59+T98+T137</f>
        <v>103</v>
      </c>
      <c r="U175" s="4">
        <f>U19+U59+U98+U137</f>
        <v>113</v>
      </c>
      <c r="V175" s="4">
        <f>V19+V59+V98+V137</f>
        <v>128</v>
      </c>
      <c r="W175" s="4">
        <f>W19+W59+W98+W137</f>
        <v>117</v>
      </c>
      <c r="X175" s="4">
        <f>X19+X59+X98+X137</f>
        <v>151</v>
      </c>
      <c r="Y175" s="4">
        <f>Y19+Y59+Y98+Y137</f>
        <v>124</v>
      </c>
      <c r="Z175" s="4">
        <f>Z19+Z59+Z98+Z137</f>
        <v>205</v>
      </c>
      <c r="AA175" s="4">
        <f>AA19+AA59+AA98+AA137</f>
        <v>174</v>
      </c>
      <c r="AB175" s="4">
        <f>SUM(L175+N175+P175+R175+T175+V175+X175+Z175)</f>
        <v>889</v>
      </c>
      <c r="AC175" s="4">
        <f>SUM(M175+O175+Q175+S175+U175+W175+Y175+AA175)</f>
        <v>941</v>
      </c>
      <c r="AD175" s="4">
        <f>SUM(AB175:AC175)</f>
        <v>1830</v>
      </c>
    </row>
    <row r="176" ht="18" customHeight="1">
      <c r="A176" s="185" t="inlineStr">
        <is>
          <t>Pulmonary , Clinically Diagnosed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45" t="n"/>
      <c r="L176" s="4">
        <f>L20+L60+L99+L138</f>
        <v>488</v>
      </c>
      <c r="M176" s="4">
        <f>M20+M60+M99+M138</f>
        <v>389</v>
      </c>
      <c r="N176" s="4">
        <f>N20+N60+N99+N138</f>
        <v>164</v>
      </c>
      <c r="O176" s="4">
        <f>O20+O60+O99+O138</f>
        <v>152</v>
      </c>
      <c r="P176" s="4">
        <f>P20+P60+P99+P138</f>
        <v>168</v>
      </c>
      <c r="Q176" s="4">
        <f>Q20+Q60+Q99+Q138</f>
        <v>165</v>
      </c>
      <c r="R176" s="4">
        <f>R20+R60+R99+R138</f>
        <v>127</v>
      </c>
      <c r="S176" s="4">
        <f>S20+S60+S99+S138</f>
        <v>178</v>
      </c>
      <c r="T176" s="4">
        <f>T20+T60+T99+T138</f>
        <v>129</v>
      </c>
      <c r="U176" s="4">
        <f>U20+U60+U99+U138</f>
        <v>118</v>
      </c>
      <c r="V176" s="4">
        <f>V20+V60+V99+V138</f>
        <v>107</v>
      </c>
      <c r="W176" s="4">
        <f>W20+W60+W99+W138</f>
        <v>105</v>
      </c>
      <c r="X176" s="4">
        <f>X20+X60+X99+X138</f>
        <v>141</v>
      </c>
      <c r="Y176" s="4">
        <f>Y20+Y60+Y99+Y138</f>
        <v>112</v>
      </c>
      <c r="Z176" s="4">
        <f>Z20+Z60+Z99+Z138</f>
        <v>190</v>
      </c>
      <c r="AA176" s="4">
        <f>AA20+AA60+AA99+AA138</f>
        <v>158</v>
      </c>
      <c r="AB176" s="4">
        <f>SUM(L176+N176+P176+R176+T176+V176+X176+Z176)</f>
        <v>1514</v>
      </c>
      <c r="AC176" s="4">
        <f>SUM(M176+O176+Q176+S176+U176+W176+Y176+AA176)</f>
        <v>1377</v>
      </c>
      <c r="AD176" s="4">
        <f>SUM(AB176:AC176)</f>
        <v>2891</v>
      </c>
    </row>
    <row r="177" ht="18" customHeight="1">
      <c r="A177" s="185" t="inlineStr">
        <is>
          <t>Extra Pulmonary, Bacteriologically Confermid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45" t="n"/>
      <c r="L177" s="4">
        <f>L21+L61+L100+L139</f>
        <v>0</v>
      </c>
      <c r="M177" s="4">
        <f>M21+M61+M100+M139</f>
        <v>0</v>
      </c>
      <c r="N177" s="4">
        <f>N21+N61+N100+N139</f>
        <v>1</v>
      </c>
      <c r="O177" s="4">
        <f>O21+O61+O100+O139</f>
        <v>0</v>
      </c>
      <c r="P177" s="4">
        <f>P21+P61+P100+P139</f>
        <v>1</v>
      </c>
      <c r="Q177" s="4">
        <f>Q21+Q61+Q100+Q139</f>
        <v>1</v>
      </c>
      <c r="R177" s="4">
        <f>R21+R61+R100+R139</f>
        <v>4</v>
      </c>
      <c r="S177" s="4">
        <f>S21+S61+S100+S139</f>
        <v>3</v>
      </c>
      <c r="T177" s="4">
        <f>T21+T61+T100+T139</f>
        <v>0</v>
      </c>
      <c r="U177" s="4">
        <f>U21+U61+U100+U139</f>
        <v>1</v>
      </c>
      <c r="V177" s="4">
        <f>V21+V61+V100+V139</f>
        <v>2</v>
      </c>
      <c r="W177" s="4">
        <f>W21+W61+W100+W139</f>
        <v>1</v>
      </c>
      <c r="X177" s="4">
        <f>X21+X61+X100+X139</f>
        <v>1</v>
      </c>
      <c r="Y177" s="4">
        <f>Y21+Y61+Y100+Y139</f>
        <v>1</v>
      </c>
      <c r="Z177" s="4">
        <f>Z21+Z61+Z100+Z139</f>
        <v>1</v>
      </c>
      <c r="AA177" s="4">
        <f>AA21+AA61+AA100+AA139</f>
        <v>2</v>
      </c>
      <c r="AB177" s="4">
        <f>SUM(L177+N177+P177+R177+T177+V177+X177+Z177)</f>
        <v>10</v>
      </c>
      <c r="AC177" s="4">
        <f>SUM(M177+O177+Q177+S177+U177+W177+Y177+AA177)</f>
        <v>9</v>
      </c>
      <c r="AD177" s="4">
        <f>SUM(AB177:AC177)</f>
        <v>19</v>
      </c>
    </row>
    <row r="178" ht="18" customHeight="1">
      <c r="A178" s="185" t="inlineStr">
        <is>
          <t>Extra Pulmonary , Clinically Diagnosed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45" t="n"/>
      <c r="L178" s="4">
        <f>L22+L62+L101+L140</f>
        <v>203</v>
      </c>
      <c r="M178" s="4">
        <f>M22+M62+M101+M140</f>
        <v>171</v>
      </c>
      <c r="N178" s="4">
        <f>N22+N62+N101+N140</f>
        <v>88</v>
      </c>
      <c r="O178" s="4">
        <f>O22+O62+O101+O140</f>
        <v>83</v>
      </c>
      <c r="P178" s="4">
        <f>P22+P62+P101+P140</f>
        <v>119</v>
      </c>
      <c r="Q178" s="4">
        <f>Q22+Q62+Q101+Q140</f>
        <v>137</v>
      </c>
      <c r="R178" s="4">
        <f>R22+R62+R101+R140</f>
        <v>116</v>
      </c>
      <c r="S178" s="4">
        <f>S22+S62+S101+S140</f>
        <v>105</v>
      </c>
      <c r="T178" s="4">
        <f>T22+T62+T101+T140</f>
        <v>69</v>
      </c>
      <c r="U178" s="4">
        <f>U22+U62+U101+U140</f>
        <v>90</v>
      </c>
      <c r="V178" s="4">
        <f>V22+V62+V101+V140</f>
        <v>103</v>
      </c>
      <c r="W178" s="4">
        <f>W22+W62+W101+W140</f>
        <v>79</v>
      </c>
      <c r="X178" s="4">
        <f>X22+X62+X101+X140</f>
        <v>97</v>
      </c>
      <c r="Y178" s="4">
        <f>Y22+Y62+Y101+Y140</f>
        <v>71</v>
      </c>
      <c r="Z178" s="4">
        <f>Z22+Z62+Z101+Z140</f>
        <v>105</v>
      </c>
      <c r="AA178" s="4">
        <f>AA22+AA62+AA101+AA140</f>
        <v>72</v>
      </c>
      <c r="AB178" s="4">
        <f>SUM(L178+N178+P178+R178+T178+V178+X178+Z178)</f>
        <v>900</v>
      </c>
      <c r="AC178" s="4">
        <f>SUM(M178+O178+Q178+S178+U178+W178+Y178+AA178)</f>
        <v>808</v>
      </c>
      <c r="AD178" s="4">
        <f>SUM(AB178:AC178)</f>
        <v>1708</v>
      </c>
    </row>
    <row r="179" ht="18" customHeight="1">
      <c r="A179" s="67" t="inlineStr">
        <is>
          <t>Total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45" t="n"/>
      <c r="L179" s="4">
        <f>SUM(L175:L178)</f>
        <v>692</v>
      </c>
      <c r="M179" s="4">
        <f>SUM(M175:M178)</f>
        <v>562</v>
      </c>
      <c r="N179" s="4">
        <f>SUM(N175:N178)</f>
        <v>274</v>
      </c>
      <c r="O179" s="4">
        <f>SUM(O175:O178)</f>
        <v>279</v>
      </c>
      <c r="P179" s="4">
        <f>SUM(P175:P178)</f>
        <v>415</v>
      </c>
      <c r="Q179" s="4">
        <f>SUM(Q175:Q178)</f>
        <v>521</v>
      </c>
      <c r="R179" s="4">
        <f>SUM(R175:R178)</f>
        <v>400</v>
      </c>
      <c r="S179" s="4">
        <f>SUM(S175:S178)</f>
        <v>435</v>
      </c>
      <c r="T179" s="4">
        <f>SUM(T175:T178)</f>
        <v>301</v>
      </c>
      <c r="U179" s="4">
        <f>SUM(U175:U178)</f>
        <v>322</v>
      </c>
      <c r="V179" s="4">
        <f>SUM(V175:V178)</f>
        <v>340</v>
      </c>
      <c r="W179" s="4">
        <f>SUM(W175:W178)</f>
        <v>302</v>
      </c>
      <c r="X179" s="4">
        <f>SUM(X175:X178)</f>
        <v>390</v>
      </c>
      <c r="Y179" s="4">
        <f>SUM(Y175:Y178)</f>
        <v>308</v>
      </c>
      <c r="Z179" s="4">
        <f>SUM(Z175:Z178)</f>
        <v>501</v>
      </c>
      <c r="AA179" s="4">
        <f>SUM(AA175:AA178)</f>
        <v>406</v>
      </c>
      <c r="AB179" s="4">
        <f>SUM(AB175:AB178)</f>
        <v>3313</v>
      </c>
      <c r="AC179" s="4">
        <f>SUM(AC175:AC178)</f>
        <v>3135</v>
      </c>
      <c r="AD179" s="4">
        <f>SUM(AB179:AC179)</f>
        <v>6448</v>
      </c>
    </row>
    <row r="180" ht="6.75" customHeight="1">
      <c r="A180" s="27" t="n"/>
      <c r="B180" s="28" t="n"/>
      <c r="C180" s="28" t="n"/>
      <c r="D180" s="28" t="n"/>
      <c r="E180" s="28" t="n"/>
      <c r="F180" s="29" t="n"/>
      <c r="G180" s="29" t="n"/>
      <c r="H180" s="30" t="n"/>
      <c r="I180" s="30" t="n"/>
      <c r="J180" s="30" t="n"/>
      <c r="K180" s="30" t="n"/>
      <c r="L180" s="30" t="n"/>
      <c r="M180" s="30" t="n"/>
      <c r="N180" s="31" t="n"/>
      <c r="O180" s="30" t="n"/>
      <c r="P180" s="87" t="n"/>
      <c r="Q180" s="45" t="n"/>
      <c r="R180" s="32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30" t="n"/>
      <c r="AD180" s="33" t="n"/>
    </row>
    <row r="181" ht="18" customHeight="1">
      <c r="A181" s="34" t="inlineStr">
        <is>
          <t>Block 3: Presumptive TB Cases Identified Laboratory Diagnosis and use of WRD</t>
        </is>
      </c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6" t="n"/>
      <c r="N181" s="37" t="n"/>
      <c r="O181" s="34" t="inlineStr">
        <is>
          <t>Block 4 :  TB HIV  Activities</t>
        </is>
      </c>
      <c r="P181" s="35" t="n"/>
      <c r="Q181" s="35" t="n"/>
      <c r="R181" s="35" t="n"/>
      <c r="S181" s="35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25" t="n"/>
    </row>
    <row r="182" ht="45" customHeight="1">
      <c r="A182" s="6" t="inlineStr">
        <is>
          <t>Total
New OPD in Quarter</t>
        </is>
      </c>
      <c r="B182" s="88" t="inlineStr">
        <is>
          <t>No. of presumptive TB cases identified</t>
        </is>
      </c>
      <c r="C182" s="179" t="n"/>
      <c r="D182" s="6" t="inlineStr">
        <is>
          <t>No. of Presumptive TB
Patients tested 
Using</t>
        </is>
      </c>
      <c r="E182" s="33" t="n"/>
      <c r="F182" s="33" t="n"/>
      <c r="G182" s="45" t="n"/>
      <c r="H182" s="6" t="inlineStr">
        <is>
          <t>Among Presumptive 
TB cases tested  number reported B+</t>
        </is>
      </c>
      <c r="I182" s="33" t="n"/>
      <c r="J182" s="33" t="n"/>
      <c r="K182" s="45" t="n"/>
      <c r="L182" s="6" t="inlineStr">
        <is>
          <t>Among all
registered
number of
B+ TB
Cases</t>
        </is>
      </c>
      <c r="M182" s="6" t="inlineStr">
        <is>
          <t>Amoung All
(N+R+UK)
number tested
by Gene Xpert</t>
        </is>
      </c>
      <c r="N182" s="5" t="n"/>
      <c r="O182" s="165" t="inlineStr">
        <is>
          <t>No. of TB patients
tested for HIV</t>
        </is>
      </c>
      <c r="P182" s="33" t="n"/>
      <c r="Q182" s="33" t="n"/>
      <c r="R182" s="45" t="n"/>
      <c r="S182" s="165" t="inlineStr">
        <is>
          <t>HIV Reactive</t>
        </is>
      </c>
      <c r="T182" s="33" t="n"/>
      <c r="U182" s="33" t="n"/>
      <c r="V182" s="45" t="n"/>
      <c r="W182" s="165" t="inlineStr">
        <is>
          <t>TB Patients confirmed
positive for HIV</t>
        </is>
      </c>
      <c r="X182" s="33" t="n"/>
      <c r="Y182" s="33" t="n"/>
      <c r="Z182" s="45" t="n"/>
      <c r="AA182" s="165" t="inlineStr">
        <is>
          <t>HIV positive TB Patients put on ART</t>
        </is>
      </c>
      <c r="AB182" s="33" t="n"/>
      <c r="AC182" s="33" t="n"/>
      <c r="AD182" s="45" t="n"/>
    </row>
    <row r="183" ht="48" customHeight="1">
      <c r="A183" s="190" t="n"/>
      <c r="B183" s="6" t="inlineStr">
        <is>
          <t>Total</t>
        </is>
      </c>
      <c r="C183" s="88" t="inlineStr">
        <is>
          <t>Through
Community
Referrals (LHWs)</t>
        </is>
      </c>
      <c r="D183" s="88" t="inlineStr">
        <is>
          <t>AFB</t>
        </is>
      </c>
      <c r="E183" s="88" t="inlineStr">
        <is>
          <t>Xp &amp;
AFB</t>
        </is>
      </c>
      <c r="F183" s="88" t="inlineStr">
        <is>
          <t>XP</t>
        </is>
      </c>
      <c r="G183" s="7" t="inlineStr">
        <is>
          <t>G.Tot</t>
        </is>
      </c>
      <c r="H183" s="7" t="inlineStr">
        <is>
          <t>AFB</t>
        </is>
      </c>
      <c r="I183" s="88" t="inlineStr">
        <is>
          <t>AFB +
Xpert</t>
        </is>
      </c>
      <c r="J183" s="7" t="inlineStr">
        <is>
          <t>Xpert</t>
        </is>
      </c>
      <c r="K183" s="7" t="inlineStr">
        <is>
          <t>G.Tot</t>
        </is>
      </c>
      <c r="L183" s="190" t="n"/>
      <c r="M183" s="190" t="n"/>
      <c r="N183" s="5" t="n"/>
      <c r="O183" s="93">
        <f>O27+O67+O106+O145</f>
        <v>2186</v>
      </c>
      <c r="P183" s="33" t="n"/>
      <c r="Q183" s="33" t="n"/>
      <c r="R183" s="33" t="n"/>
      <c r="S183" s="93">
        <f>S27+S67+S106+S145</f>
        <v>7</v>
      </c>
      <c r="T183" s="33" t="n"/>
      <c r="U183" s="33" t="n"/>
      <c r="V183" s="33" t="n"/>
      <c r="W183" s="93">
        <f>W27+W67+W106+W145</f>
        <v>3</v>
      </c>
      <c r="X183" s="33" t="n"/>
      <c r="Y183" s="33" t="n"/>
      <c r="Z183" s="33" t="n"/>
      <c r="AA183" s="93">
        <f>AA27+AA67+AA106+AA145</f>
        <v>2</v>
      </c>
      <c r="AB183" s="33" t="n"/>
      <c r="AC183" s="33" t="n"/>
      <c r="AD183" s="33" t="n"/>
    </row>
    <row r="184" ht="38.25" customHeight="1">
      <c r="A184" s="193">
        <f>A28+A68+A107+A146</f>
        <v>1316743</v>
      </c>
      <c r="B184" s="193">
        <f>B28+B68+B107+B146</f>
        <v>28282</v>
      </c>
      <c r="C184" s="193">
        <f>C28+C68+C107+C146</f>
        <v>2541</v>
      </c>
      <c r="D184" s="193">
        <f>D28+D68+D107+D146</f>
        <v>8011</v>
      </c>
      <c r="E184" s="193">
        <f>E28+E68+E107+E146</f>
        <v>3948</v>
      </c>
      <c r="F184" s="193">
        <f>F28+F68+F107+F146</f>
        <v>13256</v>
      </c>
      <c r="G184" s="193">
        <f>SUM(D184:F188)</f>
        <v>25215</v>
      </c>
      <c r="H184" s="193">
        <f>H28+H68+H107+H146</f>
        <v>196</v>
      </c>
      <c r="I184" s="193">
        <f>I28+I68+I107+I146</f>
        <v>707</v>
      </c>
      <c r="J184" s="193">
        <f>J28+J68+J107+J146</f>
        <v>1025</v>
      </c>
      <c r="K184" s="193">
        <f>SUM(H184:J188)</f>
        <v>1928</v>
      </c>
      <c r="L184" s="193">
        <f>L28+L68+L107+L146</f>
        <v>1805</v>
      </c>
      <c r="M184" s="193">
        <f>M28+M68+M107+M146</f>
        <v>2290</v>
      </c>
      <c r="N184" s="5" t="n"/>
      <c r="O184" s="165" t="inlineStr">
        <is>
          <t xml:space="preserve">HIV patient tested for TB </t>
        </is>
      </c>
      <c r="P184" s="33" t="n"/>
      <c r="Q184" s="33" t="n"/>
      <c r="R184" s="45" t="n"/>
      <c r="S184" s="165" t="inlineStr">
        <is>
          <t>HIV patients 
diagnosed  for TB</t>
        </is>
      </c>
      <c r="T184" s="33" t="n"/>
      <c r="U184" s="33" t="n"/>
      <c r="V184" s="45" t="n"/>
      <c r="W184" s="165" t="inlineStr">
        <is>
          <t>TB HIV patients put on
 TB Tx</t>
        </is>
      </c>
      <c r="X184" s="33" t="n"/>
      <c r="Y184" s="33" t="n"/>
      <c r="Z184" s="45" t="n"/>
      <c r="AA184" s="165" t="inlineStr">
        <is>
          <t>HIV positive TB negative
patients on TPT</t>
        </is>
      </c>
      <c r="AB184" s="33" t="n"/>
      <c r="AC184" s="33" t="n"/>
      <c r="AD184" s="45" t="n"/>
    </row>
    <row r="185" ht="19.5" customHeight="1">
      <c r="A185" s="191" t="n"/>
      <c r="B185" s="191" t="n"/>
      <c r="C185" s="191" t="n"/>
      <c r="D185" s="191" t="n"/>
      <c r="E185" s="191" t="n"/>
      <c r="F185" s="191" t="n"/>
      <c r="G185" s="191" t="n"/>
      <c r="H185" s="191" t="n"/>
      <c r="I185" s="191" t="n"/>
      <c r="J185" s="191" t="n"/>
      <c r="K185" s="191" t="n"/>
      <c r="L185" s="191" t="n"/>
      <c r="M185" s="191" t="n"/>
      <c r="N185" s="39" t="n"/>
      <c r="O185" s="165">
        <f>O29+O69+O108+O147</f>
        <v>48</v>
      </c>
      <c r="P185" s="178" t="n"/>
      <c r="Q185" s="178" t="n"/>
      <c r="R185" s="179" t="n"/>
      <c r="S185" s="165">
        <f>S29+S69+S108+S147</f>
        <v>0</v>
      </c>
      <c r="T185" s="178" t="n"/>
      <c r="U185" s="178" t="n"/>
      <c r="V185" s="179" t="n"/>
      <c r="W185" s="165">
        <f>W29+W69+W108+W147</f>
        <v>1</v>
      </c>
      <c r="X185" s="178" t="n"/>
      <c r="Y185" s="178" t="n"/>
      <c r="Z185" s="179" t="n"/>
      <c r="AA185" s="8" t="n"/>
      <c r="AB185" s="8" t="inlineStr">
        <is>
          <t>0-4</t>
        </is>
      </c>
      <c r="AC185" s="9" t="inlineStr">
        <is>
          <t>5-14</t>
        </is>
      </c>
      <c r="AD185" s="40" t="inlineStr">
        <is>
          <t>15 +</t>
        </is>
      </c>
    </row>
    <row r="186" ht="18" customHeight="1">
      <c r="A186" s="191" t="n"/>
      <c r="B186" s="191" t="n"/>
      <c r="C186" s="191" t="n"/>
      <c r="D186" s="191" t="n"/>
      <c r="E186" s="191" t="n"/>
      <c r="F186" s="191" t="n"/>
      <c r="G186" s="191" t="n"/>
      <c r="H186" s="191" t="n"/>
      <c r="I186" s="191" t="n"/>
      <c r="J186" s="191" t="n"/>
      <c r="K186" s="191" t="n"/>
      <c r="L186" s="191" t="n"/>
      <c r="M186" s="191" t="n"/>
      <c r="N186" s="39" t="n"/>
      <c r="O186" s="182" t="n"/>
      <c r="R186" s="181" t="n"/>
      <c r="S186" s="182" t="n"/>
      <c r="V186" s="181" t="n"/>
      <c r="W186" s="182" t="n"/>
      <c r="Z186" s="181" t="n"/>
      <c r="AA186" s="10" t="inlineStr">
        <is>
          <t>6H</t>
        </is>
      </c>
      <c r="AB186" s="67">
        <f>AB30+AB70+AB109+AB148</f>
        <v>0</v>
      </c>
      <c r="AC186" s="67">
        <f>AC30+AC70+AC109+AC148</f>
        <v>0</v>
      </c>
      <c r="AD186" s="67">
        <f>AD30+AD70+AD109+AD148</f>
        <v>0</v>
      </c>
    </row>
    <row r="187" ht="18" customHeight="1">
      <c r="A187" s="191" t="n"/>
      <c r="B187" s="191" t="n"/>
      <c r="C187" s="191" t="n"/>
      <c r="D187" s="191" t="n"/>
      <c r="E187" s="191" t="n"/>
      <c r="F187" s="191" t="n"/>
      <c r="G187" s="191" t="n"/>
      <c r="H187" s="191" t="n"/>
      <c r="I187" s="191" t="n"/>
      <c r="J187" s="191" t="n"/>
      <c r="K187" s="191" t="n"/>
      <c r="L187" s="191" t="n"/>
      <c r="M187" s="191" t="n"/>
      <c r="N187" s="39" t="n"/>
      <c r="O187" s="182" t="n"/>
      <c r="R187" s="181" t="n"/>
      <c r="S187" s="182" t="n"/>
      <c r="V187" s="181" t="n"/>
      <c r="W187" s="182" t="n"/>
      <c r="Z187" s="181" t="n"/>
      <c r="AA187" s="10" t="inlineStr">
        <is>
          <t>3HR</t>
        </is>
      </c>
      <c r="AB187" s="67">
        <f>AB31+AB71+AB110+AB149</f>
        <v>0</v>
      </c>
      <c r="AC187" s="67">
        <f>AC31+AC71+AC110+AC149</f>
        <v>0</v>
      </c>
      <c r="AD187" s="67">
        <f>AD31+AD71+AD110+AD149</f>
        <v>0</v>
      </c>
    </row>
    <row r="188" ht="18" customHeight="1">
      <c r="A188" s="190" t="n"/>
      <c r="B188" s="190" t="n"/>
      <c r="C188" s="190" t="n"/>
      <c r="D188" s="190" t="n"/>
      <c r="E188" s="190" t="n"/>
      <c r="F188" s="190" t="n"/>
      <c r="G188" s="190" t="n"/>
      <c r="H188" s="190" t="n"/>
      <c r="I188" s="190" t="n"/>
      <c r="J188" s="190" t="n"/>
      <c r="K188" s="190" t="n"/>
      <c r="L188" s="190" t="n"/>
      <c r="M188" s="190" t="n"/>
      <c r="N188" s="39" t="n"/>
      <c r="O188" s="183" t="n"/>
      <c r="P188" s="22" t="n"/>
      <c r="Q188" s="22" t="n"/>
      <c r="R188" s="184" t="n"/>
      <c r="S188" s="183" t="n"/>
      <c r="T188" s="22" t="n"/>
      <c r="U188" s="22" t="n"/>
      <c r="V188" s="184" t="n"/>
      <c r="W188" s="183" t="n"/>
      <c r="X188" s="22" t="n"/>
      <c r="Y188" s="22" t="n"/>
      <c r="Z188" s="184" t="n"/>
      <c r="AA188" s="10" t="inlineStr">
        <is>
          <t>3 HP</t>
        </is>
      </c>
      <c r="AB188" s="67">
        <f>AB32+AB72+AB111+AB150</f>
        <v>0</v>
      </c>
      <c r="AC188" s="67">
        <f>AC32+AC72+AC111+AC150</f>
        <v>0</v>
      </c>
      <c r="AD188" s="67">
        <f>AD32+AD72+AD111+AD150</f>
        <v>0</v>
      </c>
    </row>
    <row r="189" ht="8.25" customHeight="1">
      <c r="A189" s="11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4" t="n"/>
      <c r="O189" s="43" t="n"/>
      <c r="P189" s="43" t="n"/>
      <c r="Q189" s="43" t="n"/>
      <c r="R189" s="43" t="n"/>
      <c r="S189" s="43" t="n"/>
      <c r="T189" s="43" t="n"/>
      <c r="U189" s="43" t="n"/>
      <c r="V189" s="12" t="n"/>
      <c r="W189" s="12" t="n"/>
      <c r="X189" s="12" t="n"/>
      <c r="Y189" s="12" t="n"/>
      <c r="Z189" s="12" t="n"/>
      <c r="AA189" s="12" t="n"/>
      <c r="AB189" s="43" t="n"/>
      <c r="AC189" s="43" t="n"/>
      <c r="AD189" s="45" t="n"/>
    </row>
    <row r="190" ht="18" customHeight="1">
      <c r="A190" s="34" t="inlineStr">
        <is>
          <t>Block 5 :  Bacteriologically Confermid TB Cases with DST Result</t>
        </is>
      </c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6" t="n"/>
      <c r="N190" s="46" t="n"/>
      <c r="O190" s="34" t="inlineStr">
        <is>
          <t>Block 6 :  Contact Tracing HH *</t>
        </is>
      </c>
      <c r="P190" s="36" t="n"/>
      <c r="Q190" s="35" t="n"/>
      <c r="R190" s="47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8" t="n"/>
      <c r="AC190" s="38" t="n"/>
      <c r="AD190" s="48" t="n"/>
    </row>
    <row r="191" ht="18" customHeight="1">
      <c r="A191" s="80" t="inlineStr">
        <is>
          <t>Sensitive =S
Resistance = R</t>
        </is>
      </c>
      <c r="B191" s="81" t="inlineStr">
        <is>
          <t>PTB</t>
        </is>
      </c>
      <c r="C191" s="33" t="n"/>
      <c r="D191" s="33" t="n"/>
      <c r="E191" s="33" t="n"/>
      <c r="F191" s="33" t="n"/>
      <c r="G191" s="45" t="n"/>
      <c r="H191" s="81" t="inlineStr">
        <is>
          <t>EPTB</t>
        </is>
      </c>
      <c r="I191" s="33" t="n"/>
      <c r="J191" s="33" t="n"/>
      <c r="K191" s="33" t="n"/>
      <c r="L191" s="33" t="n"/>
      <c r="M191" s="45" t="n"/>
      <c r="N191" s="49" t="n"/>
      <c r="O191" s="6" t="inlineStr">
        <is>
          <t>Total No. of HH
of B+ PTB</t>
        </is>
      </c>
      <c r="P191" s="178" t="n"/>
      <c r="Q191" s="179" t="n"/>
      <c r="R191" s="6" t="inlineStr">
        <is>
          <t>No. of HH contacts of
B+ PTB Cases
Screened</t>
        </is>
      </c>
      <c r="S191" s="178" t="n"/>
      <c r="T191" s="179" t="n"/>
      <c r="U191" s="6" t="inlineStr">
        <is>
          <t>No. of TB 
Cases diagnosed Amoung HH
contact
screened</t>
        </is>
      </c>
      <c r="V191" s="178" t="n"/>
      <c r="W191" s="179" t="n"/>
      <c r="X191" s="6" t="inlineStr">
        <is>
          <t>No. of HH Contacts 
Initiated on TPT</t>
        </is>
      </c>
      <c r="Y191" s="178" t="n"/>
      <c r="Z191" s="178" t="n"/>
      <c r="AA191" s="179" t="n"/>
      <c r="AB191" s="6" t="inlineStr">
        <is>
          <t>HIV negative 
Immuno - compromised on 
TPT</t>
        </is>
      </c>
      <c r="AC191" s="178" t="n"/>
      <c r="AD191" s="179" t="n"/>
    </row>
    <row r="192" ht="20.25" customHeight="1">
      <c r="A192" s="191" t="n"/>
      <c r="B192" s="67" t="inlineStr">
        <is>
          <t>Rifampicin</t>
        </is>
      </c>
      <c r="C192" s="45" t="n"/>
      <c r="D192" s="67" t="inlineStr">
        <is>
          <t>Isoniazid</t>
        </is>
      </c>
      <c r="E192" s="45" t="n"/>
      <c r="F192" s="67" t="inlineStr">
        <is>
          <t>Fluoroquninolone</t>
        </is>
      </c>
      <c r="G192" s="45" t="n"/>
      <c r="H192" s="67" t="inlineStr">
        <is>
          <t>Rifampicin</t>
        </is>
      </c>
      <c r="I192" s="45" t="n"/>
      <c r="J192" s="67" t="inlineStr">
        <is>
          <t>Isoniazid</t>
        </is>
      </c>
      <c r="K192" s="45" t="n"/>
      <c r="L192" s="67" t="inlineStr">
        <is>
          <t>Fluoroquninolone</t>
        </is>
      </c>
      <c r="M192" s="45" t="n"/>
      <c r="N192" s="50" t="n"/>
      <c r="O192" s="182" t="n"/>
      <c r="Q192" s="181" t="n"/>
      <c r="R192" s="182" t="n"/>
      <c r="T192" s="181" t="n"/>
      <c r="U192" s="182" t="n"/>
      <c r="W192" s="181" t="n"/>
      <c r="X192" s="182" t="n"/>
      <c r="AA192" s="181" t="n"/>
      <c r="AB192" s="182" t="n"/>
      <c r="AD192" s="181" t="n"/>
    </row>
    <row r="193" ht="16.5" customHeight="1">
      <c r="A193" s="190" t="n"/>
      <c r="B193" s="67" t="inlineStr">
        <is>
          <t>S</t>
        </is>
      </c>
      <c r="C193" s="67" t="inlineStr">
        <is>
          <t>R</t>
        </is>
      </c>
      <c r="D193" s="67" t="inlineStr">
        <is>
          <t>S</t>
        </is>
      </c>
      <c r="E193" s="67" t="inlineStr">
        <is>
          <t>R</t>
        </is>
      </c>
      <c r="F193" s="67" t="inlineStr">
        <is>
          <t>S</t>
        </is>
      </c>
      <c r="G193" s="67" t="inlineStr">
        <is>
          <t>R</t>
        </is>
      </c>
      <c r="H193" s="67" t="inlineStr">
        <is>
          <t>S</t>
        </is>
      </c>
      <c r="I193" s="67" t="inlineStr">
        <is>
          <t>R</t>
        </is>
      </c>
      <c r="J193" s="67" t="inlineStr">
        <is>
          <t>S</t>
        </is>
      </c>
      <c r="K193" s="67" t="inlineStr">
        <is>
          <t>R</t>
        </is>
      </c>
      <c r="L193" s="67" t="inlineStr">
        <is>
          <t>S</t>
        </is>
      </c>
      <c r="M193" s="67" t="inlineStr">
        <is>
          <t>R</t>
        </is>
      </c>
      <c r="N193" s="51" t="n"/>
      <c r="O193" s="182" t="n"/>
      <c r="Q193" s="181" t="n"/>
      <c r="R193" s="182" t="n"/>
      <c r="T193" s="181" t="n"/>
      <c r="U193" s="182" t="n"/>
      <c r="W193" s="181" t="n"/>
      <c r="X193" s="183" t="n"/>
      <c r="Y193" s="22" t="n"/>
      <c r="Z193" s="22" t="n"/>
      <c r="AA193" s="184" t="n"/>
      <c r="AB193" s="183" t="n"/>
      <c r="AC193" s="22" t="n"/>
      <c r="AD193" s="184" t="n"/>
    </row>
    <row r="194" ht="24.9" customHeight="1">
      <c r="A194" s="67" t="inlineStr">
        <is>
          <t>New + UK</t>
        </is>
      </c>
      <c r="B194" s="4">
        <f>B38+B78+B117+B156</f>
        <v>1647</v>
      </c>
      <c r="C194" s="4">
        <f>C38+C78+C117+C156</f>
        <v>4</v>
      </c>
      <c r="D194" s="4">
        <f>D38+D78+D117+D156</f>
        <v>27</v>
      </c>
      <c r="E194" s="4">
        <f>E38+E78+E117+E156</f>
        <v>0</v>
      </c>
      <c r="F194" s="4">
        <f>F38+F78+F117+F156</f>
        <v>0</v>
      </c>
      <c r="G194" s="4">
        <f>G38+G78+G117+G156</f>
        <v>0</v>
      </c>
      <c r="H194" s="4">
        <f>H38+H78+H117+H156</f>
        <v>1</v>
      </c>
      <c r="I194" s="4">
        <f>I38+I78+I117+I156</f>
        <v>0</v>
      </c>
      <c r="J194" s="4">
        <f>J38+J78+J117+J156</f>
        <v>0</v>
      </c>
      <c r="K194" s="4">
        <f>K38+K78+K117+K156</f>
        <v>0</v>
      </c>
      <c r="L194" s="4">
        <f>L38+L78+L117+L156</f>
        <v>0</v>
      </c>
      <c r="M194" s="4">
        <f>M38+M78+M117+M156</f>
        <v>0</v>
      </c>
      <c r="N194" s="51" t="n"/>
      <c r="O194" s="183" t="n"/>
      <c r="P194" s="22" t="n"/>
      <c r="Q194" s="184" t="n"/>
      <c r="R194" s="183" t="n"/>
      <c r="S194" s="22" t="n"/>
      <c r="T194" s="184" t="n"/>
      <c r="U194" s="183" t="n"/>
      <c r="V194" s="22" t="n"/>
      <c r="W194" s="184" t="n"/>
      <c r="X194" s="17" t="n"/>
      <c r="Y194" s="13" t="inlineStr">
        <is>
          <t>0-4</t>
        </is>
      </c>
      <c r="Z194" s="15" t="inlineStr">
        <is>
          <t>5-14</t>
        </is>
      </c>
      <c r="AA194" s="16" t="inlineStr">
        <is>
          <t>15+</t>
        </is>
      </c>
      <c r="AB194" s="13" t="inlineStr">
        <is>
          <t>0-4</t>
        </is>
      </c>
      <c r="AC194" s="15" t="inlineStr">
        <is>
          <t>5-14</t>
        </is>
      </c>
      <c r="AD194" s="16" t="inlineStr">
        <is>
          <t>15+</t>
        </is>
      </c>
    </row>
    <row r="195" ht="24.9" customHeight="1">
      <c r="A195" s="67" t="inlineStr">
        <is>
          <t>Relapse</t>
        </is>
      </c>
      <c r="B195" s="4">
        <f>B39+B79+B118+B157</f>
        <v>127</v>
      </c>
      <c r="C195" s="4">
        <f>C39+C79+C118+C157</f>
        <v>0</v>
      </c>
      <c r="D195" s="4">
        <f>D39+D79+D118+D157</f>
        <v>3</v>
      </c>
      <c r="E195" s="4">
        <f>E39+E79+E118+E157</f>
        <v>0</v>
      </c>
      <c r="F195" s="4">
        <f>F39+F79+F118+F157</f>
        <v>0</v>
      </c>
      <c r="G195" s="4">
        <f>G39+G79+G118+G157</f>
        <v>0</v>
      </c>
      <c r="H195" s="4">
        <f>H39+H79+H118+H157</f>
        <v>0</v>
      </c>
      <c r="I195" s="4">
        <f>I39+I79+I118+I157</f>
        <v>0</v>
      </c>
      <c r="J195" s="4">
        <f>J39+J79+J118+J157</f>
        <v>0</v>
      </c>
      <c r="K195" s="4">
        <f>K39+K79+K118+K157</f>
        <v>0</v>
      </c>
      <c r="L195" s="4">
        <f>L39+L79+L118+L157</f>
        <v>0</v>
      </c>
      <c r="M195" s="4">
        <f>M39+M79+M118+M157</f>
        <v>0</v>
      </c>
      <c r="N195" s="51" t="n"/>
      <c r="O195" s="7" t="inlineStr">
        <is>
          <t>0-4</t>
        </is>
      </c>
      <c r="P195" s="52" t="inlineStr">
        <is>
          <t>5-14</t>
        </is>
      </c>
      <c r="Q195" s="14" t="inlineStr">
        <is>
          <t>15 +</t>
        </is>
      </c>
      <c r="R195" s="13" t="inlineStr">
        <is>
          <t>0-4</t>
        </is>
      </c>
      <c r="S195" s="14" t="inlineStr">
        <is>
          <t>5-14</t>
        </is>
      </c>
      <c r="T195" s="14" t="inlineStr">
        <is>
          <t>15 +</t>
        </is>
      </c>
      <c r="U195" s="13" t="inlineStr">
        <is>
          <t>0-4</t>
        </is>
      </c>
      <c r="V195" s="14" t="inlineStr">
        <is>
          <t>5-14</t>
        </is>
      </c>
      <c r="W195" s="14" t="inlineStr">
        <is>
          <t>15 +</t>
        </is>
      </c>
      <c r="X195" s="17" t="inlineStr">
        <is>
          <t>6H</t>
        </is>
      </c>
      <c r="Y195" s="67">
        <f>Y39+Y79+Y118+Y157</f>
        <v>41</v>
      </c>
      <c r="Z195" s="67">
        <f>Z39+Z79+Z118+Z157</f>
        <v>28</v>
      </c>
      <c r="AA195" s="67">
        <f>AA39+AA79+AA118+AA157</f>
        <v>28</v>
      </c>
      <c r="AB195" s="67">
        <f>AB39+AB79+AB118+AB157</f>
        <v>0</v>
      </c>
      <c r="AC195" s="67">
        <f>AC39+AC79+AC118+AC157</f>
        <v>0</v>
      </c>
      <c r="AD195" s="67">
        <f>AD39+AD79+AD118+AD157</f>
        <v>0</v>
      </c>
    </row>
    <row r="196" ht="24.9" customHeight="1">
      <c r="A196" s="165" t="inlineStr">
        <is>
          <t>Previously treated</t>
        </is>
      </c>
      <c r="B196" s="4">
        <f>B40+B80+B119+B158</f>
        <v>11</v>
      </c>
      <c r="C196" s="4">
        <f>C40+C80+C119+C158</f>
        <v>0</v>
      </c>
      <c r="D196" s="4">
        <f>D40+D80+D119+D158</f>
        <v>0</v>
      </c>
      <c r="E196" s="4">
        <f>E40+E80+E119+E158</f>
        <v>0</v>
      </c>
      <c r="F196" s="4">
        <f>F40+F80+F119+F158</f>
        <v>0</v>
      </c>
      <c r="G196" s="4">
        <f>G40+G80+G119+G158</f>
        <v>0</v>
      </c>
      <c r="H196" s="4">
        <f>H40+H80+H119+H158</f>
        <v>0</v>
      </c>
      <c r="I196" s="4">
        <f>I40+I80+I119+I158</f>
        <v>0</v>
      </c>
      <c r="J196" s="4">
        <f>J40+J80+J119+J158</f>
        <v>0</v>
      </c>
      <c r="K196" s="4">
        <f>K40+K80+K119+K158</f>
        <v>0</v>
      </c>
      <c r="L196" s="4">
        <f>L40+L80+L119+L158</f>
        <v>0</v>
      </c>
      <c r="M196" s="4">
        <f>M40+M80+M119+M158</f>
        <v>0</v>
      </c>
      <c r="N196" s="51" t="n"/>
      <c r="O196" s="4">
        <f>O40+O80+O119+O158</f>
        <v>901</v>
      </c>
      <c r="P196" s="4">
        <f>P40+P80+P119+P158</f>
        <v>2570</v>
      </c>
      <c r="Q196" s="4">
        <f>Q40+Q80+Q119+Q158</f>
        <v>7018</v>
      </c>
      <c r="R196" s="4">
        <f>R40+R80+R119+R158</f>
        <v>577</v>
      </c>
      <c r="S196" s="4">
        <f>S40+S80+S119+S158</f>
        <v>1960</v>
      </c>
      <c r="T196" s="4">
        <f>T40+T80+T119+T158</f>
        <v>5440</v>
      </c>
      <c r="U196" s="4">
        <f>U40+U80+U119+U158</f>
        <v>3</v>
      </c>
      <c r="V196" s="4">
        <f>V40+V80+V119+V158</f>
        <v>21</v>
      </c>
      <c r="W196" s="4">
        <f>W40+W80+W119+W158</f>
        <v>329</v>
      </c>
      <c r="X196" s="17" t="inlineStr">
        <is>
          <t>3HR</t>
        </is>
      </c>
      <c r="Y196" s="67">
        <f>Y40+Y80+Y119+Y158</f>
        <v>0</v>
      </c>
      <c r="Z196" s="67">
        <f>Z40+Z80+Z119+Z158</f>
        <v>2</v>
      </c>
      <c r="AA196" s="67">
        <f>AA40+AA80+AA119+AA158</f>
        <v>48</v>
      </c>
      <c r="AB196" s="67">
        <f>AB40+AB80+AB119+AB158</f>
        <v>0</v>
      </c>
      <c r="AC196" s="67">
        <f>AC40+AC80+AC119+AC158</f>
        <v>0</v>
      </c>
      <c r="AD196" s="67">
        <f>AD40+AD80+AD119+AD158</f>
        <v>0</v>
      </c>
    </row>
    <row r="197" ht="24.9" customHeight="1">
      <c r="A197" s="67" t="inlineStr">
        <is>
          <t>Total</t>
        </is>
      </c>
      <c r="B197" s="4">
        <f>SUM(B194:B196)</f>
        <v>1785</v>
      </c>
      <c r="C197" s="4">
        <f>SUM(C194:C196)</f>
        <v>4</v>
      </c>
      <c r="D197" s="4">
        <f>SUM(D194:D196)</f>
        <v>30</v>
      </c>
      <c r="E197" s="4">
        <f>SUM(E194:E196)</f>
        <v>0</v>
      </c>
      <c r="F197" s="4">
        <f>SUM(F194:F196)</f>
        <v>0</v>
      </c>
      <c r="G197" s="4">
        <f>SUM(G194:G196)</f>
        <v>0</v>
      </c>
      <c r="H197" s="4">
        <f>SUM(H194:H196)</f>
        <v>1</v>
      </c>
      <c r="I197" s="4">
        <f>SUM(I194:I196)</f>
        <v>0</v>
      </c>
      <c r="J197" s="4">
        <f>SUM(J194:J196)</f>
        <v>0</v>
      </c>
      <c r="K197" s="4">
        <f>SUM(K194:K196)</f>
        <v>0</v>
      </c>
      <c r="L197" s="4">
        <f>SUM(L194:L196)</f>
        <v>0</v>
      </c>
      <c r="M197" s="4">
        <f>SUM(M194:M196)</f>
        <v>0</v>
      </c>
      <c r="N197" s="51" t="n"/>
      <c r="O197" s="190" t="n"/>
      <c r="P197" s="190" t="n"/>
      <c r="Q197" s="190" t="n"/>
      <c r="R197" s="190" t="n"/>
      <c r="S197" s="190" t="n"/>
      <c r="T197" s="190" t="n"/>
      <c r="U197" s="190" t="n"/>
      <c r="V197" s="190" t="n"/>
      <c r="W197" s="190" t="n"/>
      <c r="X197" s="53" t="inlineStr">
        <is>
          <t>3 HP</t>
        </is>
      </c>
      <c r="Y197" s="67">
        <f>Y41+Y81+Y120+Y159</f>
        <v>0</v>
      </c>
      <c r="Z197" s="67">
        <f>Z41+Z81+Z120+Z159</f>
        <v>98</v>
      </c>
      <c r="AA197" s="67">
        <f>AA41+AA81+AA120+AA159</f>
        <v>360</v>
      </c>
      <c r="AB197" s="67">
        <f>AB41+AB81+AB120+AB159</f>
        <v>0</v>
      </c>
      <c r="AC197" s="67">
        <f>AC41+AC81+AC120+AC159</f>
        <v>0</v>
      </c>
      <c r="AD197" s="67">
        <f>AD41+AD81+AD120+AD159</f>
        <v>0</v>
      </c>
    </row>
  </sheetData>
  <mergeCells count="722">
    <mergeCell ref="A176:K176"/>
    <mergeCell ref="S14:U14"/>
    <mergeCell ref="U158:U159"/>
    <mergeCell ref="W158:W159"/>
    <mergeCell ref="A15:K15"/>
    <mergeCell ref="AA90:AB90"/>
    <mergeCell ref="N94:O94"/>
    <mergeCell ref="A51:K51"/>
    <mergeCell ref="S13:U13"/>
    <mergeCell ref="O122:R122"/>
    <mergeCell ref="A178:K178"/>
    <mergeCell ref="U191:W194"/>
    <mergeCell ref="A44:D44"/>
    <mergeCell ref="R80:R81"/>
    <mergeCell ref="T80:T81"/>
    <mergeCell ref="B68:B72"/>
    <mergeCell ref="S15:U15"/>
    <mergeCell ref="S144:V144"/>
    <mergeCell ref="AA106:AD106"/>
    <mergeCell ref="V168:X168"/>
    <mergeCell ref="N169:O169"/>
    <mergeCell ref="Y129:Z129"/>
    <mergeCell ref="AA105:AD105"/>
    <mergeCell ref="I46:O46"/>
    <mergeCell ref="P12:R12"/>
    <mergeCell ref="V8:AB8"/>
    <mergeCell ref="R135:S135"/>
    <mergeCell ref="T135:U135"/>
    <mergeCell ref="S145:V145"/>
    <mergeCell ref="P14:R14"/>
    <mergeCell ref="Y52:Z52"/>
    <mergeCell ref="V92:X92"/>
    <mergeCell ref="S91:U91"/>
    <mergeCell ref="S147:V150"/>
    <mergeCell ref="A141:K141"/>
    <mergeCell ref="O146:R146"/>
    <mergeCell ref="A62:K62"/>
    <mergeCell ref="N168:O168"/>
    <mergeCell ref="S93:U93"/>
    <mergeCell ref="A82:X82"/>
    <mergeCell ref="P24:Q24"/>
    <mergeCell ref="O114:Q117"/>
    <mergeCell ref="AA11:AB11"/>
    <mergeCell ref="H154:I154"/>
    <mergeCell ref="AC11:AD11"/>
    <mergeCell ref="V94:X94"/>
    <mergeCell ref="J154:K154"/>
    <mergeCell ref="B154:C154"/>
    <mergeCell ref="X173:Y173"/>
    <mergeCell ref="S170:U170"/>
    <mergeCell ref="Z173:AA173"/>
    <mergeCell ref="G146:G150"/>
    <mergeCell ref="AA92:AB92"/>
    <mergeCell ref="I146:I150"/>
    <mergeCell ref="P90:R90"/>
    <mergeCell ref="L66:L67"/>
    <mergeCell ref="A135:K136"/>
    <mergeCell ref="H105:K105"/>
    <mergeCell ref="A59:K59"/>
    <mergeCell ref="L57:M57"/>
    <mergeCell ref="D68:D72"/>
    <mergeCell ref="W67:Z67"/>
    <mergeCell ref="Y167:Z167"/>
    <mergeCell ref="AA167:AB167"/>
    <mergeCell ref="T40:T41"/>
    <mergeCell ref="A61:K61"/>
    <mergeCell ref="N171:O171"/>
    <mergeCell ref="V40:V41"/>
    <mergeCell ref="A124:H124"/>
    <mergeCell ref="L87:M89"/>
    <mergeCell ref="Z43:AA43"/>
    <mergeCell ref="Y169:Z169"/>
    <mergeCell ref="A114:A116"/>
    <mergeCell ref="O69:R72"/>
    <mergeCell ref="A160:X160"/>
    <mergeCell ref="F107:F111"/>
    <mergeCell ref="A90:K90"/>
    <mergeCell ref="O161:R161"/>
    <mergeCell ref="H107:H111"/>
    <mergeCell ref="N52:O52"/>
    <mergeCell ref="Z3:AA3"/>
    <mergeCell ref="U44:Y45"/>
    <mergeCell ref="U85:Z85"/>
    <mergeCell ref="A129:K129"/>
    <mergeCell ref="M66:M67"/>
    <mergeCell ref="V49:X50"/>
    <mergeCell ref="V87:AB87"/>
    <mergeCell ref="AC93:AD93"/>
    <mergeCell ref="V55:X55"/>
    <mergeCell ref="AA107:AD107"/>
    <mergeCell ref="T158:T159"/>
    <mergeCell ref="A131:K131"/>
    <mergeCell ref="V158:V159"/>
    <mergeCell ref="J68:J72"/>
    <mergeCell ref="L68:L72"/>
    <mergeCell ref="R75:T78"/>
    <mergeCell ref="AA49:AB50"/>
    <mergeCell ref="B144:C144"/>
    <mergeCell ref="T57:U57"/>
    <mergeCell ref="Y53:Z53"/>
    <mergeCell ref="Y130:Z130"/>
    <mergeCell ref="AA130:AB130"/>
    <mergeCell ref="M182:M183"/>
    <mergeCell ref="O153:Q156"/>
    <mergeCell ref="Y55:Z55"/>
    <mergeCell ref="F28:F32"/>
    <mergeCell ref="H28:H32"/>
    <mergeCell ref="U162:Z162"/>
    <mergeCell ref="N96:O96"/>
    <mergeCell ref="P96:Q96"/>
    <mergeCell ref="X75:AA77"/>
    <mergeCell ref="H75:M75"/>
    <mergeCell ref="S184:V184"/>
    <mergeCell ref="S171:U171"/>
    <mergeCell ref="N164:O166"/>
    <mergeCell ref="V126:AB126"/>
    <mergeCell ref="H184:H188"/>
    <mergeCell ref="S92:U92"/>
    <mergeCell ref="R153:T156"/>
    <mergeCell ref="AC126:AD128"/>
    <mergeCell ref="AA28:AD28"/>
    <mergeCell ref="AB191:AD193"/>
    <mergeCell ref="L26:L27"/>
    <mergeCell ref="S94:U94"/>
    <mergeCell ref="P93:R93"/>
    <mergeCell ref="Z17:AA17"/>
    <mergeCell ref="L129:M129"/>
    <mergeCell ref="A191:A193"/>
    <mergeCell ref="Z82:AA82"/>
    <mergeCell ref="P196:P197"/>
    <mergeCell ref="AB57:AC57"/>
    <mergeCell ref="F146:F150"/>
    <mergeCell ref="L182:L183"/>
    <mergeCell ref="H146:H150"/>
    <mergeCell ref="L52:M52"/>
    <mergeCell ref="O4:R4"/>
    <mergeCell ref="B76:C76"/>
    <mergeCell ref="P180:Q180"/>
    <mergeCell ref="W69:Z72"/>
    <mergeCell ref="U40:U41"/>
    <mergeCell ref="S8:U10"/>
    <mergeCell ref="W40:W41"/>
    <mergeCell ref="P130:R130"/>
    <mergeCell ref="Z44:AB45"/>
    <mergeCell ref="S131:U131"/>
    <mergeCell ref="Z160:AA160"/>
    <mergeCell ref="O29:R32"/>
    <mergeCell ref="L13:M13"/>
    <mergeCell ref="A66:A67"/>
    <mergeCell ref="O196:O197"/>
    <mergeCell ref="Z135:AA135"/>
    <mergeCell ref="AB135:AC135"/>
    <mergeCell ref="S26:V26"/>
    <mergeCell ref="A35:A37"/>
    <mergeCell ref="P126:R128"/>
    <mergeCell ref="L15:M15"/>
    <mergeCell ref="Y132:Z132"/>
    <mergeCell ref="A2:AD2"/>
    <mergeCell ref="AA132:AB132"/>
    <mergeCell ref="A46:H46"/>
    <mergeCell ref="W146:Z146"/>
    <mergeCell ref="L55:M55"/>
    <mergeCell ref="A9:K10"/>
    <mergeCell ref="S27:V27"/>
    <mergeCell ref="J184:J188"/>
    <mergeCell ref="L171:M171"/>
    <mergeCell ref="B184:B188"/>
    <mergeCell ref="Y165:Z166"/>
    <mergeCell ref="K68:K72"/>
    <mergeCell ref="AA165:AB166"/>
    <mergeCell ref="A175:K175"/>
    <mergeCell ref="AA133:AB133"/>
    <mergeCell ref="AC133:AD133"/>
    <mergeCell ref="AB17:AC17"/>
    <mergeCell ref="S119:S120"/>
    <mergeCell ref="U119:U120"/>
    <mergeCell ref="W119:W120"/>
    <mergeCell ref="V57:W57"/>
    <mergeCell ref="B36:C36"/>
    <mergeCell ref="S52:U52"/>
    <mergeCell ref="E28:E32"/>
    <mergeCell ref="G28:G32"/>
    <mergeCell ref="H114:M114"/>
    <mergeCell ref="I28:I32"/>
    <mergeCell ref="AA124:AD124"/>
    <mergeCell ref="H191:M191"/>
    <mergeCell ref="AC122:AD123"/>
    <mergeCell ref="A122:D122"/>
    <mergeCell ref="B115:C115"/>
    <mergeCell ref="AA13:AB13"/>
    <mergeCell ref="AC13:AD13"/>
    <mergeCell ref="L53:M53"/>
    <mergeCell ref="A161:D161"/>
    <mergeCell ref="N53:O53"/>
    <mergeCell ref="A6:H6"/>
    <mergeCell ref="O106:R106"/>
    <mergeCell ref="L130:M130"/>
    <mergeCell ref="AA15:AB15"/>
    <mergeCell ref="N130:O130"/>
    <mergeCell ref="AC15:AD15"/>
    <mergeCell ref="H26:K26"/>
    <mergeCell ref="O105:R105"/>
    <mergeCell ref="S87:U89"/>
    <mergeCell ref="A99:K99"/>
    <mergeCell ref="L132:M132"/>
    <mergeCell ref="V53:X53"/>
    <mergeCell ref="V165:X166"/>
    <mergeCell ref="M68:M72"/>
    <mergeCell ref="O107:R107"/>
    <mergeCell ref="V48:AB48"/>
    <mergeCell ref="A101:K101"/>
    <mergeCell ref="P133:R133"/>
    <mergeCell ref="P54:R54"/>
    <mergeCell ref="I83:J83"/>
    <mergeCell ref="H35:M35"/>
    <mergeCell ref="M107:M111"/>
    <mergeCell ref="J192:K192"/>
    <mergeCell ref="L192:M192"/>
    <mergeCell ref="AA26:AD26"/>
    <mergeCell ref="H144:K144"/>
    <mergeCell ref="L173:M173"/>
    <mergeCell ref="Z122:AB123"/>
    <mergeCell ref="AD17:AD18"/>
    <mergeCell ref="A182:A183"/>
    <mergeCell ref="O183:R183"/>
    <mergeCell ref="B26:C26"/>
    <mergeCell ref="AA68:AD68"/>
    <mergeCell ref="X96:Y96"/>
    <mergeCell ref="D115:E115"/>
    <mergeCell ref="U196:U197"/>
    <mergeCell ref="N51:O51"/>
    <mergeCell ref="B191:G191"/>
    <mergeCell ref="H153:M153"/>
    <mergeCell ref="W28:Z28"/>
    <mergeCell ref="AC92:AD92"/>
    <mergeCell ref="S53:U53"/>
    <mergeCell ref="V54:X54"/>
    <mergeCell ref="AA144:AD144"/>
    <mergeCell ref="P171:R171"/>
    <mergeCell ref="O68:R68"/>
    <mergeCell ref="H36:I36"/>
    <mergeCell ref="J36:K36"/>
    <mergeCell ref="S55:U55"/>
    <mergeCell ref="L92:M92"/>
    <mergeCell ref="N92:O92"/>
    <mergeCell ref="R173:S173"/>
    <mergeCell ref="T119:T120"/>
    <mergeCell ref="S158:S159"/>
    <mergeCell ref="V119:V120"/>
    <mergeCell ref="AD135:AD136"/>
    <mergeCell ref="AA54:AB54"/>
    <mergeCell ref="E4:H4"/>
    <mergeCell ref="AC54:AD54"/>
    <mergeCell ref="W183:Z183"/>
    <mergeCell ref="A85:H85"/>
    <mergeCell ref="L94:M94"/>
    <mergeCell ref="K122:N122"/>
    <mergeCell ref="Y90:Z90"/>
    <mergeCell ref="V130:X130"/>
    <mergeCell ref="L167:M167"/>
    <mergeCell ref="A8:K8"/>
    <mergeCell ref="O184:R184"/>
    <mergeCell ref="O185:R188"/>
    <mergeCell ref="A100:K100"/>
    <mergeCell ref="A171:K171"/>
    <mergeCell ref="W106:Z106"/>
    <mergeCell ref="N133:O133"/>
    <mergeCell ref="L169:M169"/>
    <mergeCell ref="W196:W197"/>
    <mergeCell ref="W105:Z105"/>
    <mergeCell ref="A102:K102"/>
    <mergeCell ref="Y131:Z131"/>
    <mergeCell ref="G184:G188"/>
    <mergeCell ref="S126:U128"/>
    <mergeCell ref="AA131:AB131"/>
    <mergeCell ref="N135:O135"/>
    <mergeCell ref="P64:Q64"/>
    <mergeCell ref="U122:Y123"/>
    <mergeCell ref="P135:Q135"/>
    <mergeCell ref="R57:S57"/>
    <mergeCell ref="L48:M50"/>
    <mergeCell ref="A168:K168"/>
    <mergeCell ref="A162:H162"/>
    <mergeCell ref="R191:T194"/>
    <mergeCell ref="Y14:Z14"/>
    <mergeCell ref="K83:N83"/>
    <mergeCell ref="Y11:Z11"/>
    <mergeCell ref="F154:G154"/>
    <mergeCell ref="T173:U173"/>
    <mergeCell ref="O28:R28"/>
    <mergeCell ref="V173:W173"/>
    <mergeCell ref="E146:E150"/>
    <mergeCell ref="N17:O17"/>
    <mergeCell ref="P17:Q17"/>
    <mergeCell ref="A21:K21"/>
    <mergeCell ref="D105:G105"/>
    <mergeCell ref="S67:V67"/>
    <mergeCell ref="AB114:AD116"/>
    <mergeCell ref="A23:K23"/>
    <mergeCell ref="AC129:AD129"/>
    <mergeCell ref="P129:R129"/>
    <mergeCell ref="V91:X91"/>
    <mergeCell ref="L105:L106"/>
    <mergeCell ref="O44:R44"/>
    <mergeCell ref="U124:Z124"/>
    <mergeCell ref="J115:K115"/>
    <mergeCell ref="L115:M115"/>
    <mergeCell ref="I184:I188"/>
    <mergeCell ref="P131:R131"/>
    <mergeCell ref="B107:B111"/>
    <mergeCell ref="A52:K52"/>
    <mergeCell ref="K161:N161"/>
    <mergeCell ref="D107:D111"/>
    <mergeCell ref="Y91:Z91"/>
    <mergeCell ref="H66:K66"/>
    <mergeCell ref="AA46:AD46"/>
    <mergeCell ref="AA91:AB91"/>
    <mergeCell ref="L131:M131"/>
    <mergeCell ref="AB173:AC173"/>
    <mergeCell ref="X153:AA155"/>
    <mergeCell ref="V167:X167"/>
    <mergeCell ref="Y93:Z93"/>
    <mergeCell ref="AA93:AB93"/>
    <mergeCell ref="W107:Z107"/>
    <mergeCell ref="P158:P159"/>
    <mergeCell ref="V11:X11"/>
    <mergeCell ref="R158:R159"/>
    <mergeCell ref="AC87:AD89"/>
    <mergeCell ref="AA170:AB170"/>
    <mergeCell ref="V169:X169"/>
    <mergeCell ref="V96:W96"/>
    <mergeCell ref="A68:A72"/>
    <mergeCell ref="AA184:AD184"/>
    <mergeCell ref="P13:R13"/>
    <mergeCell ref="A42:AD42"/>
    <mergeCell ref="O80:O81"/>
    <mergeCell ref="P15:R15"/>
    <mergeCell ref="E83:H83"/>
    <mergeCell ref="A55:K55"/>
    <mergeCell ref="S168:U168"/>
    <mergeCell ref="S51:U51"/>
    <mergeCell ref="S182:V182"/>
    <mergeCell ref="V196:V197"/>
    <mergeCell ref="S167:U167"/>
    <mergeCell ref="L96:M96"/>
    <mergeCell ref="Y12:Z12"/>
    <mergeCell ref="I4:J4"/>
    <mergeCell ref="A88:K89"/>
    <mergeCell ref="AA12:AB12"/>
    <mergeCell ref="L90:M90"/>
    <mergeCell ref="N90:O90"/>
    <mergeCell ref="O35:Q38"/>
    <mergeCell ref="H76:I76"/>
    <mergeCell ref="S169:U169"/>
    <mergeCell ref="L164:M166"/>
    <mergeCell ref="J76:K76"/>
    <mergeCell ref="AC52:AD52"/>
    <mergeCell ref="L154:M154"/>
    <mergeCell ref="AA14:AB14"/>
    <mergeCell ref="AB153:AD155"/>
    <mergeCell ref="AC4:AD5"/>
    <mergeCell ref="V93:X93"/>
    <mergeCell ref="L91:M91"/>
    <mergeCell ref="V17:W17"/>
    <mergeCell ref="N91:O91"/>
    <mergeCell ref="O144:R144"/>
    <mergeCell ref="U80:U81"/>
    <mergeCell ref="S48:U50"/>
    <mergeCell ref="A60:K60"/>
    <mergeCell ref="AC170:AD170"/>
    <mergeCell ref="D36:E36"/>
    <mergeCell ref="B146:B150"/>
    <mergeCell ref="V132:X132"/>
    <mergeCell ref="D146:D150"/>
    <mergeCell ref="AA67:AD67"/>
    <mergeCell ref="V164:AB164"/>
    <mergeCell ref="K4:N4"/>
    <mergeCell ref="S69:V72"/>
    <mergeCell ref="O40:O41"/>
    <mergeCell ref="N167:O167"/>
    <mergeCell ref="Q40:Q41"/>
    <mergeCell ref="W185:Z188"/>
    <mergeCell ref="S40:S41"/>
    <mergeCell ref="AA27:AD27"/>
    <mergeCell ref="A107:A111"/>
    <mergeCell ref="V12:X12"/>
    <mergeCell ref="A49:K50"/>
    <mergeCell ref="C107:C111"/>
    <mergeCell ref="A126:K126"/>
    <mergeCell ref="I44:J44"/>
    <mergeCell ref="O26:R26"/>
    <mergeCell ref="A53:K53"/>
    <mergeCell ref="V14:X14"/>
    <mergeCell ref="N15:O15"/>
    <mergeCell ref="AC83:AD84"/>
    <mergeCell ref="A19:K19"/>
    <mergeCell ref="AA94:AB94"/>
    <mergeCell ref="V13:X13"/>
    <mergeCell ref="S146:V146"/>
    <mergeCell ref="S11:U11"/>
    <mergeCell ref="Q158:Q159"/>
    <mergeCell ref="O27:R27"/>
    <mergeCell ref="W80:W81"/>
    <mergeCell ref="A48:K48"/>
    <mergeCell ref="P170:R170"/>
    <mergeCell ref="AA127:AB128"/>
    <mergeCell ref="G68:G72"/>
    <mergeCell ref="V171:X171"/>
    <mergeCell ref="Y133:Z133"/>
    <mergeCell ref="P48:R50"/>
    <mergeCell ref="X17:Y17"/>
    <mergeCell ref="Y54:Z54"/>
    <mergeCell ref="S183:V183"/>
    <mergeCell ref="AC53:AD53"/>
    <mergeCell ref="L93:M93"/>
    <mergeCell ref="N93:O93"/>
    <mergeCell ref="M105:M106"/>
    <mergeCell ref="Y51:Z51"/>
    <mergeCell ref="A28:A32"/>
    <mergeCell ref="A137:K137"/>
    <mergeCell ref="C28:C32"/>
    <mergeCell ref="I124:O124"/>
    <mergeCell ref="N170:O170"/>
    <mergeCell ref="AC55:AD55"/>
    <mergeCell ref="L8:M10"/>
    <mergeCell ref="O145:R145"/>
    <mergeCell ref="AA171:AB171"/>
    <mergeCell ref="A139:K139"/>
    <mergeCell ref="AC171:AD171"/>
    <mergeCell ref="V133:X133"/>
    <mergeCell ref="C184:C188"/>
    <mergeCell ref="P92:R92"/>
    <mergeCell ref="AA6:AD6"/>
    <mergeCell ref="S108:V111"/>
    <mergeCell ref="Z83:AB84"/>
    <mergeCell ref="J146:J150"/>
    <mergeCell ref="L146:L150"/>
    <mergeCell ref="S90:U90"/>
    <mergeCell ref="P94:R94"/>
    <mergeCell ref="U6:Z6"/>
    <mergeCell ref="A140:K140"/>
    <mergeCell ref="H182:K182"/>
    <mergeCell ref="AA162:AD162"/>
    <mergeCell ref="S164:U166"/>
    <mergeCell ref="A63:K63"/>
    <mergeCell ref="A146:A150"/>
    <mergeCell ref="C146:C150"/>
    <mergeCell ref="I68:I72"/>
    <mergeCell ref="A92:K92"/>
    <mergeCell ref="N54:O54"/>
    <mergeCell ref="I107:I111"/>
    <mergeCell ref="P40:P41"/>
    <mergeCell ref="A94:K94"/>
    <mergeCell ref="K107:K111"/>
    <mergeCell ref="R40:R41"/>
    <mergeCell ref="P8:R10"/>
    <mergeCell ref="V15:X15"/>
    <mergeCell ref="V51:X51"/>
    <mergeCell ref="F192:G192"/>
    <mergeCell ref="H192:I192"/>
    <mergeCell ref="AC130:AD130"/>
    <mergeCell ref="O66:R66"/>
    <mergeCell ref="A83:D83"/>
    <mergeCell ref="D144:G144"/>
    <mergeCell ref="A87:K87"/>
    <mergeCell ref="A165:K166"/>
    <mergeCell ref="U153:W156"/>
    <mergeCell ref="A144:A145"/>
    <mergeCell ref="A133:K133"/>
    <mergeCell ref="W68:Z68"/>
    <mergeCell ref="AA168:AB168"/>
    <mergeCell ref="P87:R89"/>
    <mergeCell ref="AC168:AD168"/>
    <mergeCell ref="L144:L145"/>
    <mergeCell ref="AC161:AD161"/>
    <mergeCell ref="L76:M76"/>
    <mergeCell ref="N132:O132"/>
    <mergeCell ref="B153:G153"/>
    <mergeCell ref="U75:W78"/>
    <mergeCell ref="L168:M168"/>
    <mergeCell ref="S28:V28"/>
    <mergeCell ref="V80:V81"/>
    <mergeCell ref="F68:F72"/>
    <mergeCell ref="W144:Z144"/>
    <mergeCell ref="Y88:Z89"/>
    <mergeCell ref="L11:M11"/>
    <mergeCell ref="AA129:AB129"/>
    <mergeCell ref="AB35:AD37"/>
    <mergeCell ref="N173:O173"/>
    <mergeCell ref="P119:P120"/>
    <mergeCell ref="P173:Q173"/>
    <mergeCell ref="R119:R120"/>
    <mergeCell ref="AC48:AD50"/>
    <mergeCell ref="V135:W135"/>
    <mergeCell ref="X135:Y135"/>
    <mergeCell ref="AA183:AD183"/>
    <mergeCell ref="W145:Z145"/>
    <mergeCell ref="A4:D4"/>
    <mergeCell ref="AA52:AB52"/>
    <mergeCell ref="AA145:AD145"/>
    <mergeCell ref="B28:B32"/>
    <mergeCell ref="D28:D32"/>
    <mergeCell ref="S185:V188"/>
    <mergeCell ref="O147:R150"/>
    <mergeCell ref="S106:V106"/>
    <mergeCell ref="AC91:AD91"/>
    <mergeCell ref="P168:R168"/>
    <mergeCell ref="L133:M133"/>
    <mergeCell ref="S196:S197"/>
    <mergeCell ref="S105:V105"/>
    <mergeCell ref="D154:E154"/>
    <mergeCell ref="K146:K150"/>
    <mergeCell ref="N8:O10"/>
    <mergeCell ref="M146:M150"/>
    <mergeCell ref="V90:X90"/>
    <mergeCell ref="A127:K128"/>
    <mergeCell ref="L51:M51"/>
    <mergeCell ref="A173:K174"/>
    <mergeCell ref="E44:H44"/>
    <mergeCell ref="AC94:AD94"/>
    <mergeCell ref="N57:O57"/>
    <mergeCell ref="P57:Q57"/>
    <mergeCell ref="H68:H72"/>
    <mergeCell ref="AC167:AD167"/>
    <mergeCell ref="V129:X129"/>
    <mergeCell ref="N87:O89"/>
    <mergeCell ref="AA55:AB55"/>
    <mergeCell ref="AA169:AB169"/>
    <mergeCell ref="O75:Q78"/>
    <mergeCell ref="AC169:AD169"/>
    <mergeCell ref="V131:X131"/>
    <mergeCell ref="J107:J111"/>
    <mergeCell ref="AA88:AB89"/>
    <mergeCell ref="P52:R52"/>
    <mergeCell ref="L17:M17"/>
    <mergeCell ref="N11:O11"/>
    <mergeCell ref="M28:M32"/>
    <mergeCell ref="Y15:Z15"/>
    <mergeCell ref="A105:A106"/>
    <mergeCell ref="O67:R67"/>
    <mergeCell ref="P91:R91"/>
    <mergeCell ref="AC131:AD131"/>
    <mergeCell ref="A57:K58"/>
    <mergeCell ref="A3:X3"/>
    <mergeCell ref="L12:M12"/>
    <mergeCell ref="K184:K188"/>
    <mergeCell ref="N12:O12"/>
    <mergeCell ref="A54:K54"/>
    <mergeCell ref="M184:M188"/>
    <mergeCell ref="E184:E188"/>
    <mergeCell ref="U4:Y5"/>
    <mergeCell ref="I122:J122"/>
    <mergeCell ref="I6:O6"/>
    <mergeCell ref="L14:M14"/>
    <mergeCell ref="N14:O14"/>
    <mergeCell ref="AA53:AB53"/>
    <mergeCell ref="B182:C182"/>
    <mergeCell ref="S54:U54"/>
    <mergeCell ref="P167:R167"/>
    <mergeCell ref="U161:Y161"/>
    <mergeCell ref="P103:Q103"/>
    <mergeCell ref="W26:Z26"/>
    <mergeCell ref="AC90:AD90"/>
    <mergeCell ref="P55:R55"/>
    <mergeCell ref="J28:J32"/>
    <mergeCell ref="S107:V107"/>
    <mergeCell ref="L28:L32"/>
    <mergeCell ref="O119:O120"/>
    <mergeCell ref="Y9:Z10"/>
    <mergeCell ref="P169:R169"/>
    <mergeCell ref="Q119:Q120"/>
    <mergeCell ref="A22:K22"/>
    <mergeCell ref="AA9:AB10"/>
    <mergeCell ref="R96:S96"/>
    <mergeCell ref="T96:U96"/>
    <mergeCell ref="AA146:AD146"/>
    <mergeCell ref="W184:Z184"/>
    <mergeCell ref="S130:U130"/>
    <mergeCell ref="A167:K167"/>
    <mergeCell ref="AA66:AD66"/>
    <mergeCell ref="N129:O129"/>
    <mergeCell ref="S132:U132"/>
    <mergeCell ref="O182:R182"/>
    <mergeCell ref="R196:R197"/>
    <mergeCell ref="M144:M145"/>
    <mergeCell ref="B66:C66"/>
    <mergeCell ref="A98:K98"/>
    <mergeCell ref="T196:T197"/>
    <mergeCell ref="AC44:AD45"/>
    <mergeCell ref="A11:K11"/>
    <mergeCell ref="V170:X170"/>
    <mergeCell ref="A169:K169"/>
    <mergeCell ref="N131:O131"/>
    <mergeCell ref="X57:Y57"/>
    <mergeCell ref="AC12:AD12"/>
    <mergeCell ref="Z57:AA57"/>
    <mergeCell ref="D26:G26"/>
    <mergeCell ref="U35:W38"/>
    <mergeCell ref="A96:K97"/>
    <mergeCell ref="L126:M128"/>
    <mergeCell ref="D76:E76"/>
    <mergeCell ref="A26:A27"/>
    <mergeCell ref="F76:G76"/>
    <mergeCell ref="S133:U133"/>
    <mergeCell ref="AC14:AD14"/>
    <mergeCell ref="P53:R53"/>
    <mergeCell ref="A177:K177"/>
    <mergeCell ref="E122:H122"/>
    <mergeCell ref="A164:K164"/>
    <mergeCell ref="O191:Q194"/>
    <mergeCell ref="B114:G114"/>
    <mergeCell ref="A179:K179"/>
    <mergeCell ref="A153:A155"/>
    <mergeCell ref="V9:X10"/>
    <mergeCell ref="Q80:Q81"/>
    <mergeCell ref="B35:G35"/>
    <mergeCell ref="P132:R132"/>
    <mergeCell ref="A121:X121"/>
    <mergeCell ref="S80:S81"/>
    <mergeCell ref="Y170:Z170"/>
    <mergeCell ref="N13:O13"/>
    <mergeCell ref="S29:V32"/>
    <mergeCell ref="Q196:Q197"/>
    <mergeCell ref="A91:K91"/>
    <mergeCell ref="V52:X52"/>
    <mergeCell ref="U46:Z46"/>
    <mergeCell ref="AC164:AD166"/>
    <mergeCell ref="R35:T38"/>
    <mergeCell ref="P142:Q142"/>
    <mergeCell ref="AC132:AD132"/>
    <mergeCell ref="A93:K93"/>
    <mergeCell ref="W147:Z150"/>
    <mergeCell ref="Z4:AB5"/>
    <mergeCell ref="N55:O55"/>
    <mergeCell ref="W27:Z27"/>
    <mergeCell ref="D184:D188"/>
    <mergeCell ref="F184:F188"/>
    <mergeCell ref="AB75:AD77"/>
    <mergeCell ref="U114:W117"/>
    <mergeCell ref="Z161:AB161"/>
    <mergeCell ref="B105:C105"/>
    <mergeCell ref="Y92:Z92"/>
    <mergeCell ref="AA85:AD85"/>
    <mergeCell ref="U83:Y84"/>
    <mergeCell ref="X114:AA116"/>
    <mergeCell ref="Y94:Z94"/>
    <mergeCell ref="F36:G36"/>
    <mergeCell ref="V88:X89"/>
    <mergeCell ref="K28:K32"/>
    <mergeCell ref="X191:AA193"/>
    <mergeCell ref="O158:O159"/>
    <mergeCell ref="A12:K12"/>
    <mergeCell ref="Z121:AA121"/>
    <mergeCell ref="O83:R83"/>
    <mergeCell ref="I161:J161"/>
    <mergeCell ref="C68:C72"/>
    <mergeCell ref="E68:E72"/>
    <mergeCell ref="Y168:Z168"/>
    <mergeCell ref="F115:G115"/>
    <mergeCell ref="I85:O85"/>
    <mergeCell ref="L107:L111"/>
    <mergeCell ref="W182:Z182"/>
    <mergeCell ref="R17:S17"/>
    <mergeCell ref="T17:U17"/>
    <mergeCell ref="A14:K14"/>
    <mergeCell ref="E161:H161"/>
    <mergeCell ref="Y13:Z13"/>
    <mergeCell ref="AA182:AD182"/>
    <mergeCell ref="M26:M27"/>
    <mergeCell ref="P164:R166"/>
    <mergeCell ref="S12:U12"/>
    <mergeCell ref="L184:L188"/>
    <mergeCell ref="AA51:AB51"/>
    <mergeCell ref="D66:G66"/>
    <mergeCell ref="AC51:AD51"/>
    <mergeCell ref="A170:K170"/>
    <mergeCell ref="W29:Z32"/>
    <mergeCell ref="AD173:AD174"/>
    <mergeCell ref="L170:M170"/>
    <mergeCell ref="L135:M135"/>
    <mergeCell ref="P11:R11"/>
    <mergeCell ref="Y171:Z171"/>
    <mergeCell ref="A130:K130"/>
    <mergeCell ref="A184:A188"/>
    <mergeCell ref="X35:AA37"/>
    <mergeCell ref="W108:Z111"/>
    <mergeCell ref="Y49:Z50"/>
    <mergeCell ref="A138:K138"/>
    <mergeCell ref="O108:R111"/>
    <mergeCell ref="A132:K132"/>
    <mergeCell ref="N126:O128"/>
    <mergeCell ref="A17:K18"/>
    <mergeCell ref="D182:G182"/>
    <mergeCell ref="P80:P81"/>
    <mergeCell ref="V127:X128"/>
    <mergeCell ref="Z96:AA96"/>
    <mergeCell ref="AC8:AD10"/>
    <mergeCell ref="AB96:AC96"/>
    <mergeCell ref="S129:U129"/>
    <mergeCell ref="N48:O50"/>
    <mergeCell ref="H115:I115"/>
    <mergeCell ref="A43:X43"/>
    <mergeCell ref="AD57:AD58"/>
    <mergeCell ref="L54:M54"/>
    <mergeCell ref="B75:G75"/>
    <mergeCell ref="E107:E111"/>
    <mergeCell ref="G107:G111"/>
    <mergeCell ref="P51:R51"/>
    <mergeCell ref="Y127:Z128"/>
    <mergeCell ref="B192:C192"/>
    <mergeCell ref="S66:V66"/>
    <mergeCell ref="D192:E192"/>
    <mergeCell ref="A75:A77"/>
    <mergeCell ref="K44:N44"/>
    <mergeCell ref="I162:O162"/>
    <mergeCell ref="W66:Z66"/>
    <mergeCell ref="A20:K20"/>
    <mergeCell ref="AD96:AD97"/>
    <mergeCell ref="R114:T117"/>
    <mergeCell ref="S68:V68"/>
    <mergeCell ref="A13:K13"/>
    <mergeCell ref="L36:M36"/>
  </mergeCells>
  <printOptions horizontalCentered="1"/>
  <pageMargins left="0.25" right="0.25" top="0.25" bottom="0.25" header="0.25" footer="0.25"/>
  <pageSetup orientation="landscape" paperSize="9" scale="62"/>
  <rowBreaks count="4" manualBreakCount="4">
    <brk id="41" min="0" max="29" man="1"/>
    <brk id="81" min="0" max="29" man="1"/>
    <brk id="120" min="0" max="29" man="1"/>
    <brk id="159" min="0" max="29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Mithun Ghazi</dc:creator>
  <dcterms:created xmlns:dcterms="http://purl.org/dc/terms/" xmlns:xsi="http://www.w3.org/2001/XMLSchema-instance" xsi:type="dcterms:W3CDTF">2018-07-12T04:48:50Z</dcterms:created>
  <dcterms:modified xmlns:dcterms="http://purl.org/dc/terms/" xmlns:xsi="http://www.w3.org/2001/XMLSchema-instance" xsi:type="dcterms:W3CDTF">2026-10-06T12:23:15Z</dcterms:modified>
  <cp:lastModifiedBy>shah nawaz</cp:lastModifiedBy>
  <cp:lastPrinted>2026-03-26T10:20:37Z</cp:lastPrinted>
</cp:coreProperties>
</file>