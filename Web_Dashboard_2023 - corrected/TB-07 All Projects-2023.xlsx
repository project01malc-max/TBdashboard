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ah\Dropbox\All TB dashbard and Trend_Analysis\Web_Dashboard_2023 - corrected\"/>
    </mc:Choice>
  </mc:AlternateContent>
  <xr:revisionPtr revIDLastSave="0" documentId="13_ncr:1_{8CD4E3CC-F855-4EEF-81E3-4562108A1E56}" xr6:coauthVersionLast="47" xr6:coauthVersionMax="47" xr10:uidLastSave="{00000000-0000-0000-0000-000000000000}"/>
  <bookViews>
    <workbookView xWindow="-108" yWindow="-108" windowWidth="23256" windowHeight="12456" tabRatio="748" xr2:uid="{00000000-000D-0000-FFFF-FFFF00000000}"/>
  </bookViews>
  <sheets>
    <sheet name="MPR" sheetId="2" r:id="rId1"/>
    <sheet name="KARACHI" sheetId="3" r:id="rId2"/>
    <sheet name="SINDH" sheetId="4" r:id="rId3"/>
    <sheet name="GILGIT -BALTISTAN" sheetId="11" r:id="rId4"/>
    <sheet name="AZAD - KASHMIR" sheetId="12" r:id="rId5"/>
    <sheet name="KPK" sheetId="13" r:id="rId6"/>
    <sheet name="All Project Total - 2023" sheetId="17" r:id="rId7"/>
  </sheets>
  <definedNames>
    <definedName name="_xlnm.Print_Area" localSheetId="4">'AZAD - KASHMIR'!$A$1:$Y$196</definedName>
    <definedName name="_xlnm.Print_Area" localSheetId="3">'GILGIT -BALTISTAN'!$A$1:$Y$196</definedName>
    <definedName name="_xlnm.Print_Area" localSheetId="1">KARACHI!$A$1:$Y$196</definedName>
    <definedName name="_xlnm.Print_Area" localSheetId="2">SINDH!$A$1:$Y$196</definedName>
    <definedName name="Print_Area_MI" localSheetId="6">#REF!</definedName>
    <definedName name="Print_Area_MI" localSheetId="1">#REF!</definedName>
    <definedName name="Print_Area_MI" localSheetId="0">#REF!</definedName>
    <definedName name="Print_Area_MI" localSheetId="2">#REF!</definedName>
    <definedName name="Print_Area_MI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0" i="17" l="1"/>
  <c r="J160" i="17"/>
  <c r="E160" i="17"/>
  <c r="N121" i="17"/>
  <c r="J121" i="17"/>
  <c r="E121" i="17"/>
  <c r="N82" i="17"/>
  <c r="J82" i="17"/>
  <c r="E82" i="17"/>
  <c r="N43" i="17"/>
  <c r="J43" i="17"/>
  <c r="E43" i="17"/>
  <c r="X43" i="17"/>
  <c r="X82" i="17" s="1"/>
  <c r="X121" i="17" s="1"/>
  <c r="X160" i="17" s="1"/>
  <c r="Y156" i="17" l="1"/>
  <c r="X156" i="17"/>
  <c r="W156" i="17"/>
  <c r="V156" i="17"/>
  <c r="U156" i="17"/>
  <c r="T156" i="17"/>
  <c r="K156" i="17"/>
  <c r="J156" i="17"/>
  <c r="I156" i="17"/>
  <c r="H156" i="17"/>
  <c r="G156" i="17"/>
  <c r="F156" i="17"/>
  <c r="Y155" i="17"/>
  <c r="X155" i="17"/>
  <c r="W155" i="17"/>
  <c r="V155" i="17"/>
  <c r="U155" i="17"/>
  <c r="T155" i="17"/>
  <c r="K155" i="17"/>
  <c r="J155" i="17"/>
  <c r="I155" i="17"/>
  <c r="H155" i="17"/>
  <c r="G155" i="17"/>
  <c r="F155" i="17"/>
  <c r="Y154" i="17"/>
  <c r="X154" i="17"/>
  <c r="W154" i="17"/>
  <c r="V154" i="17"/>
  <c r="U154" i="17"/>
  <c r="T154" i="17"/>
  <c r="R154" i="17"/>
  <c r="Q154" i="17"/>
  <c r="P154" i="17"/>
  <c r="O154" i="17"/>
  <c r="N154" i="17"/>
  <c r="M154" i="17"/>
  <c r="J154" i="17"/>
  <c r="I154" i="17"/>
  <c r="F154" i="17"/>
  <c r="X149" i="17"/>
  <c r="W149" i="17"/>
  <c r="U149" i="17"/>
  <c r="X148" i="17"/>
  <c r="W148" i="17"/>
  <c r="U148" i="17"/>
  <c r="X147" i="17"/>
  <c r="W147" i="17"/>
  <c r="U147" i="17"/>
  <c r="Q146" i="17"/>
  <c r="O146" i="17"/>
  <c r="M146" i="17"/>
  <c r="K145" i="17"/>
  <c r="J145" i="17"/>
  <c r="H145" i="17"/>
  <c r="G145" i="17"/>
  <c r="F145" i="17"/>
  <c r="E145" i="17"/>
  <c r="D145" i="17"/>
  <c r="C145" i="17"/>
  <c r="B145" i="17"/>
  <c r="A145" i="17"/>
  <c r="Q144" i="17"/>
  <c r="O144" i="17"/>
  <c r="M144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H138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W136" i="17"/>
  <c r="V136" i="17"/>
  <c r="U136" i="17"/>
  <c r="T136" i="17"/>
  <c r="S136" i="17"/>
  <c r="R136" i="17"/>
  <c r="Q136" i="17"/>
  <c r="O136" i="17"/>
  <c r="N136" i="17"/>
  <c r="M136" i="17"/>
  <c r="K136" i="17"/>
  <c r="J136" i="17"/>
  <c r="I136" i="17"/>
  <c r="H136" i="17"/>
  <c r="V131" i="17"/>
  <c r="T131" i="17"/>
  <c r="R131" i="17"/>
  <c r="N131" i="17"/>
  <c r="L131" i="17"/>
  <c r="J131" i="17"/>
  <c r="V130" i="17"/>
  <c r="T130" i="17"/>
  <c r="R130" i="17"/>
  <c r="N130" i="17"/>
  <c r="L130" i="17"/>
  <c r="J130" i="17"/>
  <c r="V129" i="17"/>
  <c r="T129" i="17"/>
  <c r="R129" i="17"/>
  <c r="N129" i="17"/>
  <c r="L129" i="17"/>
  <c r="J129" i="17"/>
  <c r="T128" i="17"/>
  <c r="N128" i="17"/>
  <c r="J128" i="17"/>
  <c r="Y117" i="17"/>
  <c r="X117" i="17"/>
  <c r="W117" i="17"/>
  <c r="V117" i="17"/>
  <c r="U117" i="17"/>
  <c r="T117" i="17"/>
  <c r="K117" i="17"/>
  <c r="J117" i="17"/>
  <c r="I117" i="17"/>
  <c r="H117" i="17"/>
  <c r="G117" i="17"/>
  <c r="F117" i="17"/>
  <c r="Y116" i="17"/>
  <c r="X116" i="17"/>
  <c r="W116" i="17"/>
  <c r="V116" i="17"/>
  <c r="U116" i="17"/>
  <c r="T116" i="17"/>
  <c r="K116" i="17"/>
  <c r="J116" i="17"/>
  <c r="I116" i="17"/>
  <c r="H116" i="17"/>
  <c r="G116" i="17"/>
  <c r="F116" i="17"/>
  <c r="Y115" i="17"/>
  <c r="X115" i="17"/>
  <c r="W115" i="17"/>
  <c r="V115" i="17"/>
  <c r="U115" i="17"/>
  <c r="T115" i="17"/>
  <c r="R115" i="17"/>
  <c r="Q115" i="17"/>
  <c r="P115" i="17"/>
  <c r="O115" i="17"/>
  <c r="N115" i="17"/>
  <c r="M115" i="17"/>
  <c r="K115" i="17"/>
  <c r="I115" i="17"/>
  <c r="H115" i="17"/>
  <c r="G115" i="17"/>
  <c r="X110" i="17"/>
  <c r="W110" i="17"/>
  <c r="U110" i="17"/>
  <c r="X109" i="17"/>
  <c r="W109" i="17"/>
  <c r="U109" i="17"/>
  <c r="X108" i="17"/>
  <c r="W108" i="17"/>
  <c r="U108" i="17"/>
  <c r="Q107" i="17"/>
  <c r="O107" i="17"/>
  <c r="M107" i="17"/>
  <c r="K106" i="17"/>
  <c r="J106" i="17"/>
  <c r="H106" i="17"/>
  <c r="G106" i="17"/>
  <c r="F106" i="17"/>
  <c r="E106" i="17"/>
  <c r="D106" i="17"/>
  <c r="C106" i="17"/>
  <c r="B106" i="17"/>
  <c r="A106" i="17"/>
  <c r="Q105" i="17"/>
  <c r="O105" i="17"/>
  <c r="M105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W97" i="17"/>
  <c r="V97" i="17"/>
  <c r="S97" i="17"/>
  <c r="R97" i="17"/>
  <c r="Q97" i="17"/>
  <c r="O97" i="17"/>
  <c r="N97" i="17"/>
  <c r="M97" i="17"/>
  <c r="K97" i="17"/>
  <c r="J97" i="17"/>
  <c r="V92" i="17"/>
  <c r="T92" i="17"/>
  <c r="R92" i="17"/>
  <c r="N92" i="17"/>
  <c r="L92" i="17"/>
  <c r="J92" i="17"/>
  <c r="V91" i="17"/>
  <c r="T91" i="17"/>
  <c r="R91" i="17"/>
  <c r="N91" i="17"/>
  <c r="L91" i="17"/>
  <c r="J91" i="17"/>
  <c r="V90" i="17"/>
  <c r="T90" i="17"/>
  <c r="R90" i="17"/>
  <c r="N90" i="17"/>
  <c r="L90" i="17"/>
  <c r="V89" i="17"/>
  <c r="T89" i="17"/>
  <c r="R89" i="17"/>
  <c r="N89" i="17"/>
  <c r="L89" i="17"/>
  <c r="Y78" i="17"/>
  <c r="X78" i="17"/>
  <c r="W78" i="17"/>
  <c r="V78" i="17"/>
  <c r="U78" i="17"/>
  <c r="T78" i="17"/>
  <c r="K78" i="17"/>
  <c r="J78" i="17"/>
  <c r="I78" i="17"/>
  <c r="H78" i="17"/>
  <c r="G78" i="17"/>
  <c r="F78" i="17"/>
  <c r="Y77" i="17"/>
  <c r="X77" i="17"/>
  <c r="W77" i="17"/>
  <c r="V77" i="17"/>
  <c r="U77" i="17"/>
  <c r="T77" i="17"/>
  <c r="K77" i="17"/>
  <c r="J77" i="17"/>
  <c r="I77" i="17"/>
  <c r="H77" i="17"/>
  <c r="G77" i="17"/>
  <c r="F77" i="17"/>
  <c r="Y76" i="17"/>
  <c r="X76" i="17"/>
  <c r="W76" i="17"/>
  <c r="V76" i="17"/>
  <c r="U76" i="17"/>
  <c r="T76" i="17"/>
  <c r="R76" i="17"/>
  <c r="Q76" i="17"/>
  <c r="P76" i="17"/>
  <c r="O76" i="17"/>
  <c r="N76" i="17"/>
  <c r="M76" i="17"/>
  <c r="I76" i="17"/>
  <c r="H76" i="17"/>
  <c r="G76" i="17"/>
  <c r="X71" i="17"/>
  <c r="W71" i="17"/>
  <c r="U71" i="17"/>
  <c r="X70" i="17"/>
  <c r="W70" i="17"/>
  <c r="U70" i="17"/>
  <c r="X69" i="17"/>
  <c r="W69" i="17"/>
  <c r="U69" i="17"/>
  <c r="Q68" i="17"/>
  <c r="O68" i="17"/>
  <c r="M68" i="17"/>
  <c r="K67" i="17"/>
  <c r="J67" i="17"/>
  <c r="H67" i="17"/>
  <c r="G67" i="17"/>
  <c r="F67" i="17"/>
  <c r="E67" i="17"/>
  <c r="D67" i="17"/>
  <c r="C67" i="17"/>
  <c r="B67" i="17"/>
  <c r="A67" i="17"/>
  <c r="Q66" i="17"/>
  <c r="O66" i="17"/>
  <c r="M66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H59" i="17"/>
  <c r="V58" i="17"/>
  <c r="U58" i="17"/>
  <c r="R58" i="17"/>
  <c r="Q58" i="17"/>
  <c r="N58" i="17"/>
  <c r="M58" i="17"/>
  <c r="J58" i="17"/>
  <c r="I58" i="17"/>
  <c r="V53" i="17"/>
  <c r="T53" i="17"/>
  <c r="R53" i="17"/>
  <c r="N53" i="17"/>
  <c r="L53" i="17"/>
  <c r="V52" i="17"/>
  <c r="T52" i="17"/>
  <c r="R52" i="17"/>
  <c r="N52" i="17"/>
  <c r="L52" i="17"/>
  <c r="V51" i="17"/>
  <c r="T51" i="17"/>
  <c r="R51" i="17"/>
  <c r="N51" i="17"/>
  <c r="L51" i="17"/>
  <c r="Y39" i="17"/>
  <c r="W39" i="17"/>
  <c r="V39" i="17"/>
  <c r="K39" i="17"/>
  <c r="G39" i="17"/>
  <c r="Y38" i="17"/>
  <c r="W38" i="17"/>
  <c r="V38" i="17"/>
  <c r="U38" i="17"/>
  <c r="K38" i="17"/>
  <c r="J38" i="17"/>
  <c r="G38" i="17"/>
  <c r="W37" i="17"/>
  <c r="U37" i="17"/>
  <c r="R37" i="17"/>
  <c r="Q37" i="17"/>
  <c r="P37" i="17"/>
  <c r="N37" i="17"/>
  <c r="M37" i="17"/>
  <c r="J37" i="17"/>
  <c r="I37" i="17"/>
  <c r="F37" i="17"/>
  <c r="X32" i="17"/>
  <c r="U32" i="17"/>
  <c r="W31" i="17"/>
  <c r="U31" i="17"/>
  <c r="X30" i="17"/>
  <c r="U30" i="17"/>
  <c r="Q29" i="17"/>
  <c r="K28" i="17"/>
  <c r="G28" i="17"/>
  <c r="E28" i="17"/>
  <c r="C28" i="17"/>
  <c r="B28" i="17"/>
  <c r="A28" i="17"/>
  <c r="O27" i="17"/>
  <c r="T22" i="17"/>
  <c r="R22" i="17"/>
  <c r="P22" i="17"/>
  <c r="N22" i="17"/>
  <c r="L22" i="17"/>
  <c r="J22" i="17"/>
  <c r="H22" i="17"/>
  <c r="V21" i="17"/>
  <c r="T21" i="17"/>
  <c r="R21" i="17"/>
  <c r="P21" i="17"/>
  <c r="N21" i="17"/>
  <c r="M21" i="17"/>
  <c r="L21" i="17"/>
  <c r="J21" i="17"/>
  <c r="H21" i="17"/>
  <c r="W20" i="17"/>
  <c r="V20" i="17"/>
  <c r="T20" i="17"/>
  <c r="S20" i="17"/>
  <c r="R20" i="17"/>
  <c r="P20" i="17"/>
  <c r="O20" i="17"/>
  <c r="N20" i="17"/>
  <c r="L20" i="17"/>
  <c r="K20" i="17"/>
  <c r="J20" i="17"/>
  <c r="H20" i="17"/>
  <c r="W19" i="17"/>
  <c r="U19" i="17"/>
  <c r="T19" i="17"/>
  <c r="S19" i="17"/>
  <c r="R19" i="17"/>
  <c r="Q19" i="17"/>
  <c r="P19" i="17"/>
  <c r="O19" i="17"/>
  <c r="N19" i="17"/>
  <c r="M19" i="17"/>
  <c r="K19" i="17"/>
  <c r="I19" i="17"/>
  <c r="H19" i="17"/>
  <c r="V14" i="17"/>
  <c r="T14" i="17"/>
  <c r="R14" i="17"/>
  <c r="N14" i="17"/>
  <c r="J14" i="17"/>
  <c r="T13" i="17"/>
  <c r="R13" i="17"/>
  <c r="N13" i="17"/>
  <c r="J13" i="17"/>
  <c r="T12" i="17"/>
  <c r="R11" i="17"/>
  <c r="O140" i="17" l="1"/>
  <c r="Q101" i="17"/>
  <c r="N140" i="17"/>
  <c r="R62" i="17"/>
  <c r="H118" i="17"/>
  <c r="U62" i="17"/>
  <c r="O101" i="17"/>
  <c r="R101" i="17"/>
  <c r="M140" i="17"/>
  <c r="J62" i="17"/>
  <c r="V62" i="17"/>
  <c r="S101" i="17"/>
  <c r="Q140" i="17"/>
  <c r="R140" i="17"/>
  <c r="M62" i="17"/>
  <c r="J101" i="17"/>
  <c r="V101" i="17"/>
  <c r="S140" i="17"/>
  <c r="N62" i="17"/>
  <c r="K101" i="17"/>
  <c r="W101" i="17"/>
  <c r="T140" i="17"/>
  <c r="G79" i="17"/>
  <c r="U140" i="17"/>
  <c r="M101" i="17"/>
  <c r="J140" i="17"/>
  <c r="V140" i="17"/>
  <c r="Q62" i="17"/>
  <c r="N101" i="17"/>
  <c r="K140" i="17"/>
  <c r="W140" i="17"/>
  <c r="X98" i="17"/>
  <c r="X99" i="17"/>
  <c r="X100" i="17"/>
  <c r="T93" i="17"/>
  <c r="I106" i="17"/>
  <c r="Y137" i="17"/>
  <c r="Y139" i="17"/>
  <c r="I157" i="17"/>
  <c r="R170" i="17"/>
  <c r="M177" i="17"/>
  <c r="O183" i="17"/>
  <c r="C184" i="17"/>
  <c r="G184" i="17"/>
  <c r="K184" i="17"/>
  <c r="U186" i="17"/>
  <c r="W187" i="17"/>
  <c r="X188" i="17"/>
  <c r="N193" i="17"/>
  <c r="R193" i="17"/>
  <c r="W193" i="17"/>
  <c r="G194" i="17"/>
  <c r="K194" i="17"/>
  <c r="W194" i="17"/>
  <c r="G195" i="17"/>
  <c r="K195" i="17"/>
  <c r="W195" i="17"/>
  <c r="R93" i="17"/>
  <c r="G118" i="17"/>
  <c r="K118" i="17"/>
  <c r="T132" i="17"/>
  <c r="X137" i="17"/>
  <c r="T168" i="17"/>
  <c r="N176" i="17"/>
  <c r="J177" i="17"/>
  <c r="R177" i="17"/>
  <c r="J178" i="17"/>
  <c r="N178" i="17"/>
  <c r="K176" i="17"/>
  <c r="S176" i="17"/>
  <c r="A184" i="17"/>
  <c r="E184" i="17"/>
  <c r="X186" i="17"/>
  <c r="U188" i="17"/>
  <c r="P193" i="17"/>
  <c r="U193" i="17"/>
  <c r="U194" i="17"/>
  <c r="Y194" i="17"/>
  <c r="Y195" i="17"/>
  <c r="X59" i="17"/>
  <c r="I67" i="17"/>
  <c r="H79" i="17"/>
  <c r="L93" i="17"/>
  <c r="V93" i="17"/>
  <c r="Y98" i="17"/>
  <c r="Y99" i="17"/>
  <c r="Y100" i="17"/>
  <c r="I118" i="17"/>
  <c r="N132" i="17"/>
  <c r="F157" i="17"/>
  <c r="J157" i="17"/>
  <c r="N169" i="17"/>
  <c r="T170" i="17"/>
  <c r="J176" i="17"/>
  <c r="R176" i="17"/>
  <c r="V176" i="17"/>
  <c r="N177" i="17"/>
  <c r="V177" i="17"/>
  <c r="R178" i="17"/>
  <c r="R169" i="17"/>
  <c r="V170" i="17"/>
  <c r="O176" i="17"/>
  <c r="W176" i="17"/>
  <c r="T169" i="17"/>
  <c r="N170" i="17"/>
  <c r="L177" i="17"/>
  <c r="P177" i="17"/>
  <c r="T177" i="17"/>
  <c r="L178" i="17"/>
  <c r="P178" i="17"/>
  <c r="T178" i="17"/>
  <c r="B184" i="17"/>
  <c r="Q185" i="17"/>
  <c r="U187" i="17"/>
  <c r="M193" i="17"/>
  <c r="Q193" i="17"/>
  <c r="J194" i="17"/>
  <c r="V194" i="17"/>
  <c r="V195" i="17"/>
  <c r="I79" i="17"/>
  <c r="N93" i="17"/>
  <c r="N50" i="17"/>
  <c r="N54" i="17" s="1"/>
  <c r="J51" i="17"/>
  <c r="J53" i="17"/>
  <c r="J170" i="17" s="1"/>
  <c r="F76" i="17"/>
  <c r="F79" i="17" s="1"/>
  <c r="J76" i="17"/>
  <c r="J79" i="17" s="1"/>
  <c r="J132" i="17"/>
  <c r="X130" i="17"/>
  <c r="P130" i="17"/>
  <c r="L136" i="17"/>
  <c r="L140" i="17" s="1"/>
  <c r="P136" i="17"/>
  <c r="P140" i="17" s="1"/>
  <c r="X138" i="17"/>
  <c r="H139" i="17"/>
  <c r="X139" i="17" s="1"/>
  <c r="I145" i="17"/>
  <c r="H154" i="17"/>
  <c r="H157" i="17" s="1"/>
  <c r="R50" i="17"/>
  <c r="R54" i="17" s="1"/>
  <c r="K58" i="17"/>
  <c r="K62" i="17" s="1"/>
  <c r="O58" i="17"/>
  <c r="O62" i="17" s="1"/>
  <c r="S58" i="17"/>
  <c r="S62" i="17" s="1"/>
  <c r="W58" i="17"/>
  <c r="W62" i="17" s="1"/>
  <c r="K76" i="17"/>
  <c r="K79" i="17" s="1"/>
  <c r="J89" i="17"/>
  <c r="X91" i="17"/>
  <c r="P91" i="17"/>
  <c r="H97" i="17"/>
  <c r="L97" i="17"/>
  <c r="L101" i="17" s="1"/>
  <c r="P97" i="17"/>
  <c r="P101" i="17" s="1"/>
  <c r="T97" i="17"/>
  <c r="T101" i="17" s="1"/>
  <c r="L128" i="17"/>
  <c r="L132" i="17" s="1"/>
  <c r="V128" i="17"/>
  <c r="V132" i="17" s="1"/>
  <c r="Y136" i="17"/>
  <c r="I138" i="17"/>
  <c r="Y138" i="17" s="1"/>
  <c r="J50" i="17"/>
  <c r="T50" i="17"/>
  <c r="T54" i="17" s="1"/>
  <c r="J52" i="17"/>
  <c r="J169" i="17" s="1"/>
  <c r="H58" i="17"/>
  <c r="L58" i="17"/>
  <c r="L62" i="17" s="1"/>
  <c r="P58" i="17"/>
  <c r="P62" i="17" s="1"/>
  <c r="T58" i="17"/>
  <c r="T62" i="17" s="1"/>
  <c r="H60" i="17"/>
  <c r="X60" i="17" s="1"/>
  <c r="H61" i="17"/>
  <c r="X61" i="17" s="1"/>
  <c r="I97" i="17"/>
  <c r="I175" i="17" s="1"/>
  <c r="U97" i="17"/>
  <c r="U101" i="17" s="1"/>
  <c r="X129" i="17"/>
  <c r="P129" i="17"/>
  <c r="X131" i="17"/>
  <c r="P131" i="17"/>
  <c r="L50" i="17"/>
  <c r="L54" i="17" s="1"/>
  <c r="V50" i="17"/>
  <c r="V54" i="17" s="1"/>
  <c r="I59" i="17"/>
  <c r="Y59" i="17" s="1"/>
  <c r="I60" i="17"/>
  <c r="Y60" i="17" s="1"/>
  <c r="I61" i="17"/>
  <c r="Y61" i="17" s="1"/>
  <c r="J90" i="17"/>
  <c r="P92" i="17"/>
  <c r="X92" i="17"/>
  <c r="F115" i="17"/>
  <c r="F118" i="17" s="1"/>
  <c r="J115" i="17"/>
  <c r="J118" i="17" s="1"/>
  <c r="R128" i="17"/>
  <c r="R132" i="17" s="1"/>
  <c r="G154" i="17"/>
  <c r="G157" i="17" s="1"/>
  <c r="K154" i="17"/>
  <c r="K157" i="17" s="1"/>
  <c r="J11" i="17"/>
  <c r="H23" i="17"/>
  <c r="L11" i="17"/>
  <c r="R12" i="17"/>
  <c r="R168" i="17" s="1"/>
  <c r="M175" i="17"/>
  <c r="M20" i="17"/>
  <c r="M176" i="17" s="1"/>
  <c r="N11" i="17"/>
  <c r="J12" i="17"/>
  <c r="J19" i="17"/>
  <c r="N175" i="17"/>
  <c r="N23" i="17"/>
  <c r="R175" i="17"/>
  <c r="R23" i="17"/>
  <c r="V19" i="17"/>
  <c r="V22" i="17"/>
  <c r="V178" i="17" s="1"/>
  <c r="Q27" i="17"/>
  <c r="Q183" i="17" s="1"/>
  <c r="D28" i="17"/>
  <c r="D184" i="17" s="1"/>
  <c r="H28" i="17"/>
  <c r="H184" i="17" s="1"/>
  <c r="M29" i="17"/>
  <c r="M185" i="17" s="1"/>
  <c r="W30" i="17"/>
  <c r="W186" i="17" s="1"/>
  <c r="X31" i="17"/>
  <c r="X187" i="17" s="1"/>
  <c r="O37" i="17"/>
  <c r="O193" i="17" s="1"/>
  <c r="T37" i="17"/>
  <c r="T193" i="17" s="1"/>
  <c r="X37" i="17"/>
  <c r="X193" i="17" s="1"/>
  <c r="H38" i="17"/>
  <c r="H194" i="17" s="1"/>
  <c r="T38" i="17"/>
  <c r="T194" i="17" s="1"/>
  <c r="X38" i="17"/>
  <c r="X194" i="17" s="1"/>
  <c r="H39" i="17"/>
  <c r="H195" i="17" s="1"/>
  <c r="T39" i="17"/>
  <c r="T195" i="17" s="1"/>
  <c r="X39" i="17"/>
  <c r="X195" i="17" s="1"/>
  <c r="L12" i="17"/>
  <c r="L168" i="17" s="1"/>
  <c r="V12" i="17"/>
  <c r="V168" i="17" s="1"/>
  <c r="L14" i="17"/>
  <c r="L170" i="17" s="1"/>
  <c r="K21" i="17"/>
  <c r="K177" i="17" s="1"/>
  <c r="O21" i="17"/>
  <c r="O177" i="17" s="1"/>
  <c r="S21" i="17"/>
  <c r="S177" i="17" s="1"/>
  <c r="W21" i="17"/>
  <c r="W177" i="17" s="1"/>
  <c r="K22" i="17"/>
  <c r="K178" i="17" s="1"/>
  <c r="O22" i="17"/>
  <c r="O178" i="17" s="1"/>
  <c r="S22" i="17"/>
  <c r="S178" i="17" s="1"/>
  <c r="W22" i="17"/>
  <c r="W178" i="17" s="1"/>
  <c r="O29" i="17"/>
  <c r="O185" i="17" s="1"/>
  <c r="G37" i="17"/>
  <c r="K37" i="17"/>
  <c r="Y37" i="17"/>
  <c r="Y193" i="17" s="1"/>
  <c r="I38" i="17"/>
  <c r="I194" i="17" s="1"/>
  <c r="I39" i="17"/>
  <c r="I195" i="17" s="1"/>
  <c r="U39" i="17"/>
  <c r="U195" i="17" s="1"/>
  <c r="T11" i="17"/>
  <c r="H176" i="17"/>
  <c r="X20" i="17"/>
  <c r="L176" i="17"/>
  <c r="P23" i="17"/>
  <c r="P176" i="17"/>
  <c r="T23" i="17"/>
  <c r="T176" i="17"/>
  <c r="X21" i="17"/>
  <c r="M27" i="17"/>
  <c r="M183" i="17" s="1"/>
  <c r="F28" i="17"/>
  <c r="J28" i="17"/>
  <c r="J184" i="17" s="1"/>
  <c r="W32" i="17"/>
  <c r="W188" i="17" s="1"/>
  <c r="H37" i="17"/>
  <c r="V37" i="17"/>
  <c r="V193" i="17" s="1"/>
  <c r="F38" i="17"/>
  <c r="F194" i="17" s="1"/>
  <c r="F39" i="17"/>
  <c r="F195" i="17" s="1"/>
  <c r="J39" i="17"/>
  <c r="J195" i="17" s="1"/>
  <c r="N12" i="17"/>
  <c r="N168" i="17" s="1"/>
  <c r="L19" i="17"/>
  <c r="V11" i="17"/>
  <c r="L13" i="17"/>
  <c r="L169" i="17" s="1"/>
  <c r="V13" i="17"/>
  <c r="V169" i="17" s="1"/>
  <c r="Y19" i="17"/>
  <c r="Q175" i="17"/>
  <c r="I20" i="17"/>
  <c r="Q20" i="17"/>
  <c r="Q176" i="17" s="1"/>
  <c r="U20" i="17"/>
  <c r="U176" i="17" s="1"/>
  <c r="I21" i="17"/>
  <c r="Q21" i="17"/>
  <c r="Q177" i="17" s="1"/>
  <c r="U21" i="17"/>
  <c r="U177" i="17" s="1"/>
  <c r="I22" i="17"/>
  <c r="M22" i="17"/>
  <c r="M178" i="17" s="1"/>
  <c r="Q22" i="17"/>
  <c r="Q178" i="17" s="1"/>
  <c r="U22" i="17"/>
  <c r="U178" i="17" s="1"/>
  <c r="I193" i="17"/>
  <c r="I40" i="17" l="1"/>
  <c r="W175" i="17"/>
  <c r="W179" i="17" s="1"/>
  <c r="H175" i="17"/>
  <c r="L175" i="17"/>
  <c r="L179" i="17" s="1"/>
  <c r="K175" i="17"/>
  <c r="K179" i="17" s="1"/>
  <c r="U175" i="17"/>
  <c r="U179" i="17" s="1"/>
  <c r="R15" i="17"/>
  <c r="H140" i="17"/>
  <c r="J193" i="17"/>
  <c r="J196" i="17" s="1"/>
  <c r="N179" i="17"/>
  <c r="S175" i="17"/>
  <c r="S179" i="17" s="1"/>
  <c r="H177" i="17"/>
  <c r="X177" i="17" s="1"/>
  <c r="Y58" i="17"/>
  <c r="Y62" i="17" s="1"/>
  <c r="H178" i="17"/>
  <c r="X178" i="17" s="1"/>
  <c r="O175" i="17"/>
  <c r="O179" i="17" s="1"/>
  <c r="R167" i="17"/>
  <c r="R171" i="17" s="1"/>
  <c r="R179" i="17"/>
  <c r="Y140" i="17"/>
  <c r="T175" i="17"/>
  <c r="T179" i="17" s="1"/>
  <c r="Y97" i="17"/>
  <c r="Y101" i="17" s="1"/>
  <c r="I101" i="17"/>
  <c r="I140" i="17"/>
  <c r="X136" i="17"/>
  <c r="X140" i="17" s="1"/>
  <c r="P128" i="17"/>
  <c r="X51" i="17"/>
  <c r="P51" i="17"/>
  <c r="X22" i="17"/>
  <c r="F193" i="17"/>
  <c r="F196" i="17" s="1"/>
  <c r="P175" i="17"/>
  <c r="P179" i="17" s="1"/>
  <c r="X58" i="17"/>
  <c r="H62" i="17"/>
  <c r="X132" i="17"/>
  <c r="P132" i="17"/>
  <c r="P90" i="17"/>
  <c r="X90" i="17"/>
  <c r="P53" i="17"/>
  <c r="X53" i="17"/>
  <c r="I62" i="17"/>
  <c r="X52" i="17"/>
  <c r="P52" i="17"/>
  <c r="J54" i="17"/>
  <c r="P50" i="17"/>
  <c r="X50" i="17"/>
  <c r="H101" i="17"/>
  <c r="X97" i="17"/>
  <c r="X101" i="17" s="1"/>
  <c r="P89" i="17"/>
  <c r="X89" i="17"/>
  <c r="J93" i="17"/>
  <c r="X128" i="17"/>
  <c r="I23" i="17"/>
  <c r="X14" i="17"/>
  <c r="X170" i="17"/>
  <c r="I196" i="17"/>
  <c r="I177" i="17"/>
  <c r="Y177" i="17" s="1"/>
  <c r="Y21" i="17"/>
  <c r="Q23" i="17"/>
  <c r="H193" i="17"/>
  <c r="H196" i="17" s="1"/>
  <c r="H40" i="17"/>
  <c r="T167" i="17"/>
  <c r="T171" i="17" s="1"/>
  <c r="T15" i="17"/>
  <c r="G193" i="17"/>
  <c r="G196" i="17" s="1"/>
  <c r="G40" i="17"/>
  <c r="W23" i="17"/>
  <c r="O23" i="17"/>
  <c r="J40" i="17"/>
  <c r="J175" i="17"/>
  <c r="J179" i="17" s="1"/>
  <c r="J23" i="17"/>
  <c r="P170" i="17"/>
  <c r="X19" i="17"/>
  <c r="P13" i="17"/>
  <c r="Q179" i="17"/>
  <c r="X169" i="17"/>
  <c r="V167" i="17"/>
  <c r="V171" i="17" s="1"/>
  <c r="V15" i="17"/>
  <c r="X176" i="17"/>
  <c r="J168" i="17"/>
  <c r="P12" i="17"/>
  <c r="X12" i="17"/>
  <c r="M23" i="17"/>
  <c r="P169" i="17"/>
  <c r="I178" i="17"/>
  <c r="Y178" i="17" s="1"/>
  <c r="Y22" i="17"/>
  <c r="I176" i="17"/>
  <c r="Y176" i="17" s="1"/>
  <c r="Y20" i="17"/>
  <c r="I28" i="17"/>
  <c r="I184" i="17" s="1"/>
  <c r="F184" i="17"/>
  <c r="K193" i="17"/>
  <c r="K196" i="17" s="1"/>
  <c r="K40" i="17"/>
  <c r="S23" i="17"/>
  <c r="K23" i="17"/>
  <c r="F40" i="17"/>
  <c r="V175" i="17"/>
  <c r="V179" i="17" s="1"/>
  <c r="V23" i="17"/>
  <c r="P14" i="17"/>
  <c r="M179" i="17"/>
  <c r="L167" i="17"/>
  <c r="L171" i="17" s="1"/>
  <c r="L15" i="17"/>
  <c r="J15" i="17"/>
  <c r="P11" i="17"/>
  <c r="J167" i="17"/>
  <c r="X11" i="17"/>
  <c r="L23" i="17"/>
  <c r="N167" i="17"/>
  <c r="N171" i="17" s="1"/>
  <c r="N15" i="17"/>
  <c r="U23" i="17"/>
  <c r="X13" i="17"/>
  <c r="H179" i="17" l="1"/>
  <c r="Y175" i="17"/>
  <c r="Y179" i="17" s="1"/>
  <c r="X23" i="17"/>
  <c r="P54" i="17"/>
  <c r="X54" i="17"/>
  <c r="P93" i="17"/>
  <c r="X93" i="17"/>
  <c r="X62" i="17"/>
  <c r="Y23" i="17"/>
  <c r="X175" i="17"/>
  <c r="X179" i="17" s="1"/>
  <c r="P15" i="17"/>
  <c r="X15" i="17"/>
  <c r="X168" i="17"/>
  <c r="P168" i="17"/>
  <c r="I179" i="17"/>
  <c r="J171" i="17"/>
  <c r="X167" i="17"/>
  <c r="P167" i="17"/>
  <c r="X171" i="17" l="1"/>
  <c r="P171" i="17"/>
</calcChain>
</file>

<file path=xl/sharedStrings.xml><?xml version="1.0" encoding="utf-8"?>
<sst xmlns="http://schemas.openxmlformats.org/spreadsheetml/2006/main" count="4434" uniqueCount="94">
  <si>
    <t>0-4</t>
  </si>
  <si>
    <t>5-14</t>
  </si>
  <si>
    <t>15-24</t>
  </si>
  <si>
    <t>25-34</t>
  </si>
  <si>
    <t>35-44</t>
  </si>
  <si>
    <t>45-54</t>
  </si>
  <si>
    <t>55-64</t>
  </si>
  <si>
    <t>Total</t>
  </si>
  <si>
    <t>Relapse</t>
  </si>
  <si>
    <t>MANGHOPIR</t>
  </si>
  <si>
    <t>M</t>
  </si>
  <si>
    <t>F</t>
  </si>
  <si>
    <t>Rifampicin</t>
  </si>
  <si>
    <t>Isoniazid</t>
  </si>
  <si>
    <t>Resistant</t>
  </si>
  <si>
    <t>CONSOLIDATED</t>
  </si>
  <si>
    <t>SINDH</t>
  </si>
  <si>
    <t xml:space="preserve">  QUARTERLY REPORT ON TB CASES REGISTRATION</t>
  </si>
  <si>
    <t xml:space="preserve">                                                                       INDIVIDUAL/CONSOLIDATED (TICK ONE)</t>
  </si>
  <si>
    <t>TB - 07</t>
  </si>
  <si>
    <r>
      <t xml:space="preserve">Name of TB Care Facility (BMU) : </t>
    </r>
    <r>
      <rPr>
        <b/>
        <u/>
        <sz val="12"/>
        <rFont val="Calibri"/>
        <family val="2"/>
      </rPr>
      <t xml:space="preserve"> </t>
    </r>
  </si>
  <si>
    <t>KARACHI</t>
  </si>
  <si>
    <t xml:space="preserve">District : </t>
  </si>
  <si>
    <t>Central :</t>
  </si>
  <si>
    <t xml:space="preserve">Patients registered during  </t>
  </si>
  <si>
    <r>
      <t>1</t>
    </r>
    <r>
      <rPr>
        <b/>
        <u/>
        <vertAlign val="superscript"/>
        <sz val="16"/>
        <rFont val="Calibri"/>
        <family val="2"/>
      </rPr>
      <t>st</t>
    </r>
    <r>
      <rPr>
        <b/>
        <u/>
        <sz val="16"/>
        <rFont val="Calibri"/>
        <family val="2"/>
      </rPr>
      <t xml:space="preserve"> Quarter</t>
    </r>
  </si>
  <si>
    <t>Name of TB Coodinator/Facility incharge  :</t>
  </si>
  <si>
    <t>___________________________________________________</t>
  </si>
  <si>
    <t>Date of completion of this form :</t>
  </si>
  <si>
    <t>_______________________</t>
  </si>
  <si>
    <t xml:space="preserve"> </t>
  </si>
  <si>
    <t xml:space="preserve">Block 1: </t>
  </si>
  <si>
    <t>New (N)</t>
  </si>
  <si>
    <t>Relapse ®</t>
  </si>
  <si>
    <t>Previous Treatment History Unknown
(UK)</t>
  </si>
  <si>
    <t>N+R+UK</t>
  </si>
  <si>
    <t>Previously treated ( Excluding Relapse)</t>
  </si>
  <si>
    <t>All TB Cases Registered</t>
  </si>
  <si>
    <t>Treatment after failure</t>
  </si>
  <si>
    <t>Treatment after lost to follow-up</t>
  </si>
  <si>
    <t>Other previously treated</t>
  </si>
  <si>
    <t>Pulmonary, Bacteriologically Confermid</t>
  </si>
  <si>
    <t>Pulmonary , Clinically Diagnosed</t>
  </si>
  <si>
    <t>Extra Pulmonary, Bacteriologically Confermid</t>
  </si>
  <si>
    <t>Extra Pulmonary , Clinically Diagnosed</t>
  </si>
  <si>
    <t>Block 2: All New, Relapse and previous treatment history unknown Cases registered during the period by Age Group and Gender</t>
  </si>
  <si>
    <t>65 &amp; Above</t>
  </si>
  <si>
    <t>Block 3: Presumptive TB Cases Identified Laboratory Diagnosis and use of WRD</t>
  </si>
  <si>
    <t>Block 4 :  TB HIV  Activities</t>
  </si>
  <si>
    <t>Total
New OPD in Quarter</t>
  </si>
  <si>
    <t>No. of presumptive TB cases identified</t>
  </si>
  <si>
    <t>Presumptive
Identified through
Community
Referrals (LHWs)</t>
  </si>
  <si>
    <t>No. of Presumptive TB
Patients tested 
Using</t>
  </si>
  <si>
    <t>Among Presumptive 
TB cases tested  number reported B+</t>
  </si>
  <si>
    <t>Among all
registered
number of
B+ TB
Cases</t>
  </si>
  <si>
    <t>Amoung All
(N+R+UK)
number tested
by Gene Xpert</t>
  </si>
  <si>
    <t>No. of TB patients
tested for HIV</t>
  </si>
  <si>
    <t>TB Patients tested
positive for HIV</t>
  </si>
  <si>
    <t>HIV positive TB Patients put on ART</t>
  </si>
  <si>
    <t>AFB</t>
  </si>
  <si>
    <t>Xpert</t>
  </si>
  <si>
    <t>AFB + Xpert</t>
  </si>
  <si>
    <t>G.Tot</t>
  </si>
  <si>
    <t xml:space="preserve">HIV patient tested for TB </t>
  </si>
  <si>
    <t>HIV patients tested
positive for TB</t>
  </si>
  <si>
    <t>TB positive HIV
patients put on TB Tx</t>
  </si>
  <si>
    <t>HIV positive TB -Ve
patients on TPT</t>
  </si>
  <si>
    <t>15 &amp; above</t>
  </si>
  <si>
    <t>6H</t>
  </si>
  <si>
    <t>3HR</t>
  </si>
  <si>
    <t>3 HP</t>
  </si>
  <si>
    <t>Block 5 :  Bacteriologically Confermid TB Cases with DST Result</t>
  </si>
  <si>
    <t>Block 6 :  Contact Tracing HH *</t>
  </si>
  <si>
    <t>Fluoroquninolone</t>
  </si>
  <si>
    <t>Total No. of HH
of B+ PTB</t>
  </si>
  <si>
    <t>No. of HH contacts of
B+ PTB Cases
Screened</t>
  </si>
  <si>
    <t>Amoung HH
contact
screened, No. 
of TB Cases 
diagnosed</t>
  </si>
  <si>
    <t>No. of HH Contacts 
Initiated on TPT</t>
  </si>
  <si>
    <t>HIV negative 
Immuno compromised on 
TPT</t>
  </si>
  <si>
    <t>Result</t>
  </si>
  <si>
    <t>&lt;=5yrs</t>
  </si>
  <si>
    <t>&gt;5yrs</t>
  </si>
  <si>
    <t>15+</t>
  </si>
  <si>
    <t>New + UK</t>
  </si>
  <si>
    <t>Previously treated</t>
  </si>
  <si>
    <r>
      <t>2</t>
    </r>
    <r>
      <rPr>
        <b/>
        <u/>
        <vertAlign val="superscript"/>
        <sz val="16"/>
        <rFont val="Calibri"/>
        <family val="2"/>
      </rPr>
      <t>nd</t>
    </r>
    <r>
      <rPr>
        <b/>
        <u/>
        <sz val="16"/>
        <rFont val="Calibri"/>
        <family val="2"/>
      </rPr>
      <t xml:space="preserve"> Quarter</t>
    </r>
  </si>
  <si>
    <r>
      <t>3</t>
    </r>
    <r>
      <rPr>
        <b/>
        <u/>
        <vertAlign val="superscript"/>
        <sz val="16"/>
        <rFont val="Calibri"/>
        <family val="2"/>
      </rPr>
      <t>rd</t>
    </r>
    <r>
      <rPr>
        <b/>
        <u/>
        <sz val="16"/>
        <rFont val="Calibri"/>
        <family val="2"/>
      </rPr>
      <t xml:space="preserve"> Quarter</t>
    </r>
  </si>
  <si>
    <r>
      <t>4</t>
    </r>
    <r>
      <rPr>
        <b/>
        <u/>
        <vertAlign val="superscript"/>
        <sz val="16"/>
        <rFont val="Calibri"/>
        <family val="2"/>
      </rPr>
      <t>th</t>
    </r>
    <r>
      <rPr>
        <b/>
        <u/>
        <sz val="16"/>
        <rFont val="Calibri"/>
        <family val="2"/>
      </rPr>
      <t xml:space="preserve"> Quarter</t>
    </r>
  </si>
  <si>
    <t>COSOLIDATED</t>
  </si>
  <si>
    <t>GILGIT 
BALTISTAN</t>
  </si>
  <si>
    <t>AZAD KASHMIR</t>
  </si>
  <si>
    <t>Khyber 
Pukhtunkhwa</t>
  </si>
  <si>
    <t>All Project Total</t>
  </si>
  <si>
    <t>of Year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</si>
</sst>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  <font>
      <b/>
      <u/>
      <sz val="20"/>
      <name val="Calibri"/>
      <family val="2"/>
    </font>
    <font>
      <b/>
      <u/>
      <sz val="2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/>
      <sz val="12"/>
      <name val="Calibri"/>
      <family val="2"/>
    </font>
    <font>
      <b/>
      <u/>
      <sz val="16"/>
      <color theme="1"/>
      <name val="Calibri"/>
      <family val="2"/>
    </font>
    <font>
      <b/>
      <u/>
      <sz val="16"/>
      <name val="Calibri"/>
      <family val="2"/>
    </font>
    <font>
      <b/>
      <u/>
      <vertAlign val="superscript"/>
      <sz val="16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u/>
      <sz val="20"/>
      <color theme="1"/>
      <name val="Calibri"/>
      <family val="2"/>
    </font>
    <font>
      <b/>
      <i/>
      <u/>
      <sz val="16"/>
      <name val="Calibri"/>
      <family val="2"/>
    </font>
    <font>
      <b/>
      <i/>
      <u/>
      <sz val="16"/>
      <color theme="1"/>
      <name val="Calibri"/>
      <family val="2"/>
    </font>
    <font>
      <b/>
      <i/>
      <u/>
      <sz val="12"/>
      <color theme="1"/>
      <name val="Calibri"/>
      <family val="2"/>
    </font>
    <font>
      <b/>
      <i/>
      <u/>
      <sz val="14"/>
      <color theme="1"/>
      <name val="Calibri"/>
      <family val="2"/>
    </font>
    <font>
      <b/>
      <i/>
      <u/>
      <sz val="13"/>
      <color theme="1"/>
      <name val="Calibri"/>
      <family val="2"/>
    </font>
    <font>
      <b/>
      <i/>
      <u/>
      <sz val="17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8">
    <xf numFmtId="0" fontId="0" fillId="0" borderId="0" xfId="0"/>
    <xf numFmtId="0" fontId="8" fillId="0" borderId="0" xfId="0" applyFont="1" applyAlignment="1">
      <alignment vertical="center"/>
    </xf>
    <xf numFmtId="0" fontId="7" fillId="0" borderId="0" xfId="0" applyFont="1"/>
    <xf numFmtId="0" fontId="0" fillId="0" borderId="1" xfId="0" applyBorder="1"/>
    <xf numFmtId="0" fontId="14" fillId="4" borderId="10" xfId="0" applyFont="1" applyFill="1" applyBorder="1"/>
    <xf numFmtId="0" fontId="16" fillId="4" borderId="11" xfId="0" applyFont="1" applyFill="1" applyBorder="1"/>
    <xf numFmtId="0" fontId="16" fillId="0" borderId="11" xfId="0" applyFont="1" applyBorder="1"/>
    <xf numFmtId="0" fontId="0" fillId="0" borderId="12" xfId="0" applyBorder="1"/>
    <xf numFmtId="0" fontId="18" fillId="0" borderId="5" xfId="0" quotePrefix="1" applyFont="1" applyBorder="1" applyAlignment="1">
      <alignment vertical="center"/>
    </xf>
    <xf numFmtId="0" fontId="18" fillId="0" borderId="0" xfId="0" quotePrefix="1" applyFont="1" applyAlignment="1">
      <alignment vertical="center"/>
    </xf>
    <xf numFmtId="0" fontId="15" fillId="0" borderId="9" xfId="0" applyFont="1" applyBorder="1" applyAlignment="1">
      <alignment horizontal="center" vertical="center"/>
    </xf>
    <xf numFmtId="0" fontId="19" fillId="0" borderId="10" xfId="0" applyFont="1" applyBorder="1"/>
    <xf numFmtId="0" fontId="19" fillId="0" borderId="11" xfId="0" applyFont="1" applyBorder="1"/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0" fillId="0" borderId="11" xfId="0" applyBorder="1"/>
    <xf numFmtId="0" fontId="14" fillId="2" borderId="10" xfId="1" applyFont="1" applyBorder="1" applyAlignment="1"/>
    <xf numFmtId="0" fontId="17" fillId="2" borderId="11" xfId="1" applyFont="1" applyBorder="1" applyAlignment="1"/>
    <xf numFmtId="0" fontId="17" fillId="2" borderId="12" xfId="1" applyFont="1" applyBorder="1" applyAlignment="1"/>
    <xf numFmtId="0" fontId="17" fillId="0" borderId="5" xfId="1" applyFont="1" applyFill="1" applyBorder="1" applyAlignment="1"/>
    <xf numFmtId="0" fontId="17" fillId="2" borderId="3" xfId="1" applyFont="1" applyBorder="1" applyAlignment="1"/>
    <xf numFmtId="0" fontId="0" fillId="4" borderId="12" xfId="0" applyFill="1" applyBorder="1"/>
    <xf numFmtId="0" fontId="19" fillId="0" borderId="0" xfId="0" applyFont="1" applyAlignment="1">
      <alignment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9" fillId="0" borderId="0" xfId="0" applyFont="1" applyAlignment="1">
      <alignment wrapText="1"/>
    </xf>
    <xf numFmtId="0" fontId="15" fillId="0" borderId="9" xfId="0" applyFont="1" applyBorder="1" applyAlignment="1">
      <alignment vertical="center" wrapText="1"/>
    </xf>
    <xf numFmtId="1" fontId="15" fillId="0" borderId="9" xfId="0" quotePrefix="1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vertical="center" wrapText="1"/>
    </xf>
    <xf numFmtId="0" fontId="17" fillId="0" borderId="14" xfId="1" applyFont="1" applyFill="1" applyBorder="1" applyAlignment="1"/>
    <xf numFmtId="0" fontId="17" fillId="2" borderId="10" xfId="1" applyFont="1" applyBorder="1" applyAlignment="1"/>
    <xf numFmtId="0" fontId="6" fillId="4" borderId="12" xfId="0" applyFont="1" applyFill="1" applyBorder="1"/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8" fillId="0" borderId="0" xfId="0" applyFont="1"/>
    <xf numFmtId="0" fontId="19" fillId="0" borderId="14" xfId="0" applyFont="1" applyBorder="1"/>
    <xf numFmtId="0" fontId="18" fillId="0" borderId="9" xfId="0" applyFont="1" applyBorder="1" applyAlignment="1">
      <alignment horizontal="center"/>
    </xf>
    <xf numFmtId="0" fontId="18" fillId="0" borderId="9" xfId="0" applyFont="1" applyBorder="1"/>
    <xf numFmtId="0" fontId="18" fillId="0" borderId="9" xfId="0" applyFont="1" applyBorder="1" applyAlignment="1">
      <alignment horizontal="center" vertical="center"/>
    </xf>
    <xf numFmtId="16" fontId="18" fillId="0" borderId="9" xfId="0" quotePrefix="1" applyNumberFormat="1" applyFont="1" applyBorder="1" applyAlignment="1">
      <alignment horizontal="center"/>
    </xf>
    <xf numFmtId="0" fontId="18" fillId="0" borderId="9" xfId="0" applyFont="1" applyBorder="1" applyAlignment="1">
      <alignment vertical="center" wrapText="1"/>
    </xf>
    <xf numFmtId="0" fontId="18" fillId="0" borderId="9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center" vertical="center" wrapText="1"/>
    </xf>
    <xf numFmtId="0" fontId="0" fillId="5" borderId="0" xfId="0" applyFill="1"/>
    <xf numFmtId="0" fontId="7" fillId="5" borderId="0" xfId="0" applyFont="1" applyFill="1"/>
    <xf numFmtId="3" fontId="15" fillId="0" borderId="9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1" fontId="17" fillId="0" borderId="9" xfId="0" quotePrefix="1" applyNumberFormat="1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" fontId="15" fillId="0" borderId="9" xfId="0" applyNumberFormat="1" applyFont="1" applyBorder="1" applyAlignment="1">
      <alignment horizontal="center" vertical="center"/>
    </xf>
    <xf numFmtId="16" fontId="18" fillId="0" borderId="9" xfId="0" quotePrefix="1" applyNumberFormat="1" applyFont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9" fillId="0" borderId="14" xfId="0" applyFont="1" applyBorder="1" applyAlignment="1">
      <alignment horizontal="center"/>
    </xf>
    <xf numFmtId="0" fontId="18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4" fillId="2" borderId="10" xfId="1" applyFont="1" applyBorder="1" applyAlignment="1">
      <alignment horizontal="left" vertical="center"/>
    </xf>
    <xf numFmtId="0" fontId="17" fillId="2" borderId="11" xfId="1" applyFont="1" applyBorder="1" applyAlignment="1">
      <alignment horizontal="left" vertical="center"/>
    </xf>
    <xf numFmtId="0" fontId="17" fillId="2" borderId="12" xfId="1" applyFont="1" applyBorder="1" applyAlignment="1">
      <alignment horizontal="left" vertical="center"/>
    </xf>
    <xf numFmtId="1" fontId="15" fillId="0" borderId="9" xfId="0" applyNumberFormat="1" applyFont="1" applyBorder="1" applyAlignment="1">
      <alignment horizontal="center" vertical="center" wrapText="1"/>
    </xf>
    <xf numFmtId="3" fontId="0" fillId="0" borderId="0" xfId="0" applyNumberFormat="1"/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center"/>
    </xf>
    <xf numFmtId="0" fontId="18" fillId="0" borderId="15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3" fontId="15" fillId="0" borderId="13" xfId="0" applyNumberFormat="1" applyFont="1" applyBorder="1" applyAlignment="1">
      <alignment horizontal="center" vertical="center" wrapText="1"/>
    </xf>
    <xf numFmtId="3" fontId="15" fillId="0" borderId="14" xfId="0" applyNumberFormat="1" applyFont="1" applyBorder="1" applyAlignment="1">
      <alignment horizontal="center" vertical="center" wrapText="1"/>
    </xf>
    <xf numFmtId="3" fontId="15" fillId="0" borderId="15" xfId="0" applyNumberFormat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7" fillId="0" borderId="13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3" fontId="17" fillId="0" borderId="13" xfId="0" applyNumberFormat="1" applyFont="1" applyBorder="1" applyAlignment="1">
      <alignment horizontal="center" vertical="center" wrapText="1"/>
    </xf>
    <xf numFmtId="3" fontId="17" fillId="0" borderId="14" xfId="0" applyNumberFormat="1" applyFont="1" applyBorder="1" applyAlignment="1">
      <alignment horizontal="center" vertical="center" wrapText="1"/>
    </xf>
    <xf numFmtId="3" fontId="17" fillId="0" borderId="15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5" fillId="0" borderId="10" xfId="0" quotePrefix="1" applyFont="1" applyBorder="1" applyAlignment="1">
      <alignment horizontal="center" vertical="center"/>
    </xf>
    <xf numFmtId="0" fontId="15" fillId="0" borderId="12" xfId="0" quotePrefix="1" applyFont="1" applyBorder="1" applyAlignment="1">
      <alignment horizontal="center" vertical="center"/>
    </xf>
    <xf numFmtId="16" fontId="15" fillId="0" borderId="10" xfId="0" quotePrefix="1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1" fontId="17" fillId="0" borderId="10" xfId="0" quotePrefix="1" applyNumberFormat="1" applyFont="1" applyBorder="1" applyAlignment="1">
      <alignment horizontal="center" vertical="center" wrapText="1"/>
    </xf>
    <xf numFmtId="1" fontId="17" fillId="0" borderId="12" xfId="0" quotePrefix="1" applyNumberFormat="1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3" fontId="15" fillId="0" borderId="10" xfId="0" applyNumberFormat="1" applyFont="1" applyBorder="1" applyAlignment="1">
      <alignment horizontal="center" vertical="center"/>
    </xf>
    <xf numFmtId="3" fontId="15" fillId="0" borderId="12" xfId="0" applyNumberFormat="1" applyFont="1" applyBorder="1" applyAlignment="1">
      <alignment horizontal="center" vertical="center"/>
    </xf>
    <xf numFmtId="3" fontId="15" fillId="0" borderId="10" xfId="0" applyNumberFormat="1" applyFont="1" applyBorder="1" applyAlignment="1">
      <alignment horizontal="center"/>
    </xf>
    <xf numFmtId="3" fontId="15" fillId="0" borderId="12" xfId="0" applyNumberFormat="1" applyFont="1" applyBorder="1" applyAlignment="1">
      <alignment horizontal="center"/>
    </xf>
    <xf numFmtId="0" fontId="14" fillId="5" borderId="0" xfId="0" applyFont="1" applyFill="1" applyAlignment="1">
      <alignment horizontal="left" vertical="center"/>
    </xf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20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 wrapText="1"/>
    </xf>
    <xf numFmtId="0" fontId="12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left" vertical="center" wrapText="1"/>
    </xf>
    <xf numFmtId="1" fontId="15" fillId="0" borderId="10" xfId="0" quotePrefix="1" applyNumberFormat="1" applyFont="1" applyBorder="1" applyAlignment="1">
      <alignment horizontal="center" vertical="center" wrapText="1"/>
    </xf>
    <xf numFmtId="1" fontId="15" fillId="0" borderId="12" xfId="0" quotePrefix="1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1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2" fillId="6" borderId="0" xfId="0" applyFont="1" applyFill="1" applyAlignment="1">
      <alignment horizontal="center" vertical="center" wrapText="1"/>
    </xf>
    <xf numFmtId="0" fontId="22" fillId="6" borderId="0" xfId="0" applyFont="1" applyFill="1" applyAlignment="1">
      <alignment horizontal="center" vertical="center"/>
    </xf>
    <xf numFmtId="3" fontId="15" fillId="0" borderId="2" xfId="0" applyNumberFormat="1" applyFont="1" applyBorder="1" applyAlignment="1">
      <alignment horizontal="center" vertical="center" wrapText="1"/>
    </xf>
    <xf numFmtId="3" fontId="15" fillId="0" borderId="10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6" fontId="15" fillId="0" borderId="12" xfId="0" quotePrefix="1" applyNumberFormat="1" applyFont="1" applyBorder="1" applyAlignment="1">
      <alignment horizontal="center" vertical="center"/>
    </xf>
    <xf numFmtId="3" fontId="15" fillId="0" borderId="13" xfId="0" applyNumberFormat="1" applyFont="1" applyBorder="1" applyAlignment="1">
      <alignment horizontal="center" vertical="center"/>
    </xf>
    <xf numFmtId="3" fontId="15" fillId="0" borderId="14" xfId="0" applyNumberFormat="1" applyFont="1" applyBorder="1" applyAlignment="1">
      <alignment horizontal="center" vertical="center"/>
    </xf>
    <xf numFmtId="3" fontId="15" fillId="0" borderId="15" xfId="0" applyNumberFormat="1" applyFont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3" fontId="15" fillId="7" borderId="10" xfId="0" applyNumberFormat="1" applyFont="1" applyFill="1" applyBorder="1" applyAlignment="1">
      <alignment horizontal="center"/>
    </xf>
    <xf numFmtId="3" fontId="15" fillId="7" borderId="12" xfId="0" applyNumberFormat="1" applyFont="1" applyFill="1" applyBorder="1" applyAlignment="1">
      <alignment horizontal="center"/>
    </xf>
  </cellXfs>
  <cellStyles count="2">
    <cellStyle name="40% - Accent3" xfId="1" builtinId="39"/>
    <cellStyle name="Normal" xfId="0" builtinId="0"/>
  </cellStyles>
  <dxfs count="0"/>
  <tableStyles count="0" defaultTableStyle="TableStyleMedium2" defaultPivotStyle="PivotStyleLight16"/>
  <colors>
    <mruColors>
      <color rgb="FF0099CC"/>
      <color rgb="FF305496"/>
      <color rgb="FFBFBFBF"/>
      <color rgb="FFE8E8E8"/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342900</xdr:colOff>
      <xdr:row>0</xdr:row>
      <xdr:rowOff>152400</xdr:rowOff>
    </xdr:from>
    <xdr:to>
      <xdr:col>24</xdr:col>
      <xdr:colOff>2189</xdr:colOff>
      <xdr:row>3</xdr:row>
      <xdr:rowOff>119708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15775" y="95250"/>
          <a:ext cx="632571" cy="567383"/>
        </a:xfrm>
        <a:prstGeom prst="rect">
          <a:avLst/>
        </a:prstGeom>
      </xdr:spPr>
    </xdr:pic>
    <xdr:clientData/>
  </xdr:twoCellAnchor>
  <xdr:twoCellAnchor editAs="oneCell">
    <xdr:from>
      <xdr:col>0</xdr:col>
      <xdr:colOff>191191</xdr:colOff>
      <xdr:row>0</xdr:row>
      <xdr:rowOff>142875</xdr:rowOff>
    </xdr:from>
    <xdr:to>
      <xdr:col>1</xdr:col>
      <xdr:colOff>222743</xdr:colOff>
      <xdr:row>3</xdr:row>
      <xdr:rowOff>84457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191" y="95250"/>
          <a:ext cx="554561" cy="541657"/>
        </a:xfrm>
        <a:prstGeom prst="rect">
          <a:avLst/>
        </a:prstGeom>
      </xdr:spPr>
    </xdr:pic>
    <xdr:clientData/>
  </xdr:twoCellAnchor>
  <xdr:twoCellAnchor editAs="oneCell">
    <xdr:from>
      <xdr:col>22</xdr:col>
      <xdr:colOff>342900</xdr:colOff>
      <xdr:row>0</xdr:row>
      <xdr:rowOff>152400</xdr:rowOff>
    </xdr:from>
    <xdr:to>
      <xdr:col>24</xdr:col>
      <xdr:colOff>2189</xdr:colOff>
      <xdr:row>3</xdr:row>
      <xdr:rowOff>119708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15775" y="95250"/>
          <a:ext cx="632571" cy="567383"/>
        </a:xfrm>
        <a:prstGeom prst="rect">
          <a:avLst/>
        </a:prstGeom>
      </xdr:spPr>
    </xdr:pic>
    <xdr:clientData/>
  </xdr:twoCellAnchor>
  <xdr:twoCellAnchor editAs="oneCell">
    <xdr:from>
      <xdr:col>0</xdr:col>
      <xdr:colOff>191191</xdr:colOff>
      <xdr:row>0</xdr:row>
      <xdr:rowOff>142875</xdr:rowOff>
    </xdr:from>
    <xdr:to>
      <xdr:col>1</xdr:col>
      <xdr:colOff>222743</xdr:colOff>
      <xdr:row>3</xdr:row>
      <xdr:rowOff>84457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191" y="95250"/>
          <a:ext cx="554561" cy="541657"/>
        </a:xfrm>
        <a:prstGeom prst="rect">
          <a:avLst/>
        </a:prstGeom>
      </xdr:spPr>
    </xdr:pic>
    <xdr:clientData/>
  </xdr:twoCellAnchor>
  <xdr:twoCellAnchor editAs="oneCell">
    <xdr:from>
      <xdr:col>22</xdr:col>
      <xdr:colOff>342900</xdr:colOff>
      <xdr:row>0</xdr:row>
      <xdr:rowOff>152400</xdr:rowOff>
    </xdr:from>
    <xdr:to>
      <xdr:col>24</xdr:col>
      <xdr:colOff>2189</xdr:colOff>
      <xdr:row>3</xdr:row>
      <xdr:rowOff>119708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15775" y="95250"/>
          <a:ext cx="632571" cy="567383"/>
        </a:xfrm>
        <a:prstGeom prst="rect">
          <a:avLst/>
        </a:prstGeom>
      </xdr:spPr>
    </xdr:pic>
    <xdr:clientData/>
  </xdr:twoCellAnchor>
  <xdr:twoCellAnchor editAs="oneCell">
    <xdr:from>
      <xdr:col>0</xdr:col>
      <xdr:colOff>191191</xdr:colOff>
      <xdr:row>0</xdr:row>
      <xdr:rowOff>142875</xdr:rowOff>
    </xdr:from>
    <xdr:to>
      <xdr:col>1</xdr:col>
      <xdr:colOff>222743</xdr:colOff>
      <xdr:row>3</xdr:row>
      <xdr:rowOff>84457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191" y="95250"/>
          <a:ext cx="554561" cy="541657"/>
        </a:xfrm>
        <a:prstGeom prst="rect">
          <a:avLst/>
        </a:prstGeom>
      </xdr:spPr>
    </xdr:pic>
    <xdr:clientData/>
  </xdr:twoCellAnchor>
  <xdr:oneCellAnchor>
    <xdr:from>
      <xdr:col>23</xdr:col>
      <xdr:colOff>51549</xdr:colOff>
      <xdr:row>40</xdr:row>
      <xdr:rowOff>85164</xdr:rowOff>
    </xdr:from>
    <xdr:ext cx="544599" cy="497541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0199" y="10181664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90339</xdr:colOff>
      <xdr:row>40</xdr:row>
      <xdr:rowOff>64433</xdr:rowOff>
    </xdr:from>
    <xdr:ext cx="492367" cy="481463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9" y="10160933"/>
          <a:ext cx="492367" cy="481463"/>
        </a:xfrm>
        <a:prstGeom prst="rect">
          <a:avLst/>
        </a:prstGeom>
      </xdr:spPr>
    </xdr:pic>
    <xdr:clientData/>
  </xdr:oneCellAnchor>
  <xdr:oneCellAnchor>
    <xdr:from>
      <xdr:col>23</xdr:col>
      <xdr:colOff>85165</xdr:colOff>
      <xdr:row>79</xdr:row>
      <xdr:rowOff>85165</xdr:rowOff>
    </xdr:from>
    <xdr:ext cx="495537" cy="452718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43815" y="20497240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79133</xdr:colOff>
      <xdr:row>79</xdr:row>
      <xdr:rowOff>75641</xdr:rowOff>
    </xdr:from>
    <xdr:ext cx="458749" cy="448590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3" y="20487716"/>
          <a:ext cx="458749" cy="448590"/>
        </a:xfrm>
        <a:prstGeom prst="rect">
          <a:avLst/>
        </a:prstGeom>
      </xdr:spPr>
    </xdr:pic>
    <xdr:clientData/>
  </xdr:oneCellAnchor>
  <xdr:oneCellAnchor>
    <xdr:from>
      <xdr:col>23</xdr:col>
      <xdr:colOff>40341</xdr:colOff>
      <xdr:row>118</xdr:row>
      <xdr:rowOff>40342</xdr:rowOff>
    </xdr:from>
    <xdr:ext cx="624727" cy="570745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8991" y="30767992"/>
          <a:ext cx="624727" cy="570745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118</xdr:row>
      <xdr:rowOff>42022</xdr:rowOff>
    </xdr:from>
    <xdr:ext cx="530468" cy="518721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30769672"/>
          <a:ext cx="530468" cy="518721"/>
        </a:xfrm>
        <a:prstGeom prst="rect">
          <a:avLst/>
        </a:prstGeom>
      </xdr:spPr>
    </xdr:pic>
    <xdr:clientData/>
  </xdr:oneCellAnchor>
  <xdr:oneCellAnchor>
    <xdr:from>
      <xdr:col>23</xdr:col>
      <xdr:colOff>40341</xdr:colOff>
      <xdr:row>157</xdr:row>
      <xdr:rowOff>95250</xdr:rowOff>
    </xdr:from>
    <xdr:ext cx="624727" cy="475495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8991" y="41138475"/>
          <a:ext cx="624727" cy="475495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157</xdr:row>
      <xdr:rowOff>95250</xdr:rowOff>
    </xdr:from>
    <xdr:ext cx="557362" cy="449769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41138475"/>
          <a:ext cx="557362" cy="44976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342900</xdr:colOff>
      <xdr:row>0</xdr:row>
      <xdr:rowOff>152400</xdr:rowOff>
    </xdr:from>
    <xdr:to>
      <xdr:col>24</xdr:col>
      <xdr:colOff>2189</xdr:colOff>
      <xdr:row>3</xdr:row>
      <xdr:rowOff>119708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77700" y="95250"/>
          <a:ext cx="630839" cy="615008"/>
        </a:xfrm>
        <a:prstGeom prst="rect">
          <a:avLst/>
        </a:prstGeom>
      </xdr:spPr>
    </xdr:pic>
    <xdr:clientData/>
  </xdr:twoCellAnchor>
  <xdr:twoCellAnchor editAs="oneCell">
    <xdr:from>
      <xdr:col>0</xdr:col>
      <xdr:colOff>191191</xdr:colOff>
      <xdr:row>0</xdr:row>
      <xdr:rowOff>142875</xdr:rowOff>
    </xdr:from>
    <xdr:to>
      <xdr:col>1</xdr:col>
      <xdr:colOff>137018</xdr:colOff>
      <xdr:row>3</xdr:row>
      <xdr:rowOff>84457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191" y="95250"/>
          <a:ext cx="555427" cy="579757"/>
        </a:xfrm>
        <a:prstGeom prst="rect">
          <a:avLst/>
        </a:prstGeom>
      </xdr:spPr>
    </xdr:pic>
    <xdr:clientData/>
  </xdr:twoCellAnchor>
  <xdr:twoCellAnchor editAs="oneCell">
    <xdr:from>
      <xdr:col>22</xdr:col>
      <xdr:colOff>342900</xdr:colOff>
      <xdr:row>0</xdr:row>
      <xdr:rowOff>152400</xdr:rowOff>
    </xdr:from>
    <xdr:to>
      <xdr:col>24</xdr:col>
      <xdr:colOff>2189</xdr:colOff>
      <xdr:row>3</xdr:row>
      <xdr:rowOff>119708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77700" y="95250"/>
          <a:ext cx="630839" cy="615008"/>
        </a:xfrm>
        <a:prstGeom prst="rect">
          <a:avLst/>
        </a:prstGeom>
      </xdr:spPr>
    </xdr:pic>
    <xdr:clientData/>
  </xdr:twoCellAnchor>
  <xdr:twoCellAnchor editAs="oneCell">
    <xdr:from>
      <xdr:col>0</xdr:col>
      <xdr:colOff>191191</xdr:colOff>
      <xdr:row>0</xdr:row>
      <xdr:rowOff>142875</xdr:rowOff>
    </xdr:from>
    <xdr:to>
      <xdr:col>1</xdr:col>
      <xdr:colOff>137018</xdr:colOff>
      <xdr:row>3</xdr:row>
      <xdr:rowOff>84457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191" y="95250"/>
          <a:ext cx="555427" cy="579757"/>
        </a:xfrm>
        <a:prstGeom prst="rect">
          <a:avLst/>
        </a:prstGeom>
      </xdr:spPr>
    </xdr:pic>
    <xdr:clientData/>
  </xdr:twoCellAnchor>
  <xdr:twoCellAnchor editAs="oneCell">
    <xdr:from>
      <xdr:col>22</xdr:col>
      <xdr:colOff>342900</xdr:colOff>
      <xdr:row>0</xdr:row>
      <xdr:rowOff>152400</xdr:rowOff>
    </xdr:from>
    <xdr:to>
      <xdr:col>24</xdr:col>
      <xdr:colOff>2189</xdr:colOff>
      <xdr:row>3</xdr:row>
      <xdr:rowOff>119708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77700" y="95250"/>
          <a:ext cx="630839" cy="615008"/>
        </a:xfrm>
        <a:prstGeom prst="rect">
          <a:avLst/>
        </a:prstGeom>
      </xdr:spPr>
    </xdr:pic>
    <xdr:clientData/>
  </xdr:twoCellAnchor>
  <xdr:twoCellAnchor editAs="oneCell">
    <xdr:from>
      <xdr:col>0</xdr:col>
      <xdr:colOff>191191</xdr:colOff>
      <xdr:row>0</xdr:row>
      <xdr:rowOff>142875</xdr:rowOff>
    </xdr:from>
    <xdr:to>
      <xdr:col>1</xdr:col>
      <xdr:colOff>137018</xdr:colOff>
      <xdr:row>3</xdr:row>
      <xdr:rowOff>84457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1191" y="95250"/>
          <a:ext cx="555427" cy="579757"/>
        </a:xfrm>
        <a:prstGeom prst="rect">
          <a:avLst/>
        </a:prstGeom>
      </xdr:spPr>
    </xdr:pic>
    <xdr:clientData/>
  </xdr:twoCellAnchor>
  <xdr:oneCellAnchor>
    <xdr:from>
      <xdr:col>23</xdr:col>
      <xdr:colOff>51549</xdr:colOff>
      <xdr:row>40</xdr:row>
      <xdr:rowOff>85164</xdr:rowOff>
    </xdr:from>
    <xdr:ext cx="544599" cy="497541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2124" y="10010214"/>
          <a:ext cx="544599" cy="497541"/>
        </a:xfrm>
        <a:prstGeom prst="rect">
          <a:avLst/>
        </a:prstGeom>
      </xdr:spPr>
    </xdr:pic>
    <xdr:clientData/>
  </xdr:oneCellAnchor>
  <xdr:oneCellAnchor>
    <xdr:from>
      <xdr:col>0</xdr:col>
      <xdr:colOff>90339</xdr:colOff>
      <xdr:row>40</xdr:row>
      <xdr:rowOff>64433</xdr:rowOff>
    </xdr:from>
    <xdr:ext cx="492367" cy="481463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39" y="9989483"/>
          <a:ext cx="492367" cy="481463"/>
        </a:xfrm>
        <a:prstGeom prst="rect">
          <a:avLst/>
        </a:prstGeom>
      </xdr:spPr>
    </xdr:pic>
    <xdr:clientData/>
  </xdr:oneCellAnchor>
  <xdr:oneCellAnchor>
    <xdr:from>
      <xdr:col>23</xdr:col>
      <xdr:colOff>85165</xdr:colOff>
      <xdr:row>79</xdr:row>
      <xdr:rowOff>85165</xdr:rowOff>
    </xdr:from>
    <xdr:ext cx="495537" cy="452718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5740" y="19582840"/>
          <a:ext cx="495537" cy="452718"/>
        </a:xfrm>
        <a:prstGeom prst="rect">
          <a:avLst/>
        </a:prstGeom>
      </xdr:spPr>
    </xdr:pic>
    <xdr:clientData/>
  </xdr:oneCellAnchor>
  <xdr:oneCellAnchor>
    <xdr:from>
      <xdr:col>0</xdr:col>
      <xdr:colOff>79133</xdr:colOff>
      <xdr:row>79</xdr:row>
      <xdr:rowOff>75641</xdr:rowOff>
    </xdr:from>
    <xdr:ext cx="458749" cy="44859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3" y="19573316"/>
          <a:ext cx="458749" cy="448590"/>
        </a:xfrm>
        <a:prstGeom prst="rect">
          <a:avLst/>
        </a:prstGeom>
      </xdr:spPr>
    </xdr:pic>
    <xdr:clientData/>
  </xdr:oneCellAnchor>
  <xdr:oneCellAnchor>
    <xdr:from>
      <xdr:col>23</xdr:col>
      <xdr:colOff>40341</xdr:colOff>
      <xdr:row>118</xdr:row>
      <xdr:rowOff>40342</xdr:rowOff>
    </xdr:from>
    <xdr:ext cx="624727" cy="570745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0916" y="29082067"/>
          <a:ext cx="624727" cy="570745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118</xdr:row>
      <xdr:rowOff>42022</xdr:rowOff>
    </xdr:from>
    <xdr:ext cx="530468" cy="518721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29083747"/>
          <a:ext cx="530468" cy="518721"/>
        </a:xfrm>
        <a:prstGeom prst="rect">
          <a:avLst/>
        </a:prstGeom>
      </xdr:spPr>
    </xdr:pic>
    <xdr:clientData/>
  </xdr:oneCellAnchor>
  <xdr:oneCellAnchor>
    <xdr:from>
      <xdr:col>23</xdr:col>
      <xdr:colOff>40341</xdr:colOff>
      <xdr:row>157</xdr:row>
      <xdr:rowOff>95250</xdr:rowOff>
    </xdr:from>
    <xdr:ext cx="624727" cy="475495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60916" y="38785800"/>
          <a:ext cx="624727" cy="475495"/>
        </a:xfrm>
        <a:prstGeom prst="rect">
          <a:avLst/>
        </a:prstGeom>
      </xdr:spPr>
    </xdr:pic>
    <xdr:clientData/>
  </xdr:oneCellAnchor>
  <xdr:oneCellAnchor>
    <xdr:from>
      <xdr:col>0</xdr:col>
      <xdr:colOff>79132</xdr:colOff>
      <xdr:row>157</xdr:row>
      <xdr:rowOff>95250</xdr:rowOff>
    </xdr:from>
    <xdr:ext cx="557362" cy="449769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32" y="38785800"/>
          <a:ext cx="557362" cy="44976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99CC"/>
  </sheetPr>
  <dimension ref="A1:Y196"/>
  <sheetViews>
    <sheetView tabSelected="1" topLeftCell="A178" zoomScaleNormal="100" zoomScaleSheetLayoutView="100" workbookViewId="0">
      <selection activeCell="T184" sqref="T184:Y184"/>
    </sheetView>
  </sheetViews>
  <sheetFormatPr defaultRowHeight="13.8" x14ac:dyDescent="0.25"/>
  <cols>
    <col min="1" max="1" width="7.88671875" customWidth="1"/>
    <col min="2" max="2" width="11.44140625" customWidth="1"/>
    <col min="3" max="3" width="11" customWidth="1"/>
    <col min="4" max="6" width="7.33203125" customWidth="1"/>
    <col min="7" max="7" width="7.6640625" customWidth="1"/>
    <col min="8" max="8" width="8.33203125" customWidth="1"/>
    <col min="9" max="9" width="7.33203125" customWidth="1"/>
    <col min="10" max="10" width="9.6640625" customWidth="1"/>
    <col min="11" max="11" width="8" customWidth="1"/>
    <col min="12" max="14" width="7.33203125" customWidth="1"/>
    <col min="15" max="15" width="7.5546875" customWidth="1"/>
    <col min="16" max="25" width="7.33203125" customWidth="1"/>
  </cols>
  <sheetData>
    <row r="1" spans="1:25" ht="7.5" customHeight="1" x14ac:dyDescent="0.25"/>
    <row r="2" spans="1:25" ht="18" customHeight="1" x14ac:dyDescent="0.45">
      <c r="A2" s="120" t="s">
        <v>17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</row>
    <row r="3" spans="1:25" ht="21" customHeight="1" x14ac:dyDescent="0.25">
      <c r="A3" s="111" t="s">
        <v>18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"/>
      <c r="U3" s="112" t="s">
        <v>19</v>
      </c>
      <c r="V3" s="112"/>
      <c r="W3" s="1"/>
      <c r="X3" s="1"/>
      <c r="Y3" s="1"/>
    </row>
    <row r="4" spans="1:25" ht="30.9" customHeight="1" x14ac:dyDescent="0.25">
      <c r="A4" s="113" t="s">
        <v>20</v>
      </c>
      <c r="B4" s="113"/>
      <c r="C4" s="113"/>
      <c r="D4" s="113"/>
      <c r="E4" s="114" t="s">
        <v>9</v>
      </c>
      <c r="F4" s="114"/>
      <c r="G4" s="114"/>
      <c r="H4" s="116" t="s">
        <v>22</v>
      </c>
      <c r="I4" s="116"/>
      <c r="J4" s="115"/>
      <c r="K4" s="115"/>
      <c r="L4" s="116" t="s">
        <v>23</v>
      </c>
      <c r="M4" s="116"/>
      <c r="N4" s="117"/>
      <c r="O4" s="117"/>
      <c r="P4" s="117"/>
      <c r="Q4" s="118" t="s">
        <v>24</v>
      </c>
      <c r="R4" s="118"/>
      <c r="S4" s="118"/>
      <c r="T4" s="118"/>
      <c r="U4" s="119" t="s">
        <v>25</v>
      </c>
      <c r="V4" s="119"/>
      <c r="W4" s="119"/>
      <c r="X4" s="147" t="s">
        <v>93</v>
      </c>
      <c r="Y4" s="147"/>
    </row>
    <row r="5" spans="1:25" ht="5.25" customHeight="1" x14ac:dyDescent="0.25">
      <c r="Q5" s="118"/>
      <c r="R5" s="118"/>
      <c r="S5" s="118"/>
      <c r="T5" s="118"/>
      <c r="U5" s="119"/>
      <c r="V5" s="119"/>
      <c r="W5" s="119"/>
      <c r="X5" s="147"/>
      <c r="Y5" s="147"/>
    </row>
    <row r="6" spans="1:25" ht="15.75" customHeight="1" x14ac:dyDescent="0.3">
      <c r="A6" s="166" t="s">
        <v>26</v>
      </c>
      <c r="B6" s="166"/>
      <c r="C6" s="166"/>
      <c r="D6" s="166"/>
      <c r="E6" s="166"/>
      <c r="F6" s="166"/>
      <c r="G6" s="167" t="s">
        <v>27</v>
      </c>
      <c r="H6" s="167"/>
      <c r="I6" s="167"/>
      <c r="J6" s="167"/>
      <c r="K6" s="167"/>
      <c r="L6" s="167"/>
      <c r="M6" s="167"/>
      <c r="N6" s="2"/>
      <c r="Q6" s="168" t="s">
        <v>28</v>
      </c>
      <c r="R6" s="168"/>
      <c r="S6" s="168"/>
      <c r="T6" s="168"/>
      <c r="U6" s="168"/>
      <c r="V6" s="148" t="s">
        <v>29</v>
      </c>
      <c r="W6" s="148"/>
      <c r="X6" s="148"/>
      <c r="Y6" s="148"/>
    </row>
    <row r="7" spans="1:25" ht="7.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" customHeight="1" x14ac:dyDescent="0.25">
      <c r="A8" s="149" t="s">
        <v>31</v>
      </c>
      <c r="B8" s="150"/>
      <c r="C8" s="150"/>
      <c r="D8" s="150"/>
      <c r="E8" s="150"/>
      <c r="F8" s="150"/>
      <c r="G8" s="150"/>
      <c r="H8" s="150"/>
      <c r="I8" s="151"/>
      <c r="J8" s="152" t="s">
        <v>32</v>
      </c>
      <c r="K8" s="153"/>
      <c r="L8" s="152" t="s">
        <v>33</v>
      </c>
      <c r="M8" s="153"/>
      <c r="N8" s="91" t="s">
        <v>34</v>
      </c>
      <c r="O8" s="92"/>
      <c r="P8" s="152" t="s">
        <v>35</v>
      </c>
      <c r="Q8" s="153"/>
      <c r="R8" s="68" t="s">
        <v>36</v>
      </c>
      <c r="S8" s="69"/>
      <c r="T8" s="69"/>
      <c r="U8" s="69"/>
      <c r="V8" s="69"/>
      <c r="W8" s="70"/>
      <c r="X8" s="152" t="s">
        <v>7</v>
      </c>
      <c r="Y8" s="153"/>
    </row>
    <row r="9" spans="1:25" ht="23.25" customHeight="1" x14ac:dyDescent="0.25">
      <c r="A9" s="158" t="s">
        <v>37</v>
      </c>
      <c r="B9" s="159"/>
      <c r="C9" s="159"/>
      <c r="D9" s="159"/>
      <c r="E9" s="159"/>
      <c r="F9" s="159"/>
      <c r="G9" s="159"/>
      <c r="H9" s="159"/>
      <c r="I9" s="160"/>
      <c r="J9" s="154"/>
      <c r="K9" s="155"/>
      <c r="L9" s="154"/>
      <c r="M9" s="155"/>
      <c r="N9" s="93"/>
      <c r="O9" s="94"/>
      <c r="P9" s="154"/>
      <c r="Q9" s="155"/>
      <c r="R9" s="164" t="s">
        <v>38</v>
      </c>
      <c r="S9" s="164"/>
      <c r="T9" s="164" t="s">
        <v>39</v>
      </c>
      <c r="U9" s="164"/>
      <c r="V9" s="164" t="s">
        <v>40</v>
      </c>
      <c r="W9" s="164"/>
      <c r="X9" s="154"/>
      <c r="Y9" s="155"/>
    </row>
    <row r="10" spans="1:25" x14ac:dyDescent="0.25">
      <c r="A10" s="161"/>
      <c r="B10" s="162"/>
      <c r="C10" s="162"/>
      <c r="D10" s="162"/>
      <c r="E10" s="162"/>
      <c r="F10" s="162"/>
      <c r="G10" s="162"/>
      <c r="H10" s="162"/>
      <c r="I10" s="163"/>
      <c r="J10" s="156"/>
      <c r="K10" s="157"/>
      <c r="L10" s="156"/>
      <c r="M10" s="157"/>
      <c r="N10" s="95"/>
      <c r="O10" s="96"/>
      <c r="P10" s="156"/>
      <c r="Q10" s="157"/>
      <c r="R10" s="165"/>
      <c r="S10" s="165"/>
      <c r="T10" s="165"/>
      <c r="U10" s="165"/>
      <c r="V10" s="165"/>
      <c r="W10" s="165"/>
      <c r="X10" s="156"/>
      <c r="Y10" s="157"/>
    </row>
    <row r="11" spans="1:25" ht="18" customHeight="1" x14ac:dyDescent="0.3">
      <c r="A11" s="106" t="s">
        <v>41</v>
      </c>
      <c r="B11" s="107"/>
      <c r="C11" s="107"/>
      <c r="D11" s="107"/>
      <c r="E11" s="107"/>
      <c r="F11" s="107"/>
      <c r="G11" s="107"/>
      <c r="H11" s="107"/>
      <c r="I11" s="108"/>
      <c r="J11" s="137">
        <v>6</v>
      </c>
      <c r="K11" s="138"/>
      <c r="L11" s="137">
        <v>0</v>
      </c>
      <c r="M11" s="138"/>
      <c r="N11" s="137">
        <v>0</v>
      </c>
      <c r="O11" s="138"/>
      <c r="P11" s="68">
        <v>6</v>
      </c>
      <c r="Q11" s="70"/>
      <c r="R11" s="137">
        <v>0</v>
      </c>
      <c r="S11" s="138"/>
      <c r="T11" s="137">
        <v>0</v>
      </c>
      <c r="U11" s="138"/>
      <c r="V11" s="137">
        <v>0</v>
      </c>
      <c r="W11" s="138"/>
      <c r="X11" s="80">
        <v>6</v>
      </c>
      <c r="Y11" s="82"/>
    </row>
    <row r="12" spans="1:25" ht="18" customHeight="1" x14ac:dyDescent="0.3">
      <c r="A12" s="106" t="s">
        <v>42</v>
      </c>
      <c r="B12" s="107"/>
      <c r="C12" s="107"/>
      <c r="D12" s="107"/>
      <c r="E12" s="107"/>
      <c r="F12" s="107"/>
      <c r="G12" s="107"/>
      <c r="H12" s="107"/>
      <c r="I12" s="108"/>
      <c r="J12" s="137">
        <v>1</v>
      </c>
      <c r="K12" s="138"/>
      <c r="L12" s="137">
        <v>0</v>
      </c>
      <c r="M12" s="138"/>
      <c r="N12" s="137">
        <v>0</v>
      </c>
      <c r="O12" s="138"/>
      <c r="P12" s="68">
        <v>1</v>
      </c>
      <c r="Q12" s="70"/>
      <c r="R12" s="137">
        <v>0</v>
      </c>
      <c r="S12" s="138"/>
      <c r="T12" s="137">
        <v>0</v>
      </c>
      <c r="U12" s="138"/>
      <c r="V12" s="137">
        <v>0</v>
      </c>
      <c r="W12" s="138"/>
      <c r="X12" s="80">
        <v>1</v>
      </c>
      <c r="Y12" s="82"/>
    </row>
    <row r="13" spans="1:25" ht="18" customHeight="1" x14ac:dyDescent="0.3">
      <c r="A13" s="106" t="s">
        <v>43</v>
      </c>
      <c r="B13" s="107"/>
      <c r="C13" s="107"/>
      <c r="D13" s="107"/>
      <c r="E13" s="107"/>
      <c r="F13" s="107"/>
      <c r="G13" s="107"/>
      <c r="H13" s="107"/>
      <c r="I13" s="108"/>
      <c r="J13" s="137">
        <v>0</v>
      </c>
      <c r="K13" s="138"/>
      <c r="L13" s="137">
        <v>0</v>
      </c>
      <c r="M13" s="138"/>
      <c r="N13" s="137">
        <v>0</v>
      </c>
      <c r="O13" s="138"/>
      <c r="P13" s="68">
        <v>0</v>
      </c>
      <c r="Q13" s="70"/>
      <c r="R13" s="137">
        <v>0</v>
      </c>
      <c r="S13" s="138"/>
      <c r="T13" s="137">
        <v>0</v>
      </c>
      <c r="U13" s="138"/>
      <c r="V13" s="137">
        <v>0</v>
      </c>
      <c r="W13" s="138"/>
      <c r="X13" s="80">
        <v>0</v>
      </c>
      <c r="Y13" s="82"/>
    </row>
    <row r="14" spans="1:25" ht="18" customHeight="1" x14ac:dyDescent="0.3">
      <c r="A14" s="106" t="s">
        <v>44</v>
      </c>
      <c r="B14" s="107"/>
      <c r="C14" s="107"/>
      <c r="D14" s="107"/>
      <c r="E14" s="107"/>
      <c r="F14" s="107"/>
      <c r="G14" s="107"/>
      <c r="H14" s="107"/>
      <c r="I14" s="108"/>
      <c r="J14" s="137">
        <v>0</v>
      </c>
      <c r="K14" s="138"/>
      <c r="L14" s="137">
        <v>0</v>
      </c>
      <c r="M14" s="138"/>
      <c r="N14" s="137">
        <v>0</v>
      </c>
      <c r="O14" s="138"/>
      <c r="P14" s="68">
        <v>0</v>
      </c>
      <c r="Q14" s="70"/>
      <c r="R14" s="137">
        <v>0</v>
      </c>
      <c r="S14" s="138"/>
      <c r="T14" s="137">
        <v>0</v>
      </c>
      <c r="U14" s="138"/>
      <c r="V14" s="137">
        <v>0</v>
      </c>
      <c r="W14" s="138"/>
      <c r="X14" s="80">
        <v>0</v>
      </c>
      <c r="Y14" s="82"/>
    </row>
    <row r="15" spans="1:25" ht="18" customHeight="1" x14ac:dyDescent="0.3">
      <c r="A15" s="106" t="s">
        <v>7</v>
      </c>
      <c r="B15" s="107"/>
      <c r="C15" s="107"/>
      <c r="D15" s="107"/>
      <c r="E15" s="107"/>
      <c r="F15" s="107"/>
      <c r="G15" s="107"/>
      <c r="H15" s="107"/>
      <c r="I15" s="108"/>
      <c r="J15" s="68">
        <v>7</v>
      </c>
      <c r="K15" s="70"/>
      <c r="L15" s="68">
        <v>0</v>
      </c>
      <c r="M15" s="70"/>
      <c r="N15" s="68">
        <v>0</v>
      </c>
      <c r="O15" s="70"/>
      <c r="P15" s="68">
        <v>7</v>
      </c>
      <c r="Q15" s="70"/>
      <c r="R15" s="68">
        <v>0</v>
      </c>
      <c r="S15" s="70"/>
      <c r="T15" s="68">
        <v>0</v>
      </c>
      <c r="U15" s="70"/>
      <c r="V15" s="68">
        <v>0</v>
      </c>
      <c r="W15" s="70"/>
      <c r="X15" s="80">
        <v>7</v>
      </c>
      <c r="Y15" s="82"/>
    </row>
    <row r="16" spans="1:25" ht="15.6" x14ac:dyDescent="0.3">
      <c r="A16" s="4" t="s">
        <v>45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6"/>
      <c r="S16" s="6"/>
      <c r="T16" s="6"/>
      <c r="U16" s="6"/>
      <c r="V16" s="6"/>
      <c r="W16" s="6"/>
      <c r="X16" s="6"/>
      <c r="Y16" s="7"/>
    </row>
    <row r="17" spans="1:25" x14ac:dyDescent="0.25">
      <c r="A17" s="71"/>
      <c r="B17" s="72"/>
      <c r="C17" s="72"/>
      <c r="D17" s="72"/>
      <c r="E17" s="72"/>
      <c r="F17" s="72"/>
      <c r="G17" s="73"/>
      <c r="H17" s="68" t="s">
        <v>0</v>
      </c>
      <c r="I17" s="69"/>
      <c r="J17" s="136" t="s">
        <v>1</v>
      </c>
      <c r="K17" s="69"/>
      <c r="L17" s="134" t="s">
        <v>2</v>
      </c>
      <c r="M17" s="69"/>
      <c r="N17" s="134" t="s">
        <v>3</v>
      </c>
      <c r="O17" s="69"/>
      <c r="P17" s="134" t="s">
        <v>4</v>
      </c>
      <c r="Q17" s="135"/>
      <c r="R17" s="134" t="s">
        <v>5</v>
      </c>
      <c r="S17" s="69"/>
      <c r="T17" s="134" t="s">
        <v>6</v>
      </c>
      <c r="U17" s="69"/>
      <c r="V17" s="134" t="s">
        <v>46</v>
      </c>
      <c r="W17" s="69"/>
      <c r="X17" s="134" t="s">
        <v>7</v>
      </c>
      <c r="Y17" s="135"/>
    </row>
    <row r="18" spans="1:25" x14ac:dyDescent="0.25">
      <c r="A18" s="74"/>
      <c r="B18" s="75"/>
      <c r="C18" s="75"/>
      <c r="D18" s="75"/>
      <c r="E18" s="75"/>
      <c r="F18" s="75"/>
      <c r="G18" s="76"/>
      <c r="H18" s="10" t="s">
        <v>10</v>
      </c>
      <c r="I18" s="10" t="s">
        <v>11</v>
      </c>
      <c r="J18" s="10" t="s">
        <v>10</v>
      </c>
      <c r="K18" s="10" t="s">
        <v>11</v>
      </c>
      <c r="L18" s="10" t="s">
        <v>10</v>
      </c>
      <c r="M18" s="10" t="s">
        <v>11</v>
      </c>
      <c r="N18" s="10" t="s">
        <v>10</v>
      </c>
      <c r="O18" s="10" t="s">
        <v>11</v>
      </c>
      <c r="P18" s="10" t="s">
        <v>10</v>
      </c>
      <c r="Q18" s="10" t="s">
        <v>11</v>
      </c>
      <c r="R18" s="10" t="s">
        <v>10</v>
      </c>
      <c r="S18" s="10" t="s">
        <v>11</v>
      </c>
      <c r="T18" s="10" t="s">
        <v>10</v>
      </c>
      <c r="U18" s="10" t="s">
        <v>11</v>
      </c>
      <c r="V18" s="10" t="s">
        <v>10</v>
      </c>
      <c r="W18" s="10" t="s">
        <v>11</v>
      </c>
      <c r="X18" s="10" t="s">
        <v>10</v>
      </c>
      <c r="Y18" s="10" t="s">
        <v>11</v>
      </c>
    </row>
    <row r="19" spans="1:25" ht="18" customHeight="1" x14ac:dyDescent="0.25">
      <c r="A19" s="106" t="s">
        <v>41</v>
      </c>
      <c r="B19" s="107"/>
      <c r="C19" s="107"/>
      <c r="D19" s="107"/>
      <c r="E19" s="107"/>
      <c r="F19" s="107"/>
      <c r="G19" s="108"/>
      <c r="H19" s="52">
        <v>0</v>
      </c>
      <c r="I19" s="52">
        <v>0</v>
      </c>
      <c r="J19" s="52">
        <v>0</v>
      </c>
      <c r="K19" s="52">
        <v>2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2</v>
      </c>
      <c r="R19" s="52">
        <v>0</v>
      </c>
      <c r="S19" s="52">
        <v>0</v>
      </c>
      <c r="T19" s="52">
        <v>1</v>
      </c>
      <c r="U19" s="52">
        <v>0</v>
      </c>
      <c r="V19" s="52">
        <v>1</v>
      </c>
      <c r="W19" s="52">
        <v>0</v>
      </c>
      <c r="X19" s="10">
        <v>2</v>
      </c>
      <c r="Y19" s="10">
        <v>4</v>
      </c>
    </row>
    <row r="20" spans="1:25" ht="18" customHeight="1" x14ac:dyDescent="0.25">
      <c r="A20" s="106" t="s">
        <v>42</v>
      </c>
      <c r="B20" s="107"/>
      <c r="C20" s="107"/>
      <c r="D20" s="107"/>
      <c r="E20" s="107"/>
      <c r="F20" s="107"/>
      <c r="G20" s="108"/>
      <c r="H20" s="52">
        <v>0</v>
      </c>
      <c r="I20" s="52">
        <v>0</v>
      </c>
      <c r="J20" s="52">
        <v>0</v>
      </c>
      <c r="K20" s="52">
        <v>0</v>
      </c>
      <c r="L20" s="52">
        <v>1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10">
        <v>1</v>
      </c>
      <c r="Y20" s="10">
        <v>0</v>
      </c>
    </row>
    <row r="21" spans="1:25" ht="18" customHeight="1" x14ac:dyDescent="0.25">
      <c r="A21" s="106" t="s">
        <v>43</v>
      </c>
      <c r="B21" s="107"/>
      <c r="C21" s="107"/>
      <c r="D21" s="107"/>
      <c r="E21" s="107"/>
      <c r="F21" s="107"/>
      <c r="G21" s="108"/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10">
        <v>0</v>
      </c>
      <c r="Y21" s="10">
        <v>0</v>
      </c>
    </row>
    <row r="22" spans="1:25" ht="18" customHeight="1" x14ac:dyDescent="0.25">
      <c r="A22" s="106" t="s">
        <v>44</v>
      </c>
      <c r="B22" s="107"/>
      <c r="C22" s="107"/>
      <c r="D22" s="107"/>
      <c r="E22" s="107"/>
      <c r="F22" s="107"/>
      <c r="G22" s="108"/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  <c r="Q22" s="52">
        <v>0</v>
      </c>
      <c r="R22" s="52">
        <v>0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10">
        <v>0</v>
      </c>
      <c r="Y22" s="10">
        <v>0</v>
      </c>
    </row>
    <row r="23" spans="1:25" ht="18" customHeight="1" x14ac:dyDescent="0.25">
      <c r="A23" s="106" t="s">
        <v>7</v>
      </c>
      <c r="B23" s="107"/>
      <c r="C23" s="107"/>
      <c r="D23" s="107"/>
      <c r="E23" s="107"/>
      <c r="F23" s="107"/>
      <c r="G23" s="108"/>
      <c r="H23" s="10">
        <v>0</v>
      </c>
      <c r="I23" s="10">
        <v>0</v>
      </c>
      <c r="J23" s="10">
        <v>0</v>
      </c>
      <c r="K23" s="10">
        <v>2</v>
      </c>
      <c r="L23" s="10">
        <v>1</v>
      </c>
      <c r="M23" s="10">
        <v>0</v>
      </c>
      <c r="N23" s="10">
        <v>0</v>
      </c>
      <c r="O23" s="10">
        <v>0</v>
      </c>
      <c r="P23" s="10">
        <v>0</v>
      </c>
      <c r="Q23" s="10">
        <v>2</v>
      </c>
      <c r="R23" s="10">
        <v>0</v>
      </c>
      <c r="S23" s="10">
        <v>0</v>
      </c>
      <c r="T23" s="10">
        <v>1</v>
      </c>
      <c r="U23" s="10">
        <v>0</v>
      </c>
      <c r="V23" s="10">
        <v>1</v>
      </c>
      <c r="W23" s="10">
        <v>0</v>
      </c>
      <c r="X23" s="10">
        <v>3</v>
      </c>
      <c r="Y23" s="10">
        <v>4</v>
      </c>
    </row>
    <row r="24" spans="1:25" ht="6.75" customHeight="1" x14ac:dyDescent="0.25">
      <c r="A24" s="11"/>
      <c r="B24" s="12"/>
      <c r="C24" s="12"/>
      <c r="D24" s="12"/>
      <c r="E24" s="12"/>
      <c r="F24" s="13"/>
      <c r="G24" s="13"/>
      <c r="H24" s="13"/>
      <c r="I24" s="13"/>
      <c r="J24" s="13"/>
      <c r="K24" s="13"/>
      <c r="L24" s="14"/>
      <c r="M24" s="13"/>
      <c r="N24" s="15"/>
      <c r="O24" s="16"/>
      <c r="P24" s="13"/>
      <c r="Q24" s="13"/>
      <c r="R24" s="13"/>
      <c r="S24" s="13"/>
      <c r="T24" s="13"/>
      <c r="U24" s="13"/>
      <c r="V24" s="13"/>
      <c r="W24" s="13"/>
      <c r="X24" s="13"/>
      <c r="Y24" s="17"/>
    </row>
    <row r="25" spans="1:25" ht="18" customHeight="1" x14ac:dyDescent="0.3">
      <c r="A25" s="18" t="s">
        <v>47</v>
      </c>
      <c r="B25" s="19"/>
      <c r="C25" s="19"/>
      <c r="D25" s="19"/>
      <c r="E25" s="19"/>
      <c r="F25" s="19"/>
      <c r="G25" s="19"/>
      <c r="H25" s="19"/>
      <c r="I25" s="19"/>
      <c r="J25" s="19"/>
      <c r="K25" s="20"/>
      <c r="L25" s="21"/>
      <c r="M25" s="18" t="s">
        <v>48</v>
      </c>
      <c r="N25" s="19"/>
      <c r="O25" s="19"/>
      <c r="P25" s="19"/>
      <c r="Q25" s="22"/>
      <c r="R25" s="22"/>
      <c r="S25" s="22"/>
      <c r="T25" s="22"/>
      <c r="U25" s="22"/>
      <c r="V25" s="22"/>
      <c r="W25" s="22"/>
      <c r="X25" s="22"/>
      <c r="Y25" s="23"/>
    </row>
    <row r="26" spans="1:25" ht="57.75" customHeight="1" x14ac:dyDescent="0.25">
      <c r="A26" s="101" t="s">
        <v>49</v>
      </c>
      <c r="B26" s="101" t="s">
        <v>50</v>
      </c>
      <c r="C26" s="101" t="s">
        <v>51</v>
      </c>
      <c r="D26" s="77" t="s">
        <v>52</v>
      </c>
      <c r="E26" s="78"/>
      <c r="F26" s="77" t="s">
        <v>53</v>
      </c>
      <c r="G26" s="79"/>
      <c r="H26" s="79"/>
      <c r="I26" s="78"/>
      <c r="J26" s="101" t="s">
        <v>54</v>
      </c>
      <c r="K26" s="101" t="s">
        <v>55</v>
      </c>
      <c r="L26" s="24"/>
      <c r="M26" s="86" t="s">
        <v>56</v>
      </c>
      <c r="N26" s="88"/>
      <c r="O26" s="86" t="s">
        <v>57</v>
      </c>
      <c r="P26" s="88"/>
      <c r="Q26" s="86" t="s">
        <v>58</v>
      </c>
      <c r="R26" s="87"/>
      <c r="S26" s="87"/>
      <c r="T26" s="87"/>
      <c r="U26" s="87"/>
      <c r="V26" s="87"/>
      <c r="W26" s="87"/>
      <c r="X26" s="87"/>
      <c r="Y26" s="88"/>
    </row>
    <row r="27" spans="1:25" ht="38.25" customHeight="1" x14ac:dyDescent="0.25">
      <c r="A27" s="102"/>
      <c r="B27" s="102"/>
      <c r="C27" s="102"/>
      <c r="D27" s="25" t="s">
        <v>59</v>
      </c>
      <c r="E27" s="25" t="s">
        <v>60</v>
      </c>
      <c r="F27" s="26" t="s">
        <v>59</v>
      </c>
      <c r="G27" s="26" t="s">
        <v>60</v>
      </c>
      <c r="H27" s="26" t="s">
        <v>61</v>
      </c>
      <c r="I27" s="26" t="s">
        <v>62</v>
      </c>
      <c r="J27" s="102"/>
      <c r="K27" s="102"/>
      <c r="L27" s="24"/>
      <c r="M27" s="128">
        <v>0</v>
      </c>
      <c r="N27" s="129"/>
      <c r="O27" s="128">
        <v>0</v>
      </c>
      <c r="P27" s="129"/>
      <c r="Q27" s="145">
        <v>0</v>
      </c>
      <c r="R27" s="169"/>
      <c r="S27" s="169"/>
      <c r="T27" s="169"/>
      <c r="U27" s="169"/>
      <c r="V27" s="169"/>
      <c r="W27" s="169"/>
      <c r="X27" s="169"/>
      <c r="Y27" s="146"/>
    </row>
    <row r="28" spans="1:25" ht="38.25" customHeight="1" x14ac:dyDescent="0.25">
      <c r="A28" s="125">
        <v>2163</v>
      </c>
      <c r="B28" s="125">
        <v>43</v>
      </c>
      <c r="C28" s="125">
        <v>0</v>
      </c>
      <c r="D28" s="125">
        <v>29</v>
      </c>
      <c r="E28" s="125">
        <v>1</v>
      </c>
      <c r="F28" s="125">
        <v>6</v>
      </c>
      <c r="G28" s="125">
        <v>1</v>
      </c>
      <c r="H28" s="125">
        <v>7</v>
      </c>
      <c r="I28" s="125">
        <v>7</v>
      </c>
      <c r="J28" s="125">
        <v>3</v>
      </c>
      <c r="K28" s="125">
        <v>0</v>
      </c>
      <c r="L28" s="24"/>
      <c r="M28" s="91" t="s">
        <v>63</v>
      </c>
      <c r="N28" s="92"/>
      <c r="O28" s="91" t="s">
        <v>64</v>
      </c>
      <c r="P28" s="92"/>
      <c r="Q28" s="95" t="s">
        <v>65</v>
      </c>
      <c r="R28" s="99"/>
      <c r="S28" s="96"/>
      <c r="T28" s="95" t="s">
        <v>66</v>
      </c>
      <c r="U28" s="99"/>
      <c r="V28" s="99"/>
      <c r="W28" s="99"/>
      <c r="X28" s="99"/>
      <c r="Y28" s="96"/>
    </row>
    <row r="29" spans="1:25" ht="19.5" customHeight="1" x14ac:dyDescent="0.25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27"/>
      <c r="M29" s="128">
        <v>0</v>
      </c>
      <c r="N29" s="129"/>
      <c r="O29" s="122">
        <v>0</v>
      </c>
      <c r="P29" s="122"/>
      <c r="Q29" s="128">
        <v>0</v>
      </c>
      <c r="R29" s="139"/>
      <c r="S29" s="129"/>
      <c r="T29" s="28"/>
      <c r="U29" s="86" t="s">
        <v>0</v>
      </c>
      <c r="V29" s="88"/>
      <c r="W29" s="29" t="s">
        <v>1</v>
      </c>
      <c r="X29" s="86" t="s">
        <v>67</v>
      </c>
      <c r="Y29" s="88"/>
    </row>
    <row r="30" spans="1:25" ht="18" customHeight="1" x14ac:dyDescent="0.25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27"/>
      <c r="M30" s="130"/>
      <c r="N30" s="131"/>
      <c r="O30" s="123"/>
      <c r="P30" s="123"/>
      <c r="Q30" s="130"/>
      <c r="R30" s="140"/>
      <c r="S30" s="131"/>
      <c r="T30" s="30" t="s">
        <v>68</v>
      </c>
      <c r="U30" s="142">
        <v>0</v>
      </c>
      <c r="V30" s="142"/>
      <c r="W30" s="53">
        <v>0</v>
      </c>
      <c r="X30" s="143">
        <v>0</v>
      </c>
      <c r="Y30" s="144"/>
    </row>
    <row r="31" spans="1:25" ht="18" customHeight="1" x14ac:dyDescent="0.25">
      <c r="A31" s="12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27"/>
      <c r="M31" s="130"/>
      <c r="N31" s="131"/>
      <c r="O31" s="123"/>
      <c r="P31" s="123"/>
      <c r="Q31" s="130"/>
      <c r="R31" s="140"/>
      <c r="S31" s="131"/>
      <c r="T31" s="30" t="s">
        <v>69</v>
      </c>
      <c r="U31" s="145">
        <v>0</v>
      </c>
      <c r="V31" s="146"/>
      <c r="W31" s="53">
        <v>0</v>
      </c>
      <c r="X31" s="143">
        <v>0</v>
      </c>
      <c r="Y31" s="144"/>
    </row>
    <row r="32" spans="1:25" ht="18" customHeight="1" x14ac:dyDescent="0.25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27"/>
      <c r="M32" s="132"/>
      <c r="N32" s="133"/>
      <c r="O32" s="124"/>
      <c r="P32" s="124"/>
      <c r="Q32" s="132"/>
      <c r="R32" s="141"/>
      <c r="S32" s="133"/>
      <c r="T32" s="30" t="s">
        <v>70</v>
      </c>
      <c r="U32" s="145">
        <v>0</v>
      </c>
      <c r="V32" s="146"/>
      <c r="W32" s="53">
        <v>0</v>
      </c>
      <c r="X32" s="143">
        <v>0</v>
      </c>
      <c r="Y32" s="144"/>
    </row>
    <row r="33" spans="1:25" ht="8.25" customHeight="1" x14ac:dyDescent="0.2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3"/>
      <c r="M33" s="32"/>
      <c r="N33" s="32"/>
      <c r="O33" s="32"/>
      <c r="P33" s="32"/>
      <c r="Q33" s="32"/>
      <c r="R33" s="34"/>
      <c r="S33" s="34"/>
      <c r="T33" s="34"/>
      <c r="U33" s="34"/>
      <c r="V33" s="34"/>
      <c r="W33" s="32"/>
      <c r="X33" s="32"/>
      <c r="Y33" s="7"/>
    </row>
    <row r="34" spans="1:25" ht="18" customHeight="1" x14ac:dyDescent="0.3">
      <c r="A34" s="18" t="s">
        <v>71</v>
      </c>
      <c r="B34" s="19"/>
      <c r="C34" s="19"/>
      <c r="D34" s="19"/>
      <c r="E34" s="19"/>
      <c r="F34" s="19"/>
      <c r="G34" s="19"/>
      <c r="H34" s="19"/>
      <c r="I34" s="19"/>
      <c r="J34" s="19"/>
      <c r="K34" s="20"/>
      <c r="L34" s="35"/>
      <c r="M34" s="18" t="s">
        <v>72</v>
      </c>
      <c r="N34" s="20"/>
      <c r="O34" s="36"/>
      <c r="P34" s="19"/>
      <c r="Q34" s="19"/>
      <c r="R34" s="19"/>
      <c r="S34" s="19"/>
      <c r="T34" s="19"/>
      <c r="U34" s="19"/>
      <c r="V34" s="19"/>
      <c r="W34" s="22"/>
      <c r="X34" s="22"/>
      <c r="Y34" s="37"/>
    </row>
    <row r="35" spans="1:25" ht="57" customHeight="1" x14ac:dyDescent="0.25">
      <c r="A35" s="71"/>
      <c r="B35" s="72"/>
      <c r="C35" s="72"/>
      <c r="D35" s="72"/>
      <c r="E35" s="73"/>
      <c r="F35" s="68" t="s">
        <v>12</v>
      </c>
      <c r="G35" s="70"/>
      <c r="H35" s="68" t="s">
        <v>13</v>
      </c>
      <c r="I35" s="70"/>
      <c r="J35" s="38" t="s">
        <v>73</v>
      </c>
      <c r="K35" s="39"/>
      <c r="L35" s="40"/>
      <c r="M35" s="77" t="s">
        <v>74</v>
      </c>
      <c r="N35" s="78"/>
      <c r="O35" s="77" t="s">
        <v>75</v>
      </c>
      <c r="P35" s="78"/>
      <c r="Q35" s="77" t="s">
        <v>76</v>
      </c>
      <c r="R35" s="78"/>
      <c r="S35" s="77" t="s">
        <v>77</v>
      </c>
      <c r="T35" s="79"/>
      <c r="U35" s="79"/>
      <c r="V35" s="78"/>
      <c r="W35" s="77" t="s">
        <v>78</v>
      </c>
      <c r="X35" s="79"/>
      <c r="Y35" s="78"/>
    </row>
    <row r="36" spans="1:25" ht="13.5" customHeight="1" x14ac:dyDescent="0.25">
      <c r="A36" s="74"/>
      <c r="B36" s="75"/>
      <c r="C36" s="75"/>
      <c r="D36" s="75"/>
      <c r="E36" s="76"/>
      <c r="F36" s="10" t="s">
        <v>79</v>
      </c>
      <c r="G36" s="10" t="s">
        <v>14</v>
      </c>
      <c r="H36" s="10" t="s">
        <v>79</v>
      </c>
      <c r="I36" s="10" t="s">
        <v>14</v>
      </c>
      <c r="J36" s="10" t="s">
        <v>79</v>
      </c>
      <c r="K36" s="10" t="s">
        <v>14</v>
      </c>
      <c r="L36" s="41"/>
      <c r="M36" s="42" t="s">
        <v>80</v>
      </c>
      <c r="N36" s="42" t="s">
        <v>81</v>
      </c>
      <c r="O36" s="42" t="s">
        <v>80</v>
      </c>
      <c r="P36" s="43" t="s">
        <v>81</v>
      </c>
      <c r="Q36" s="42" t="s">
        <v>80</v>
      </c>
      <c r="R36" s="42" t="s">
        <v>81</v>
      </c>
      <c r="S36" s="44"/>
      <c r="T36" s="42" t="s">
        <v>0</v>
      </c>
      <c r="U36" s="45" t="s">
        <v>1</v>
      </c>
      <c r="V36" s="46" t="s">
        <v>82</v>
      </c>
      <c r="W36" s="42" t="s">
        <v>0</v>
      </c>
      <c r="X36" s="45" t="s">
        <v>1</v>
      </c>
      <c r="Y36" s="46" t="s">
        <v>82</v>
      </c>
    </row>
    <row r="37" spans="1:25" ht="18" customHeight="1" x14ac:dyDescent="0.3">
      <c r="A37" s="80" t="s">
        <v>83</v>
      </c>
      <c r="B37" s="81"/>
      <c r="C37" s="81"/>
      <c r="D37" s="81"/>
      <c r="E37" s="82"/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41"/>
      <c r="M37" s="109">
        <v>0</v>
      </c>
      <c r="N37" s="109">
        <v>20</v>
      </c>
      <c r="O37" s="122">
        <v>0</v>
      </c>
      <c r="P37" s="122">
        <v>0</v>
      </c>
      <c r="Q37" s="122">
        <v>0</v>
      </c>
      <c r="R37" s="122">
        <v>0</v>
      </c>
      <c r="S37" s="47" t="s">
        <v>68</v>
      </c>
      <c r="T37" s="54">
        <v>0</v>
      </c>
      <c r="U37" s="54">
        <v>0</v>
      </c>
      <c r="V37" s="54">
        <v>0</v>
      </c>
      <c r="W37" s="54">
        <v>0</v>
      </c>
      <c r="X37" s="54">
        <v>0</v>
      </c>
      <c r="Y37" s="54">
        <v>0</v>
      </c>
    </row>
    <row r="38" spans="1:25" ht="18" customHeight="1" x14ac:dyDescent="0.3">
      <c r="A38" s="80" t="s">
        <v>8</v>
      </c>
      <c r="B38" s="81"/>
      <c r="C38" s="81"/>
      <c r="D38" s="81"/>
      <c r="E38" s="82"/>
      <c r="F38" s="52">
        <v>0</v>
      </c>
      <c r="G38" s="55">
        <v>0</v>
      </c>
      <c r="H38" s="52">
        <v>0</v>
      </c>
      <c r="I38" s="56">
        <v>0</v>
      </c>
      <c r="J38" s="52">
        <v>0</v>
      </c>
      <c r="K38" s="52">
        <v>0</v>
      </c>
      <c r="L38" s="41"/>
      <c r="M38" s="121"/>
      <c r="N38" s="121"/>
      <c r="O38" s="123"/>
      <c r="P38" s="123"/>
      <c r="Q38" s="123"/>
      <c r="R38" s="123"/>
      <c r="S38" s="47" t="s">
        <v>69</v>
      </c>
      <c r="T38" s="54">
        <v>0</v>
      </c>
      <c r="U38" s="54">
        <v>0</v>
      </c>
      <c r="V38" s="54">
        <v>0</v>
      </c>
      <c r="W38" s="54">
        <v>0</v>
      </c>
      <c r="X38" s="54">
        <v>0</v>
      </c>
      <c r="Y38" s="54">
        <v>0</v>
      </c>
    </row>
    <row r="39" spans="1:25" ht="18" customHeight="1" x14ac:dyDescent="0.25">
      <c r="A39" s="86" t="s">
        <v>84</v>
      </c>
      <c r="B39" s="87"/>
      <c r="C39" s="87"/>
      <c r="D39" s="87"/>
      <c r="E39" s="88"/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41"/>
      <c r="M39" s="121"/>
      <c r="N39" s="121"/>
      <c r="O39" s="123"/>
      <c r="P39" s="123"/>
      <c r="Q39" s="123"/>
      <c r="R39" s="123"/>
      <c r="S39" s="89" t="s">
        <v>70</v>
      </c>
      <c r="T39" s="109">
        <v>0</v>
      </c>
      <c r="U39" s="109">
        <v>0</v>
      </c>
      <c r="V39" s="109">
        <v>0</v>
      </c>
      <c r="W39" s="109">
        <v>0</v>
      </c>
      <c r="X39" s="109">
        <v>0</v>
      </c>
      <c r="Y39" s="109">
        <v>0</v>
      </c>
    </row>
    <row r="40" spans="1:25" ht="18" customHeight="1" x14ac:dyDescent="0.25">
      <c r="A40" s="68" t="s">
        <v>7</v>
      </c>
      <c r="B40" s="69"/>
      <c r="C40" s="69"/>
      <c r="D40" s="69"/>
      <c r="E40" s="70"/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41"/>
      <c r="M40" s="110"/>
      <c r="N40" s="110"/>
      <c r="O40" s="124"/>
      <c r="P40" s="124"/>
      <c r="Q40" s="124"/>
      <c r="R40" s="124"/>
      <c r="S40" s="90"/>
      <c r="T40" s="110"/>
      <c r="U40" s="110"/>
      <c r="V40" s="110"/>
      <c r="W40" s="110"/>
      <c r="X40" s="110"/>
      <c r="Y40" s="110"/>
    </row>
    <row r="41" spans="1:25" ht="23.4" x14ac:dyDescent="0.45">
      <c r="A41" s="120" t="s">
        <v>17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</row>
    <row r="42" spans="1:25" ht="23.4" x14ac:dyDescent="0.25">
      <c r="A42" s="111" t="s">
        <v>18</v>
      </c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"/>
      <c r="U42" s="112" t="s">
        <v>19</v>
      </c>
      <c r="V42" s="112"/>
      <c r="W42" s="1"/>
      <c r="X42" s="1"/>
      <c r="Y42" s="1"/>
    </row>
    <row r="43" spans="1:25" ht="30.9" customHeight="1" x14ac:dyDescent="0.25">
      <c r="A43" s="113" t="s">
        <v>20</v>
      </c>
      <c r="B43" s="113"/>
      <c r="C43" s="113"/>
      <c r="D43" s="113"/>
      <c r="E43" s="117" t="s">
        <v>9</v>
      </c>
      <c r="F43" s="117"/>
      <c r="G43" s="117"/>
      <c r="H43" s="116" t="s">
        <v>22</v>
      </c>
      <c r="I43" s="116"/>
      <c r="J43" s="115">
        <v>0</v>
      </c>
      <c r="K43" s="115"/>
      <c r="L43" s="116" t="s">
        <v>23</v>
      </c>
      <c r="M43" s="116"/>
      <c r="N43" s="117">
        <v>0</v>
      </c>
      <c r="O43" s="117"/>
      <c r="P43" s="117"/>
      <c r="Q43" s="118" t="s">
        <v>24</v>
      </c>
      <c r="R43" s="118"/>
      <c r="S43" s="118"/>
      <c r="T43" s="118"/>
      <c r="U43" s="119" t="s">
        <v>85</v>
      </c>
      <c r="V43" s="119"/>
      <c r="W43" s="119"/>
      <c r="X43" s="147" t="s">
        <v>93</v>
      </c>
      <c r="Y43" s="147"/>
    </row>
    <row r="44" spans="1:25" x14ac:dyDescent="0.25">
      <c r="Q44" s="118"/>
      <c r="R44" s="118"/>
      <c r="S44" s="118"/>
      <c r="T44" s="118"/>
      <c r="U44" s="119"/>
      <c r="V44" s="119"/>
      <c r="W44" s="119"/>
      <c r="X44" s="147"/>
      <c r="Y44" s="147"/>
    </row>
    <row r="45" spans="1:25" ht="15.6" x14ac:dyDescent="0.3">
      <c r="A45" s="166" t="s">
        <v>26</v>
      </c>
      <c r="B45" s="166"/>
      <c r="C45" s="166"/>
      <c r="D45" s="166"/>
      <c r="E45" s="166"/>
      <c r="F45" s="166"/>
      <c r="G45" s="167" t="s">
        <v>27</v>
      </c>
      <c r="H45" s="167"/>
      <c r="I45" s="167"/>
      <c r="J45" s="167"/>
      <c r="K45" s="167"/>
      <c r="L45" s="167"/>
      <c r="M45" s="167"/>
      <c r="N45" s="2"/>
      <c r="Q45" s="168" t="s">
        <v>28</v>
      </c>
      <c r="R45" s="168"/>
      <c r="S45" s="168"/>
      <c r="T45" s="168"/>
      <c r="U45" s="168"/>
      <c r="V45" s="148" t="s">
        <v>29</v>
      </c>
      <c r="W45" s="148"/>
      <c r="X45" s="148"/>
      <c r="Y45" s="148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" customHeight="1" x14ac:dyDescent="0.25">
      <c r="A47" s="149" t="s">
        <v>31</v>
      </c>
      <c r="B47" s="150"/>
      <c r="C47" s="150"/>
      <c r="D47" s="150"/>
      <c r="E47" s="150"/>
      <c r="F47" s="150"/>
      <c r="G47" s="150"/>
      <c r="H47" s="150"/>
      <c r="I47" s="151"/>
      <c r="J47" s="152" t="s">
        <v>32</v>
      </c>
      <c r="K47" s="153"/>
      <c r="L47" s="152" t="s">
        <v>33</v>
      </c>
      <c r="M47" s="153"/>
      <c r="N47" s="91" t="s">
        <v>34</v>
      </c>
      <c r="O47" s="92"/>
      <c r="P47" s="152" t="s">
        <v>35</v>
      </c>
      <c r="Q47" s="153"/>
      <c r="R47" s="68" t="s">
        <v>36</v>
      </c>
      <c r="S47" s="69"/>
      <c r="T47" s="69"/>
      <c r="U47" s="69"/>
      <c r="V47" s="69"/>
      <c r="W47" s="70"/>
      <c r="X47" s="152" t="s">
        <v>7</v>
      </c>
      <c r="Y47" s="153"/>
    </row>
    <row r="48" spans="1:25" ht="23.25" customHeight="1" x14ac:dyDescent="0.25">
      <c r="A48" s="158" t="s">
        <v>37</v>
      </c>
      <c r="B48" s="159"/>
      <c r="C48" s="159"/>
      <c r="D48" s="159"/>
      <c r="E48" s="159"/>
      <c r="F48" s="159"/>
      <c r="G48" s="159"/>
      <c r="H48" s="159"/>
      <c r="I48" s="160"/>
      <c r="J48" s="154"/>
      <c r="K48" s="155"/>
      <c r="L48" s="154"/>
      <c r="M48" s="155"/>
      <c r="N48" s="93"/>
      <c r="O48" s="94"/>
      <c r="P48" s="154"/>
      <c r="Q48" s="155"/>
      <c r="R48" s="164" t="s">
        <v>38</v>
      </c>
      <c r="S48" s="164"/>
      <c r="T48" s="164" t="s">
        <v>39</v>
      </c>
      <c r="U48" s="164"/>
      <c r="V48" s="164" t="s">
        <v>40</v>
      </c>
      <c r="W48" s="164"/>
      <c r="X48" s="154"/>
      <c r="Y48" s="155"/>
    </row>
    <row r="49" spans="1:25" x14ac:dyDescent="0.25">
      <c r="A49" s="161"/>
      <c r="B49" s="162"/>
      <c r="C49" s="162"/>
      <c r="D49" s="162"/>
      <c r="E49" s="162"/>
      <c r="F49" s="162"/>
      <c r="G49" s="162"/>
      <c r="H49" s="162"/>
      <c r="I49" s="163"/>
      <c r="J49" s="156"/>
      <c r="K49" s="157"/>
      <c r="L49" s="156"/>
      <c r="M49" s="157"/>
      <c r="N49" s="95"/>
      <c r="O49" s="96"/>
      <c r="P49" s="156"/>
      <c r="Q49" s="157"/>
      <c r="R49" s="165"/>
      <c r="S49" s="165"/>
      <c r="T49" s="165"/>
      <c r="U49" s="165"/>
      <c r="V49" s="165"/>
      <c r="W49" s="165"/>
      <c r="X49" s="156"/>
      <c r="Y49" s="157"/>
    </row>
    <row r="50" spans="1:25" ht="18" customHeight="1" x14ac:dyDescent="0.3">
      <c r="A50" s="106" t="s">
        <v>41</v>
      </c>
      <c r="B50" s="107"/>
      <c r="C50" s="107"/>
      <c r="D50" s="107"/>
      <c r="E50" s="107"/>
      <c r="F50" s="107"/>
      <c r="G50" s="107"/>
      <c r="H50" s="107"/>
      <c r="I50" s="108"/>
      <c r="J50" s="137">
        <v>2</v>
      </c>
      <c r="K50" s="138"/>
      <c r="L50" s="137">
        <v>0</v>
      </c>
      <c r="M50" s="138"/>
      <c r="N50" s="137">
        <v>0</v>
      </c>
      <c r="O50" s="138"/>
      <c r="P50" s="68">
        <v>2</v>
      </c>
      <c r="Q50" s="70"/>
      <c r="R50" s="137">
        <v>0</v>
      </c>
      <c r="S50" s="138"/>
      <c r="T50" s="137">
        <v>0</v>
      </c>
      <c r="U50" s="138"/>
      <c r="V50" s="137">
        <v>0</v>
      </c>
      <c r="W50" s="138"/>
      <c r="X50" s="80">
        <v>2</v>
      </c>
      <c r="Y50" s="82"/>
    </row>
    <row r="51" spans="1:25" ht="18" customHeight="1" x14ac:dyDescent="0.3">
      <c r="A51" s="106" t="s">
        <v>42</v>
      </c>
      <c r="B51" s="107"/>
      <c r="C51" s="107"/>
      <c r="D51" s="107"/>
      <c r="E51" s="107"/>
      <c r="F51" s="107"/>
      <c r="G51" s="107"/>
      <c r="H51" s="107"/>
      <c r="I51" s="108"/>
      <c r="J51" s="137">
        <v>0</v>
      </c>
      <c r="K51" s="138"/>
      <c r="L51" s="137">
        <v>0</v>
      </c>
      <c r="M51" s="138"/>
      <c r="N51" s="137">
        <v>0</v>
      </c>
      <c r="O51" s="138"/>
      <c r="P51" s="68">
        <v>0</v>
      </c>
      <c r="Q51" s="70"/>
      <c r="R51" s="137">
        <v>0</v>
      </c>
      <c r="S51" s="138"/>
      <c r="T51" s="137">
        <v>0</v>
      </c>
      <c r="U51" s="138"/>
      <c r="V51" s="137">
        <v>0</v>
      </c>
      <c r="W51" s="138"/>
      <c r="X51" s="80">
        <v>0</v>
      </c>
      <c r="Y51" s="82"/>
    </row>
    <row r="52" spans="1:25" ht="18" customHeight="1" x14ac:dyDescent="0.3">
      <c r="A52" s="106" t="s">
        <v>43</v>
      </c>
      <c r="B52" s="107"/>
      <c r="C52" s="107"/>
      <c r="D52" s="107"/>
      <c r="E52" s="107"/>
      <c r="F52" s="107"/>
      <c r="G52" s="107"/>
      <c r="H52" s="107"/>
      <c r="I52" s="108"/>
      <c r="J52" s="137">
        <v>0</v>
      </c>
      <c r="K52" s="138"/>
      <c r="L52" s="137">
        <v>0</v>
      </c>
      <c r="M52" s="138"/>
      <c r="N52" s="137">
        <v>0</v>
      </c>
      <c r="O52" s="138"/>
      <c r="P52" s="68">
        <v>0</v>
      </c>
      <c r="Q52" s="70"/>
      <c r="R52" s="137">
        <v>0</v>
      </c>
      <c r="S52" s="138"/>
      <c r="T52" s="137">
        <v>0</v>
      </c>
      <c r="U52" s="138"/>
      <c r="V52" s="137">
        <v>0</v>
      </c>
      <c r="W52" s="138"/>
      <c r="X52" s="80">
        <v>0</v>
      </c>
      <c r="Y52" s="82"/>
    </row>
    <row r="53" spans="1:25" ht="18" customHeight="1" x14ac:dyDescent="0.3">
      <c r="A53" s="106" t="s">
        <v>44</v>
      </c>
      <c r="B53" s="107"/>
      <c r="C53" s="107"/>
      <c r="D53" s="107"/>
      <c r="E53" s="107"/>
      <c r="F53" s="107"/>
      <c r="G53" s="107"/>
      <c r="H53" s="107"/>
      <c r="I53" s="108"/>
      <c r="J53" s="137">
        <v>1</v>
      </c>
      <c r="K53" s="138"/>
      <c r="L53" s="137">
        <v>0</v>
      </c>
      <c r="M53" s="138"/>
      <c r="N53" s="137">
        <v>0</v>
      </c>
      <c r="O53" s="138"/>
      <c r="P53" s="68">
        <v>1</v>
      </c>
      <c r="Q53" s="70"/>
      <c r="R53" s="137">
        <v>0</v>
      </c>
      <c r="S53" s="138"/>
      <c r="T53" s="137">
        <v>0</v>
      </c>
      <c r="U53" s="138"/>
      <c r="V53" s="137">
        <v>0</v>
      </c>
      <c r="W53" s="138"/>
      <c r="X53" s="80">
        <v>1</v>
      </c>
      <c r="Y53" s="82"/>
    </row>
    <row r="54" spans="1:25" ht="18" customHeight="1" x14ac:dyDescent="0.3">
      <c r="A54" s="106" t="s">
        <v>7</v>
      </c>
      <c r="B54" s="107"/>
      <c r="C54" s="107"/>
      <c r="D54" s="107"/>
      <c r="E54" s="107"/>
      <c r="F54" s="107"/>
      <c r="G54" s="107"/>
      <c r="H54" s="107"/>
      <c r="I54" s="108"/>
      <c r="J54" s="68">
        <v>3</v>
      </c>
      <c r="K54" s="70"/>
      <c r="L54" s="68">
        <v>0</v>
      </c>
      <c r="M54" s="70"/>
      <c r="N54" s="68">
        <v>0</v>
      </c>
      <c r="O54" s="70"/>
      <c r="P54" s="68">
        <v>3</v>
      </c>
      <c r="Q54" s="70"/>
      <c r="R54" s="68">
        <v>0</v>
      </c>
      <c r="S54" s="70"/>
      <c r="T54" s="68">
        <v>0</v>
      </c>
      <c r="U54" s="70"/>
      <c r="V54" s="68">
        <v>0</v>
      </c>
      <c r="W54" s="70"/>
      <c r="X54" s="80">
        <v>3</v>
      </c>
      <c r="Y54" s="82"/>
    </row>
    <row r="55" spans="1:25" ht="15.6" x14ac:dyDescent="0.3">
      <c r="A55" s="4" t="s">
        <v>45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6"/>
      <c r="S55" s="6"/>
      <c r="T55" s="6"/>
      <c r="U55" s="6"/>
      <c r="V55" s="6"/>
      <c r="W55" s="6"/>
      <c r="X55" s="6"/>
      <c r="Y55" s="7"/>
    </row>
    <row r="56" spans="1:25" x14ac:dyDescent="0.25">
      <c r="A56" s="71"/>
      <c r="B56" s="72"/>
      <c r="C56" s="72"/>
      <c r="D56" s="72"/>
      <c r="E56" s="72"/>
      <c r="F56" s="72"/>
      <c r="G56" s="73"/>
      <c r="H56" s="68" t="s">
        <v>0</v>
      </c>
      <c r="I56" s="69"/>
      <c r="J56" s="136" t="s">
        <v>1</v>
      </c>
      <c r="K56" s="69"/>
      <c r="L56" s="134" t="s">
        <v>2</v>
      </c>
      <c r="M56" s="69"/>
      <c r="N56" s="134" t="s">
        <v>3</v>
      </c>
      <c r="O56" s="69"/>
      <c r="P56" s="134" t="s">
        <v>4</v>
      </c>
      <c r="Q56" s="135"/>
      <c r="R56" s="134" t="s">
        <v>5</v>
      </c>
      <c r="S56" s="69"/>
      <c r="T56" s="134" t="s">
        <v>6</v>
      </c>
      <c r="U56" s="69"/>
      <c r="V56" s="134" t="s">
        <v>46</v>
      </c>
      <c r="W56" s="69"/>
      <c r="X56" s="134" t="s">
        <v>7</v>
      </c>
      <c r="Y56" s="135"/>
    </row>
    <row r="57" spans="1:25" x14ac:dyDescent="0.25">
      <c r="A57" s="74"/>
      <c r="B57" s="75"/>
      <c r="C57" s="75"/>
      <c r="D57" s="75"/>
      <c r="E57" s="75"/>
      <c r="F57" s="75"/>
      <c r="G57" s="76"/>
      <c r="H57" s="10" t="s">
        <v>10</v>
      </c>
      <c r="I57" s="10" t="s">
        <v>11</v>
      </c>
      <c r="J57" s="10" t="s">
        <v>10</v>
      </c>
      <c r="K57" s="10" t="s">
        <v>11</v>
      </c>
      <c r="L57" s="10" t="s">
        <v>10</v>
      </c>
      <c r="M57" s="10" t="s">
        <v>11</v>
      </c>
      <c r="N57" s="10" t="s">
        <v>10</v>
      </c>
      <c r="O57" s="10" t="s">
        <v>11</v>
      </c>
      <c r="P57" s="10" t="s">
        <v>10</v>
      </c>
      <c r="Q57" s="10" t="s">
        <v>11</v>
      </c>
      <c r="R57" s="10" t="s">
        <v>10</v>
      </c>
      <c r="S57" s="10" t="s">
        <v>11</v>
      </c>
      <c r="T57" s="10" t="s">
        <v>10</v>
      </c>
      <c r="U57" s="10" t="s">
        <v>11</v>
      </c>
      <c r="V57" s="10" t="s">
        <v>10</v>
      </c>
      <c r="W57" s="10" t="s">
        <v>11</v>
      </c>
      <c r="X57" s="10" t="s">
        <v>10</v>
      </c>
      <c r="Y57" s="10" t="s">
        <v>11</v>
      </c>
    </row>
    <row r="58" spans="1:25" ht="18" customHeight="1" x14ac:dyDescent="0.25">
      <c r="A58" s="106" t="s">
        <v>41</v>
      </c>
      <c r="B58" s="107"/>
      <c r="C58" s="107"/>
      <c r="D58" s="107"/>
      <c r="E58" s="107"/>
      <c r="F58" s="107"/>
      <c r="G58" s="108"/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1</v>
      </c>
      <c r="N58" s="52">
        <v>0</v>
      </c>
      <c r="O58" s="52">
        <v>0</v>
      </c>
      <c r="P58" s="52">
        <v>0</v>
      </c>
      <c r="Q58" s="52">
        <v>0</v>
      </c>
      <c r="R58" s="52">
        <v>1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10">
        <v>1</v>
      </c>
      <c r="Y58" s="10">
        <v>1</v>
      </c>
    </row>
    <row r="59" spans="1:25" ht="18" customHeight="1" x14ac:dyDescent="0.25">
      <c r="A59" s="106" t="s">
        <v>42</v>
      </c>
      <c r="B59" s="107"/>
      <c r="C59" s="107"/>
      <c r="D59" s="107"/>
      <c r="E59" s="107"/>
      <c r="F59" s="107"/>
      <c r="G59" s="108"/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10">
        <v>0</v>
      </c>
      <c r="Y59" s="10">
        <v>0</v>
      </c>
    </row>
    <row r="60" spans="1:25" ht="18" customHeight="1" x14ac:dyDescent="0.25">
      <c r="A60" s="106" t="s">
        <v>43</v>
      </c>
      <c r="B60" s="107"/>
      <c r="C60" s="107"/>
      <c r="D60" s="107"/>
      <c r="E60" s="107"/>
      <c r="F60" s="107"/>
      <c r="G60" s="108"/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10">
        <v>0</v>
      </c>
      <c r="Y60" s="10">
        <v>0</v>
      </c>
    </row>
    <row r="61" spans="1:25" ht="18" customHeight="1" x14ac:dyDescent="0.25">
      <c r="A61" s="106" t="s">
        <v>44</v>
      </c>
      <c r="B61" s="107"/>
      <c r="C61" s="107"/>
      <c r="D61" s="107"/>
      <c r="E61" s="107"/>
      <c r="F61" s="107"/>
      <c r="G61" s="108"/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1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10">
        <v>0</v>
      </c>
      <c r="Y61" s="10">
        <v>1</v>
      </c>
    </row>
    <row r="62" spans="1:25" ht="18" customHeight="1" x14ac:dyDescent="0.25">
      <c r="A62" s="106" t="s">
        <v>7</v>
      </c>
      <c r="B62" s="107"/>
      <c r="C62" s="107"/>
      <c r="D62" s="107"/>
      <c r="E62" s="107"/>
      <c r="F62" s="107"/>
      <c r="G62" s="108"/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1</v>
      </c>
      <c r="N62" s="10">
        <v>0</v>
      </c>
      <c r="O62" s="10">
        <v>0</v>
      </c>
      <c r="P62" s="10">
        <v>0</v>
      </c>
      <c r="Q62" s="10">
        <v>1</v>
      </c>
      <c r="R62" s="10">
        <v>1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1</v>
      </c>
      <c r="Y62" s="10">
        <v>2</v>
      </c>
    </row>
    <row r="63" spans="1:25" ht="6.75" customHeight="1" x14ac:dyDescent="0.25">
      <c r="A63" s="11"/>
      <c r="B63" s="12"/>
      <c r="C63" s="12"/>
      <c r="D63" s="12"/>
      <c r="E63" s="12"/>
      <c r="F63" s="13"/>
      <c r="G63" s="13"/>
      <c r="H63" s="13"/>
      <c r="I63" s="13"/>
      <c r="J63" s="13"/>
      <c r="K63" s="13"/>
      <c r="L63" s="14"/>
      <c r="M63" s="13"/>
      <c r="N63" s="15"/>
      <c r="O63" s="16"/>
      <c r="P63" s="13"/>
      <c r="Q63" s="13"/>
      <c r="R63" s="13"/>
      <c r="S63" s="13"/>
      <c r="T63" s="13"/>
      <c r="U63" s="13"/>
      <c r="V63" s="13"/>
      <c r="W63" s="13"/>
      <c r="X63" s="13"/>
      <c r="Y63" s="17"/>
    </row>
    <row r="64" spans="1:25" ht="18" customHeight="1" x14ac:dyDescent="0.3">
      <c r="A64" s="18" t="s">
        <v>47</v>
      </c>
      <c r="B64" s="19"/>
      <c r="C64" s="19"/>
      <c r="D64" s="19"/>
      <c r="E64" s="19"/>
      <c r="F64" s="19"/>
      <c r="G64" s="19"/>
      <c r="H64" s="19"/>
      <c r="I64" s="19"/>
      <c r="J64" s="19"/>
      <c r="K64" s="20"/>
      <c r="L64" s="21"/>
      <c r="M64" s="18" t="s">
        <v>48</v>
      </c>
      <c r="N64" s="19"/>
      <c r="O64" s="19"/>
      <c r="P64" s="19"/>
      <c r="Q64" s="22"/>
      <c r="R64" s="22"/>
      <c r="S64" s="22"/>
      <c r="T64" s="22"/>
      <c r="U64" s="22"/>
      <c r="V64" s="22"/>
      <c r="W64" s="22"/>
      <c r="X64" s="22"/>
      <c r="Y64" s="23"/>
    </row>
    <row r="65" spans="1:25" ht="57.75" customHeight="1" x14ac:dyDescent="0.25">
      <c r="A65" s="101" t="s">
        <v>49</v>
      </c>
      <c r="B65" s="101" t="s">
        <v>50</v>
      </c>
      <c r="C65" s="101" t="s">
        <v>51</v>
      </c>
      <c r="D65" s="77" t="s">
        <v>52</v>
      </c>
      <c r="E65" s="78"/>
      <c r="F65" s="77" t="s">
        <v>53</v>
      </c>
      <c r="G65" s="79"/>
      <c r="H65" s="79"/>
      <c r="I65" s="78"/>
      <c r="J65" s="101" t="s">
        <v>54</v>
      </c>
      <c r="K65" s="101" t="s">
        <v>55</v>
      </c>
      <c r="L65" s="24"/>
      <c r="M65" s="86" t="s">
        <v>56</v>
      </c>
      <c r="N65" s="88"/>
      <c r="O65" s="86" t="s">
        <v>57</v>
      </c>
      <c r="P65" s="88"/>
      <c r="Q65" s="86" t="s">
        <v>58</v>
      </c>
      <c r="R65" s="87"/>
      <c r="S65" s="87"/>
      <c r="T65" s="87"/>
      <c r="U65" s="87"/>
      <c r="V65" s="87"/>
      <c r="W65" s="87"/>
      <c r="X65" s="87"/>
      <c r="Y65" s="88"/>
    </row>
    <row r="66" spans="1:25" ht="38.25" customHeight="1" x14ac:dyDescent="0.25">
      <c r="A66" s="102"/>
      <c r="B66" s="102"/>
      <c r="C66" s="102"/>
      <c r="D66" s="25" t="s">
        <v>59</v>
      </c>
      <c r="E66" s="25" t="s">
        <v>60</v>
      </c>
      <c r="F66" s="26" t="s">
        <v>59</v>
      </c>
      <c r="G66" s="26" t="s">
        <v>60</v>
      </c>
      <c r="H66" s="26" t="s">
        <v>61</v>
      </c>
      <c r="I66" s="26" t="s">
        <v>62</v>
      </c>
      <c r="J66" s="102"/>
      <c r="K66" s="102"/>
      <c r="L66" s="24"/>
      <c r="M66" s="128">
        <v>0</v>
      </c>
      <c r="N66" s="129"/>
      <c r="O66" s="128">
        <v>0</v>
      </c>
      <c r="P66" s="129"/>
      <c r="Q66" s="145">
        <v>0</v>
      </c>
      <c r="R66" s="169"/>
      <c r="S66" s="169"/>
      <c r="T66" s="169"/>
      <c r="U66" s="169"/>
      <c r="V66" s="169"/>
      <c r="W66" s="169"/>
      <c r="X66" s="169"/>
      <c r="Y66" s="146"/>
    </row>
    <row r="67" spans="1:25" ht="38.25" customHeight="1" x14ac:dyDescent="0.25">
      <c r="A67" s="125">
        <v>2029</v>
      </c>
      <c r="B67" s="125">
        <v>39</v>
      </c>
      <c r="C67" s="125">
        <v>0</v>
      </c>
      <c r="D67" s="125">
        <v>18</v>
      </c>
      <c r="E67" s="125">
        <v>19</v>
      </c>
      <c r="F67" s="125">
        <v>1</v>
      </c>
      <c r="G67" s="125">
        <v>1</v>
      </c>
      <c r="H67" s="125">
        <v>1</v>
      </c>
      <c r="I67" s="125">
        <v>2</v>
      </c>
      <c r="J67" s="125">
        <v>2</v>
      </c>
      <c r="K67" s="125">
        <v>2</v>
      </c>
      <c r="L67" s="24"/>
      <c r="M67" s="91" t="s">
        <v>63</v>
      </c>
      <c r="N67" s="92"/>
      <c r="O67" s="91" t="s">
        <v>64</v>
      </c>
      <c r="P67" s="92"/>
      <c r="Q67" s="95" t="s">
        <v>65</v>
      </c>
      <c r="R67" s="99"/>
      <c r="S67" s="96"/>
      <c r="T67" s="95" t="s">
        <v>66</v>
      </c>
      <c r="U67" s="99"/>
      <c r="V67" s="99"/>
      <c r="W67" s="99"/>
      <c r="X67" s="99"/>
      <c r="Y67" s="96"/>
    </row>
    <row r="68" spans="1:25" ht="19.5" customHeight="1" x14ac:dyDescent="0.25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27"/>
      <c r="M68" s="128">
        <v>0</v>
      </c>
      <c r="N68" s="129"/>
      <c r="O68" s="122">
        <v>0</v>
      </c>
      <c r="P68" s="122"/>
      <c r="Q68" s="128">
        <v>0</v>
      </c>
      <c r="R68" s="139"/>
      <c r="S68" s="129"/>
      <c r="T68" s="28"/>
      <c r="U68" s="86" t="s">
        <v>0</v>
      </c>
      <c r="V68" s="88"/>
      <c r="W68" s="29" t="s">
        <v>1</v>
      </c>
      <c r="X68" s="86" t="s">
        <v>67</v>
      </c>
      <c r="Y68" s="88"/>
    </row>
    <row r="69" spans="1:25" ht="18" customHeight="1" x14ac:dyDescent="0.25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27"/>
      <c r="M69" s="130"/>
      <c r="N69" s="131"/>
      <c r="O69" s="123"/>
      <c r="P69" s="123"/>
      <c r="Q69" s="130"/>
      <c r="R69" s="140"/>
      <c r="S69" s="131"/>
      <c r="T69" s="30" t="s">
        <v>68</v>
      </c>
      <c r="U69" s="142">
        <v>0</v>
      </c>
      <c r="V69" s="142"/>
      <c r="W69" s="53">
        <v>0</v>
      </c>
      <c r="X69" s="143">
        <v>0</v>
      </c>
      <c r="Y69" s="144"/>
    </row>
    <row r="70" spans="1:25" ht="18" customHeight="1" x14ac:dyDescent="0.25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27"/>
      <c r="M70" s="130"/>
      <c r="N70" s="131"/>
      <c r="O70" s="123"/>
      <c r="P70" s="123"/>
      <c r="Q70" s="130"/>
      <c r="R70" s="140"/>
      <c r="S70" s="131"/>
      <c r="T70" s="30" t="s">
        <v>69</v>
      </c>
      <c r="U70" s="145">
        <v>0</v>
      </c>
      <c r="V70" s="146"/>
      <c r="W70" s="53">
        <v>0</v>
      </c>
      <c r="X70" s="143">
        <v>0</v>
      </c>
      <c r="Y70" s="144"/>
    </row>
    <row r="71" spans="1:25" ht="18" customHeight="1" x14ac:dyDescent="0.25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27"/>
      <c r="M71" s="132"/>
      <c r="N71" s="133"/>
      <c r="O71" s="124"/>
      <c r="P71" s="124"/>
      <c r="Q71" s="132"/>
      <c r="R71" s="141"/>
      <c r="S71" s="133"/>
      <c r="T71" s="30" t="s">
        <v>70</v>
      </c>
      <c r="U71" s="145">
        <v>0</v>
      </c>
      <c r="V71" s="146"/>
      <c r="W71" s="53">
        <v>0</v>
      </c>
      <c r="X71" s="143">
        <v>0</v>
      </c>
      <c r="Y71" s="144"/>
    </row>
    <row r="72" spans="1:25" ht="8.25" customHeight="1" x14ac:dyDescent="0.25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3"/>
      <c r="M72" s="32"/>
      <c r="N72" s="32"/>
      <c r="O72" s="32"/>
      <c r="P72" s="32"/>
      <c r="Q72" s="32"/>
      <c r="R72" s="34"/>
      <c r="S72" s="34"/>
      <c r="T72" s="34"/>
      <c r="U72" s="34"/>
      <c r="V72" s="34"/>
      <c r="W72" s="32"/>
      <c r="X72" s="32"/>
      <c r="Y72" s="7"/>
    </row>
    <row r="73" spans="1:25" ht="18" customHeight="1" x14ac:dyDescent="0.3">
      <c r="A73" s="18" t="s">
        <v>71</v>
      </c>
      <c r="B73" s="19"/>
      <c r="C73" s="19"/>
      <c r="D73" s="19"/>
      <c r="E73" s="19"/>
      <c r="F73" s="19"/>
      <c r="G73" s="19"/>
      <c r="H73" s="19"/>
      <c r="I73" s="19"/>
      <c r="J73" s="19"/>
      <c r="K73" s="20"/>
      <c r="L73" s="35"/>
      <c r="M73" s="18" t="s">
        <v>72</v>
      </c>
      <c r="N73" s="20"/>
      <c r="O73" s="36"/>
      <c r="P73" s="19"/>
      <c r="Q73" s="19"/>
      <c r="R73" s="19"/>
      <c r="S73" s="19"/>
      <c r="T73" s="19"/>
      <c r="U73" s="19"/>
      <c r="V73" s="19"/>
      <c r="W73" s="22"/>
      <c r="X73" s="22"/>
      <c r="Y73" s="37"/>
    </row>
    <row r="74" spans="1:25" ht="57" customHeight="1" x14ac:dyDescent="0.25">
      <c r="A74" s="71"/>
      <c r="B74" s="72"/>
      <c r="C74" s="72"/>
      <c r="D74" s="72"/>
      <c r="E74" s="73"/>
      <c r="F74" s="68" t="s">
        <v>12</v>
      </c>
      <c r="G74" s="70"/>
      <c r="H74" s="68" t="s">
        <v>13</v>
      </c>
      <c r="I74" s="70"/>
      <c r="J74" s="38" t="s">
        <v>73</v>
      </c>
      <c r="K74" s="39"/>
      <c r="L74" s="40"/>
      <c r="M74" s="77" t="s">
        <v>74</v>
      </c>
      <c r="N74" s="78"/>
      <c r="O74" s="77" t="s">
        <v>75</v>
      </c>
      <c r="P74" s="78"/>
      <c r="Q74" s="77" t="s">
        <v>76</v>
      </c>
      <c r="R74" s="78"/>
      <c r="S74" s="77" t="s">
        <v>77</v>
      </c>
      <c r="T74" s="79"/>
      <c r="U74" s="79"/>
      <c r="V74" s="78"/>
      <c r="W74" s="77" t="s">
        <v>78</v>
      </c>
      <c r="X74" s="79"/>
      <c r="Y74" s="78"/>
    </row>
    <row r="75" spans="1:25" ht="13.5" customHeight="1" x14ac:dyDescent="0.25">
      <c r="A75" s="74"/>
      <c r="B75" s="75"/>
      <c r="C75" s="75"/>
      <c r="D75" s="75"/>
      <c r="E75" s="76"/>
      <c r="F75" s="10" t="s">
        <v>79</v>
      </c>
      <c r="G75" s="10" t="s">
        <v>14</v>
      </c>
      <c r="H75" s="10" t="s">
        <v>79</v>
      </c>
      <c r="I75" s="10" t="s">
        <v>14</v>
      </c>
      <c r="J75" s="10" t="s">
        <v>79</v>
      </c>
      <c r="K75" s="10" t="s">
        <v>14</v>
      </c>
      <c r="L75" s="41"/>
      <c r="M75" s="42" t="s">
        <v>80</v>
      </c>
      <c r="N75" s="42" t="s">
        <v>81</v>
      </c>
      <c r="O75" s="42" t="s">
        <v>80</v>
      </c>
      <c r="P75" s="43" t="s">
        <v>81</v>
      </c>
      <c r="Q75" s="42" t="s">
        <v>80</v>
      </c>
      <c r="R75" s="42" t="s">
        <v>81</v>
      </c>
      <c r="S75" s="44"/>
      <c r="T75" s="42" t="s">
        <v>0</v>
      </c>
      <c r="U75" s="45" t="s">
        <v>1</v>
      </c>
      <c r="V75" s="46" t="s">
        <v>82</v>
      </c>
      <c r="W75" s="42" t="s">
        <v>0</v>
      </c>
      <c r="X75" s="45" t="s">
        <v>1</v>
      </c>
      <c r="Y75" s="46" t="s">
        <v>82</v>
      </c>
    </row>
    <row r="76" spans="1:25" ht="18" customHeight="1" x14ac:dyDescent="0.3">
      <c r="A76" s="80" t="s">
        <v>83</v>
      </c>
      <c r="B76" s="81"/>
      <c r="C76" s="81"/>
      <c r="D76" s="81"/>
      <c r="E76" s="82"/>
      <c r="F76" s="52">
        <v>1</v>
      </c>
      <c r="G76" s="52">
        <v>0</v>
      </c>
      <c r="H76" s="52">
        <v>0</v>
      </c>
      <c r="I76" s="52">
        <v>0</v>
      </c>
      <c r="J76" s="52">
        <v>0</v>
      </c>
      <c r="K76" s="52">
        <v>0</v>
      </c>
      <c r="L76" s="41"/>
      <c r="M76" s="109">
        <v>0</v>
      </c>
      <c r="N76" s="109">
        <v>0</v>
      </c>
      <c r="O76" s="122">
        <v>0</v>
      </c>
      <c r="P76" s="122">
        <v>0</v>
      </c>
      <c r="Q76" s="122">
        <v>0</v>
      </c>
      <c r="R76" s="122">
        <v>0</v>
      </c>
      <c r="S76" s="47" t="s">
        <v>68</v>
      </c>
      <c r="T76" s="54">
        <v>0</v>
      </c>
      <c r="U76" s="54">
        <v>0</v>
      </c>
      <c r="V76" s="54">
        <v>0</v>
      </c>
      <c r="W76" s="54">
        <v>0</v>
      </c>
      <c r="X76" s="54">
        <v>0</v>
      </c>
      <c r="Y76" s="54">
        <v>0</v>
      </c>
    </row>
    <row r="77" spans="1:25" ht="18" customHeight="1" x14ac:dyDescent="0.3">
      <c r="A77" s="80" t="s">
        <v>8</v>
      </c>
      <c r="B77" s="81"/>
      <c r="C77" s="81"/>
      <c r="D77" s="81"/>
      <c r="E77" s="82"/>
      <c r="F77" s="52">
        <v>0</v>
      </c>
      <c r="G77" s="55">
        <v>0</v>
      </c>
      <c r="H77" s="52">
        <v>0</v>
      </c>
      <c r="I77" s="56">
        <v>0</v>
      </c>
      <c r="J77" s="52">
        <v>0</v>
      </c>
      <c r="K77" s="52">
        <v>0</v>
      </c>
      <c r="L77" s="41"/>
      <c r="M77" s="121"/>
      <c r="N77" s="121"/>
      <c r="O77" s="123"/>
      <c r="P77" s="123"/>
      <c r="Q77" s="123"/>
      <c r="R77" s="123"/>
      <c r="S77" s="47" t="s">
        <v>69</v>
      </c>
      <c r="T77" s="54">
        <v>0</v>
      </c>
      <c r="U77" s="54">
        <v>0</v>
      </c>
      <c r="V77" s="54">
        <v>0</v>
      </c>
      <c r="W77" s="54">
        <v>0</v>
      </c>
      <c r="X77" s="54">
        <v>0</v>
      </c>
      <c r="Y77" s="54">
        <v>0</v>
      </c>
    </row>
    <row r="78" spans="1:25" ht="18" customHeight="1" x14ac:dyDescent="0.25">
      <c r="A78" s="86" t="s">
        <v>84</v>
      </c>
      <c r="B78" s="87"/>
      <c r="C78" s="87"/>
      <c r="D78" s="87"/>
      <c r="E78" s="88"/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41"/>
      <c r="M78" s="121"/>
      <c r="N78" s="121"/>
      <c r="O78" s="123"/>
      <c r="P78" s="123"/>
      <c r="Q78" s="123"/>
      <c r="R78" s="123"/>
      <c r="S78" s="89" t="s">
        <v>70</v>
      </c>
      <c r="T78" s="109">
        <v>0</v>
      </c>
      <c r="U78" s="109">
        <v>0</v>
      </c>
      <c r="V78" s="109">
        <v>0</v>
      </c>
      <c r="W78" s="109">
        <v>0</v>
      </c>
      <c r="X78" s="109">
        <v>0</v>
      </c>
      <c r="Y78" s="109">
        <v>0</v>
      </c>
    </row>
    <row r="79" spans="1:25" ht="18" customHeight="1" x14ac:dyDescent="0.25">
      <c r="A79" s="68" t="s">
        <v>7</v>
      </c>
      <c r="B79" s="69"/>
      <c r="C79" s="69"/>
      <c r="D79" s="69"/>
      <c r="E79" s="70"/>
      <c r="F79" s="10">
        <v>1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41"/>
      <c r="M79" s="110"/>
      <c r="N79" s="110"/>
      <c r="O79" s="124"/>
      <c r="P79" s="124"/>
      <c r="Q79" s="124"/>
      <c r="R79" s="124"/>
      <c r="S79" s="90"/>
      <c r="T79" s="110"/>
      <c r="U79" s="110"/>
      <c r="V79" s="110"/>
      <c r="W79" s="110"/>
      <c r="X79" s="110"/>
      <c r="Y79" s="110"/>
    </row>
    <row r="80" spans="1:25" ht="23.4" x14ac:dyDescent="0.45">
      <c r="A80" s="120" t="s">
        <v>17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</row>
    <row r="81" spans="1:25" ht="23.4" x14ac:dyDescent="0.25">
      <c r="A81" s="111" t="s">
        <v>18</v>
      </c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"/>
      <c r="U81" s="112" t="s">
        <v>19</v>
      </c>
      <c r="V81" s="112"/>
      <c r="W81" s="1"/>
      <c r="X81" s="1"/>
      <c r="Y81" s="1"/>
    </row>
    <row r="82" spans="1:25" ht="30.9" customHeight="1" x14ac:dyDescent="0.25">
      <c r="A82" s="113" t="s">
        <v>20</v>
      </c>
      <c r="B82" s="113"/>
      <c r="C82" s="113"/>
      <c r="D82" s="113"/>
      <c r="E82" s="114" t="s">
        <v>9</v>
      </c>
      <c r="F82" s="114"/>
      <c r="G82" s="114"/>
      <c r="H82" s="116" t="s">
        <v>22</v>
      </c>
      <c r="I82" s="116"/>
      <c r="J82" s="115">
        <v>0</v>
      </c>
      <c r="K82" s="115"/>
      <c r="L82" s="116" t="s">
        <v>23</v>
      </c>
      <c r="M82" s="116"/>
      <c r="N82" s="117">
        <v>0</v>
      </c>
      <c r="O82" s="117"/>
      <c r="P82" s="117"/>
      <c r="Q82" s="118" t="s">
        <v>24</v>
      </c>
      <c r="R82" s="118"/>
      <c r="S82" s="118"/>
      <c r="T82" s="118"/>
      <c r="U82" s="119" t="s">
        <v>86</v>
      </c>
      <c r="V82" s="119"/>
      <c r="W82" s="119"/>
      <c r="X82" s="147" t="s">
        <v>93</v>
      </c>
      <c r="Y82" s="147"/>
    </row>
    <row r="83" spans="1:25" ht="15" customHeight="1" x14ac:dyDescent="0.25">
      <c r="Q83" s="118"/>
      <c r="R83" s="118"/>
      <c r="S83" s="118"/>
      <c r="T83" s="118"/>
      <c r="U83" s="119"/>
      <c r="V83" s="119"/>
      <c r="W83" s="119"/>
      <c r="X83" s="147"/>
      <c r="Y83" s="147"/>
    </row>
    <row r="84" spans="1:25" ht="15.6" x14ac:dyDescent="0.3">
      <c r="A84" s="166" t="s">
        <v>26</v>
      </c>
      <c r="B84" s="166"/>
      <c r="C84" s="166"/>
      <c r="D84" s="166"/>
      <c r="E84" s="166"/>
      <c r="F84" s="166"/>
      <c r="G84" s="167" t="s">
        <v>27</v>
      </c>
      <c r="H84" s="167"/>
      <c r="I84" s="167"/>
      <c r="J84" s="167"/>
      <c r="K84" s="167"/>
      <c r="L84" s="167"/>
      <c r="M84" s="167"/>
      <c r="N84" s="2"/>
      <c r="Q84" s="168" t="s">
        <v>28</v>
      </c>
      <c r="R84" s="168"/>
      <c r="S84" s="168"/>
      <c r="T84" s="168"/>
      <c r="U84" s="168"/>
      <c r="V84" s="148" t="s">
        <v>29</v>
      </c>
      <c r="W84" s="148"/>
      <c r="X84" s="148"/>
      <c r="Y84" s="148"/>
    </row>
    <row r="85" spans="1:2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" customHeight="1" x14ac:dyDescent="0.25">
      <c r="A86" s="149" t="s">
        <v>31</v>
      </c>
      <c r="B86" s="150"/>
      <c r="C86" s="150"/>
      <c r="D86" s="150"/>
      <c r="E86" s="150"/>
      <c r="F86" s="150"/>
      <c r="G86" s="150"/>
      <c r="H86" s="150"/>
      <c r="I86" s="151"/>
      <c r="J86" s="152" t="s">
        <v>32</v>
      </c>
      <c r="K86" s="153"/>
      <c r="L86" s="152" t="s">
        <v>33</v>
      </c>
      <c r="M86" s="153"/>
      <c r="N86" s="91" t="s">
        <v>34</v>
      </c>
      <c r="O86" s="92"/>
      <c r="P86" s="152" t="s">
        <v>35</v>
      </c>
      <c r="Q86" s="153"/>
      <c r="R86" s="68" t="s">
        <v>36</v>
      </c>
      <c r="S86" s="69"/>
      <c r="T86" s="69"/>
      <c r="U86" s="69"/>
      <c r="V86" s="69"/>
      <c r="W86" s="70"/>
      <c r="X86" s="152" t="s">
        <v>7</v>
      </c>
      <c r="Y86" s="153"/>
    </row>
    <row r="87" spans="1:25" ht="23.25" customHeight="1" x14ac:dyDescent="0.25">
      <c r="A87" s="158" t="s">
        <v>37</v>
      </c>
      <c r="B87" s="159"/>
      <c r="C87" s="159"/>
      <c r="D87" s="159"/>
      <c r="E87" s="159"/>
      <c r="F87" s="159"/>
      <c r="G87" s="159"/>
      <c r="H87" s="159"/>
      <c r="I87" s="160"/>
      <c r="J87" s="154"/>
      <c r="K87" s="155"/>
      <c r="L87" s="154"/>
      <c r="M87" s="155"/>
      <c r="N87" s="93"/>
      <c r="O87" s="94"/>
      <c r="P87" s="154"/>
      <c r="Q87" s="155"/>
      <c r="R87" s="164" t="s">
        <v>38</v>
      </c>
      <c r="S87" s="164"/>
      <c r="T87" s="164" t="s">
        <v>39</v>
      </c>
      <c r="U87" s="164"/>
      <c r="V87" s="164" t="s">
        <v>40</v>
      </c>
      <c r="W87" s="164"/>
      <c r="X87" s="154"/>
      <c r="Y87" s="155"/>
    </row>
    <row r="88" spans="1:25" x14ac:dyDescent="0.25">
      <c r="A88" s="161"/>
      <c r="B88" s="162"/>
      <c r="C88" s="162"/>
      <c r="D88" s="162"/>
      <c r="E88" s="162"/>
      <c r="F88" s="162"/>
      <c r="G88" s="162"/>
      <c r="H88" s="162"/>
      <c r="I88" s="163"/>
      <c r="J88" s="156"/>
      <c r="K88" s="157"/>
      <c r="L88" s="156"/>
      <c r="M88" s="157"/>
      <c r="N88" s="95"/>
      <c r="O88" s="96"/>
      <c r="P88" s="156"/>
      <c r="Q88" s="157"/>
      <c r="R88" s="165"/>
      <c r="S88" s="165"/>
      <c r="T88" s="165"/>
      <c r="U88" s="165"/>
      <c r="V88" s="165"/>
      <c r="W88" s="165"/>
      <c r="X88" s="156"/>
      <c r="Y88" s="157"/>
    </row>
    <row r="89" spans="1:25" ht="18" customHeight="1" x14ac:dyDescent="0.3">
      <c r="A89" s="106" t="s">
        <v>41</v>
      </c>
      <c r="B89" s="107"/>
      <c r="C89" s="107"/>
      <c r="D89" s="107"/>
      <c r="E89" s="107"/>
      <c r="F89" s="107"/>
      <c r="G89" s="107"/>
      <c r="H89" s="107"/>
      <c r="I89" s="108"/>
      <c r="J89" s="137">
        <v>2</v>
      </c>
      <c r="K89" s="138"/>
      <c r="L89" s="137">
        <v>0</v>
      </c>
      <c r="M89" s="138"/>
      <c r="N89" s="137">
        <v>0</v>
      </c>
      <c r="O89" s="138"/>
      <c r="P89" s="68">
        <v>2</v>
      </c>
      <c r="Q89" s="70"/>
      <c r="R89" s="137">
        <v>0</v>
      </c>
      <c r="S89" s="138"/>
      <c r="T89" s="137">
        <v>0</v>
      </c>
      <c r="U89" s="138"/>
      <c r="V89" s="137">
        <v>0</v>
      </c>
      <c r="W89" s="138"/>
      <c r="X89" s="80">
        <v>2</v>
      </c>
      <c r="Y89" s="82"/>
    </row>
    <row r="90" spans="1:25" ht="18" customHeight="1" x14ac:dyDescent="0.3">
      <c r="A90" s="106" t="s">
        <v>42</v>
      </c>
      <c r="B90" s="107"/>
      <c r="C90" s="107"/>
      <c r="D90" s="107"/>
      <c r="E90" s="107"/>
      <c r="F90" s="107"/>
      <c r="G90" s="107"/>
      <c r="H90" s="107"/>
      <c r="I90" s="108"/>
      <c r="J90" s="137">
        <v>0</v>
      </c>
      <c r="K90" s="138"/>
      <c r="L90" s="137">
        <v>0</v>
      </c>
      <c r="M90" s="138"/>
      <c r="N90" s="137">
        <v>0</v>
      </c>
      <c r="O90" s="138"/>
      <c r="P90" s="68">
        <v>0</v>
      </c>
      <c r="Q90" s="70"/>
      <c r="R90" s="137">
        <v>0</v>
      </c>
      <c r="S90" s="138"/>
      <c r="T90" s="137">
        <v>0</v>
      </c>
      <c r="U90" s="138"/>
      <c r="V90" s="137">
        <v>0</v>
      </c>
      <c r="W90" s="138"/>
      <c r="X90" s="80">
        <v>0</v>
      </c>
      <c r="Y90" s="82"/>
    </row>
    <row r="91" spans="1:25" ht="18" customHeight="1" x14ac:dyDescent="0.3">
      <c r="A91" s="106" t="s">
        <v>43</v>
      </c>
      <c r="B91" s="107"/>
      <c r="C91" s="107"/>
      <c r="D91" s="107"/>
      <c r="E91" s="107"/>
      <c r="F91" s="107"/>
      <c r="G91" s="107"/>
      <c r="H91" s="107"/>
      <c r="I91" s="108"/>
      <c r="J91" s="137">
        <v>0</v>
      </c>
      <c r="K91" s="138"/>
      <c r="L91" s="137">
        <v>0</v>
      </c>
      <c r="M91" s="138"/>
      <c r="N91" s="137">
        <v>0</v>
      </c>
      <c r="O91" s="138"/>
      <c r="P91" s="68">
        <v>0</v>
      </c>
      <c r="Q91" s="70"/>
      <c r="R91" s="137">
        <v>0</v>
      </c>
      <c r="S91" s="138"/>
      <c r="T91" s="137">
        <v>0</v>
      </c>
      <c r="U91" s="138"/>
      <c r="V91" s="137">
        <v>0</v>
      </c>
      <c r="W91" s="138"/>
      <c r="X91" s="80">
        <v>0</v>
      </c>
      <c r="Y91" s="82"/>
    </row>
    <row r="92" spans="1:25" ht="18" customHeight="1" x14ac:dyDescent="0.3">
      <c r="A92" s="106" t="s">
        <v>44</v>
      </c>
      <c r="B92" s="107"/>
      <c r="C92" s="107"/>
      <c r="D92" s="107"/>
      <c r="E92" s="107"/>
      <c r="F92" s="107"/>
      <c r="G92" s="107"/>
      <c r="H92" s="107"/>
      <c r="I92" s="108"/>
      <c r="J92" s="137">
        <v>1</v>
      </c>
      <c r="K92" s="138"/>
      <c r="L92" s="137">
        <v>0</v>
      </c>
      <c r="M92" s="138"/>
      <c r="N92" s="137">
        <v>0</v>
      </c>
      <c r="O92" s="138"/>
      <c r="P92" s="68">
        <v>1</v>
      </c>
      <c r="Q92" s="70"/>
      <c r="R92" s="137">
        <v>0</v>
      </c>
      <c r="S92" s="138"/>
      <c r="T92" s="137">
        <v>0</v>
      </c>
      <c r="U92" s="138"/>
      <c r="V92" s="137">
        <v>0</v>
      </c>
      <c r="W92" s="138"/>
      <c r="X92" s="80">
        <v>1</v>
      </c>
      <c r="Y92" s="82"/>
    </row>
    <row r="93" spans="1:25" ht="18" customHeight="1" x14ac:dyDescent="0.3">
      <c r="A93" s="106" t="s">
        <v>7</v>
      </c>
      <c r="B93" s="107"/>
      <c r="C93" s="107"/>
      <c r="D93" s="107"/>
      <c r="E93" s="107"/>
      <c r="F93" s="107"/>
      <c r="G93" s="107"/>
      <c r="H93" s="107"/>
      <c r="I93" s="108"/>
      <c r="J93" s="68">
        <v>3</v>
      </c>
      <c r="K93" s="70"/>
      <c r="L93" s="68">
        <v>0</v>
      </c>
      <c r="M93" s="70"/>
      <c r="N93" s="68">
        <v>0</v>
      </c>
      <c r="O93" s="70"/>
      <c r="P93" s="68">
        <v>3</v>
      </c>
      <c r="Q93" s="70"/>
      <c r="R93" s="68">
        <v>0</v>
      </c>
      <c r="S93" s="70"/>
      <c r="T93" s="68">
        <v>0</v>
      </c>
      <c r="U93" s="70"/>
      <c r="V93" s="68">
        <v>0</v>
      </c>
      <c r="W93" s="70"/>
      <c r="X93" s="80">
        <v>3</v>
      </c>
      <c r="Y93" s="82"/>
    </row>
    <row r="94" spans="1:25" ht="15.6" x14ac:dyDescent="0.3">
      <c r="A94" s="4" t="s">
        <v>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"/>
      <c r="S94" s="6"/>
      <c r="T94" s="6"/>
      <c r="U94" s="6"/>
      <c r="V94" s="6"/>
      <c r="W94" s="6"/>
      <c r="X94" s="6"/>
      <c r="Y94" s="7"/>
    </row>
    <row r="95" spans="1:25" x14ac:dyDescent="0.25">
      <c r="A95" s="71"/>
      <c r="B95" s="72"/>
      <c r="C95" s="72"/>
      <c r="D95" s="72"/>
      <c r="E95" s="72"/>
      <c r="F95" s="72"/>
      <c r="G95" s="73"/>
      <c r="H95" s="68" t="s">
        <v>0</v>
      </c>
      <c r="I95" s="69"/>
      <c r="J95" s="136" t="s">
        <v>1</v>
      </c>
      <c r="K95" s="69"/>
      <c r="L95" s="134" t="s">
        <v>2</v>
      </c>
      <c r="M95" s="69"/>
      <c r="N95" s="134" t="s">
        <v>3</v>
      </c>
      <c r="O95" s="69"/>
      <c r="P95" s="134" t="s">
        <v>4</v>
      </c>
      <c r="Q95" s="135"/>
      <c r="R95" s="134" t="s">
        <v>5</v>
      </c>
      <c r="S95" s="69"/>
      <c r="T95" s="134" t="s">
        <v>6</v>
      </c>
      <c r="U95" s="69"/>
      <c r="V95" s="134" t="s">
        <v>46</v>
      </c>
      <c r="W95" s="69"/>
      <c r="X95" s="134" t="s">
        <v>7</v>
      </c>
      <c r="Y95" s="135"/>
    </row>
    <row r="96" spans="1:25" x14ac:dyDescent="0.25">
      <c r="A96" s="74"/>
      <c r="B96" s="75"/>
      <c r="C96" s="75"/>
      <c r="D96" s="75"/>
      <c r="E96" s="75"/>
      <c r="F96" s="75"/>
      <c r="G96" s="76"/>
      <c r="H96" s="10" t="s">
        <v>10</v>
      </c>
      <c r="I96" s="10" t="s">
        <v>11</v>
      </c>
      <c r="J96" s="10" t="s">
        <v>10</v>
      </c>
      <c r="K96" s="10" t="s">
        <v>11</v>
      </c>
      <c r="L96" s="10" t="s">
        <v>10</v>
      </c>
      <c r="M96" s="10" t="s">
        <v>11</v>
      </c>
      <c r="N96" s="10" t="s">
        <v>10</v>
      </c>
      <c r="O96" s="10" t="s">
        <v>11</v>
      </c>
      <c r="P96" s="10" t="s">
        <v>10</v>
      </c>
      <c r="Q96" s="10" t="s">
        <v>11</v>
      </c>
      <c r="R96" s="10" t="s">
        <v>10</v>
      </c>
      <c r="S96" s="10" t="s">
        <v>11</v>
      </c>
      <c r="T96" s="10" t="s">
        <v>10</v>
      </c>
      <c r="U96" s="10" t="s">
        <v>11</v>
      </c>
      <c r="V96" s="10" t="s">
        <v>10</v>
      </c>
      <c r="W96" s="10" t="s">
        <v>11</v>
      </c>
      <c r="X96" s="10" t="s">
        <v>10</v>
      </c>
      <c r="Y96" s="10" t="s">
        <v>11</v>
      </c>
    </row>
    <row r="97" spans="1:25" ht="18" customHeight="1" x14ac:dyDescent="0.25">
      <c r="A97" s="106" t="s">
        <v>41</v>
      </c>
      <c r="B97" s="107"/>
      <c r="C97" s="107"/>
      <c r="D97" s="107"/>
      <c r="E97" s="107"/>
      <c r="F97" s="107"/>
      <c r="G97" s="108"/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2</v>
      </c>
      <c r="W97" s="52">
        <v>0</v>
      </c>
      <c r="X97" s="10">
        <v>2</v>
      </c>
      <c r="Y97" s="10">
        <v>0</v>
      </c>
    </row>
    <row r="98" spans="1:25" ht="18" customHeight="1" x14ac:dyDescent="0.25">
      <c r="A98" s="106" t="s">
        <v>42</v>
      </c>
      <c r="B98" s="107"/>
      <c r="C98" s="107"/>
      <c r="D98" s="107"/>
      <c r="E98" s="107"/>
      <c r="F98" s="107"/>
      <c r="G98" s="108"/>
      <c r="H98" s="52">
        <v>0</v>
      </c>
      <c r="I98" s="52">
        <v>0</v>
      </c>
      <c r="J98" s="52">
        <v>0</v>
      </c>
      <c r="K98" s="52">
        <v>0</v>
      </c>
      <c r="L98" s="52">
        <v>0</v>
      </c>
      <c r="M98" s="52">
        <v>0</v>
      </c>
      <c r="N98" s="52">
        <v>0</v>
      </c>
      <c r="O98" s="52">
        <v>0</v>
      </c>
      <c r="P98" s="52">
        <v>0</v>
      </c>
      <c r="Q98" s="52">
        <v>0</v>
      </c>
      <c r="R98" s="52">
        <v>0</v>
      </c>
      <c r="S98" s="52">
        <v>0</v>
      </c>
      <c r="T98" s="52">
        <v>0</v>
      </c>
      <c r="U98" s="52">
        <v>0</v>
      </c>
      <c r="V98" s="52">
        <v>0</v>
      </c>
      <c r="W98" s="52">
        <v>0</v>
      </c>
      <c r="X98" s="10">
        <v>0</v>
      </c>
      <c r="Y98" s="10">
        <v>0</v>
      </c>
    </row>
    <row r="99" spans="1:25" ht="18" customHeight="1" x14ac:dyDescent="0.25">
      <c r="A99" s="106" t="s">
        <v>43</v>
      </c>
      <c r="B99" s="107"/>
      <c r="C99" s="107"/>
      <c r="D99" s="107"/>
      <c r="E99" s="107"/>
      <c r="F99" s="107"/>
      <c r="G99" s="108"/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  <c r="Q99" s="52">
        <v>0</v>
      </c>
      <c r="R99" s="52">
        <v>0</v>
      </c>
      <c r="S99" s="52">
        <v>0</v>
      </c>
      <c r="T99" s="52">
        <v>0</v>
      </c>
      <c r="U99" s="52">
        <v>0</v>
      </c>
      <c r="V99" s="52">
        <v>0</v>
      </c>
      <c r="W99" s="52">
        <v>0</v>
      </c>
      <c r="X99" s="10">
        <v>0</v>
      </c>
      <c r="Y99" s="10">
        <v>0</v>
      </c>
    </row>
    <row r="100" spans="1:25" ht="18" customHeight="1" x14ac:dyDescent="0.25">
      <c r="A100" s="106" t="s">
        <v>44</v>
      </c>
      <c r="B100" s="107"/>
      <c r="C100" s="107"/>
      <c r="D100" s="107"/>
      <c r="E100" s="107"/>
      <c r="F100" s="107"/>
      <c r="G100" s="108"/>
      <c r="H100" s="52">
        <v>0</v>
      </c>
      <c r="I100" s="52">
        <v>0</v>
      </c>
      <c r="J100" s="52">
        <v>0</v>
      </c>
      <c r="K100" s="52">
        <v>0</v>
      </c>
      <c r="L100" s="52">
        <v>0</v>
      </c>
      <c r="M100" s="52">
        <v>1</v>
      </c>
      <c r="N100" s="52">
        <v>0</v>
      </c>
      <c r="O100" s="52">
        <v>0</v>
      </c>
      <c r="P100" s="52">
        <v>0</v>
      </c>
      <c r="Q100" s="52">
        <v>0</v>
      </c>
      <c r="R100" s="52">
        <v>0</v>
      </c>
      <c r="S100" s="52">
        <v>0</v>
      </c>
      <c r="T100" s="52">
        <v>0</v>
      </c>
      <c r="U100" s="52">
        <v>0</v>
      </c>
      <c r="V100" s="52">
        <v>0</v>
      </c>
      <c r="W100" s="52">
        <v>0</v>
      </c>
      <c r="X100" s="10">
        <v>0</v>
      </c>
      <c r="Y100" s="10">
        <v>1</v>
      </c>
    </row>
    <row r="101" spans="1:25" ht="18" customHeight="1" x14ac:dyDescent="0.25">
      <c r="A101" s="106" t="s">
        <v>7</v>
      </c>
      <c r="B101" s="107"/>
      <c r="C101" s="107"/>
      <c r="D101" s="107"/>
      <c r="E101" s="107"/>
      <c r="F101" s="107"/>
      <c r="G101" s="108"/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1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2</v>
      </c>
      <c r="W101" s="10">
        <v>0</v>
      </c>
      <c r="X101" s="10">
        <v>2</v>
      </c>
      <c r="Y101" s="10">
        <v>1</v>
      </c>
    </row>
    <row r="102" spans="1:25" ht="6.75" customHeight="1" x14ac:dyDescent="0.25">
      <c r="A102" s="11"/>
      <c r="B102" s="12"/>
      <c r="C102" s="12"/>
      <c r="D102" s="12"/>
      <c r="E102" s="12"/>
      <c r="F102" s="13"/>
      <c r="G102" s="13"/>
      <c r="H102" s="13"/>
      <c r="I102" s="13"/>
      <c r="J102" s="13"/>
      <c r="K102" s="13"/>
      <c r="L102" s="14"/>
      <c r="M102" s="13"/>
      <c r="N102" s="15"/>
      <c r="O102" s="16"/>
      <c r="P102" s="13"/>
      <c r="Q102" s="13"/>
      <c r="R102" s="13"/>
      <c r="S102" s="13"/>
      <c r="T102" s="13"/>
      <c r="U102" s="13"/>
      <c r="V102" s="13"/>
      <c r="W102" s="13"/>
      <c r="X102" s="13"/>
      <c r="Y102" s="17"/>
    </row>
    <row r="103" spans="1:25" ht="18" customHeight="1" x14ac:dyDescent="0.3">
      <c r="A103" s="18" t="s">
        <v>47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20"/>
      <c r="L103" s="21"/>
      <c r="M103" s="18" t="s">
        <v>48</v>
      </c>
      <c r="N103" s="19"/>
      <c r="O103" s="19"/>
      <c r="P103" s="19"/>
      <c r="Q103" s="22"/>
      <c r="R103" s="22"/>
      <c r="S103" s="22"/>
      <c r="T103" s="22"/>
      <c r="U103" s="22"/>
      <c r="V103" s="22"/>
      <c r="W103" s="22"/>
      <c r="X103" s="22"/>
      <c r="Y103" s="23"/>
    </row>
    <row r="104" spans="1:25" ht="57.75" customHeight="1" x14ac:dyDescent="0.25">
      <c r="A104" s="101" t="s">
        <v>49</v>
      </c>
      <c r="B104" s="101" t="s">
        <v>50</v>
      </c>
      <c r="C104" s="101" t="s">
        <v>51</v>
      </c>
      <c r="D104" s="77" t="s">
        <v>52</v>
      </c>
      <c r="E104" s="78"/>
      <c r="F104" s="77" t="s">
        <v>53</v>
      </c>
      <c r="G104" s="79"/>
      <c r="H104" s="79"/>
      <c r="I104" s="78"/>
      <c r="J104" s="101" t="s">
        <v>54</v>
      </c>
      <c r="K104" s="101" t="s">
        <v>55</v>
      </c>
      <c r="L104" s="24"/>
      <c r="M104" s="86" t="s">
        <v>56</v>
      </c>
      <c r="N104" s="88"/>
      <c r="O104" s="86" t="s">
        <v>57</v>
      </c>
      <c r="P104" s="88"/>
      <c r="Q104" s="86" t="s">
        <v>58</v>
      </c>
      <c r="R104" s="87"/>
      <c r="S104" s="87"/>
      <c r="T104" s="87"/>
      <c r="U104" s="87"/>
      <c r="V104" s="87"/>
      <c r="W104" s="87"/>
      <c r="X104" s="87"/>
      <c r="Y104" s="88"/>
    </row>
    <row r="105" spans="1:25" ht="38.25" customHeight="1" x14ac:dyDescent="0.25">
      <c r="A105" s="102"/>
      <c r="B105" s="102"/>
      <c r="C105" s="102"/>
      <c r="D105" s="25" t="s">
        <v>59</v>
      </c>
      <c r="E105" s="25" t="s">
        <v>60</v>
      </c>
      <c r="F105" s="26" t="s">
        <v>59</v>
      </c>
      <c r="G105" s="26" t="s">
        <v>60</v>
      </c>
      <c r="H105" s="26" t="s">
        <v>61</v>
      </c>
      <c r="I105" s="26" t="s">
        <v>62</v>
      </c>
      <c r="J105" s="102"/>
      <c r="K105" s="102"/>
      <c r="L105" s="24"/>
      <c r="M105" s="128">
        <v>0</v>
      </c>
      <c r="N105" s="129"/>
      <c r="O105" s="128">
        <v>0</v>
      </c>
      <c r="P105" s="129"/>
      <c r="Q105" s="145">
        <v>0</v>
      </c>
      <c r="R105" s="169"/>
      <c r="S105" s="169"/>
      <c r="T105" s="169"/>
      <c r="U105" s="169"/>
      <c r="V105" s="169"/>
      <c r="W105" s="169"/>
      <c r="X105" s="169"/>
      <c r="Y105" s="146"/>
    </row>
    <row r="106" spans="1:25" ht="38.25" customHeight="1" x14ac:dyDescent="0.25">
      <c r="A106" s="125">
        <v>1897</v>
      </c>
      <c r="B106" s="125">
        <v>36</v>
      </c>
      <c r="C106" s="125">
        <v>0</v>
      </c>
      <c r="D106" s="125">
        <v>32</v>
      </c>
      <c r="E106" s="125">
        <v>0</v>
      </c>
      <c r="F106" s="125">
        <v>0</v>
      </c>
      <c r="G106" s="125">
        <v>0</v>
      </c>
      <c r="H106" s="125">
        <v>3</v>
      </c>
      <c r="I106" s="125">
        <v>3</v>
      </c>
      <c r="J106" s="125">
        <v>2</v>
      </c>
      <c r="K106" s="125">
        <v>0</v>
      </c>
      <c r="L106" s="24"/>
      <c r="M106" s="91" t="s">
        <v>63</v>
      </c>
      <c r="N106" s="92"/>
      <c r="O106" s="91" t="s">
        <v>64</v>
      </c>
      <c r="P106" s="92"/>
      <c r="Q106" s="95" t="s">
        <v>65</v>
      </c>
      <c r="R106" s="99"/>
      <c r="S106" s="96"/>
      <c r="T106" s="95" t="s">
        <v>66</v>
      </c>
      <c r="U106" s="99"/>
      <c r="V106" s="99"/>
      <c r="W106" s="99"/>
      <c r="X106" s="99"/>
      <c r="Y106" s="96"/>
    </row>
    <row r="107" spans="1:25" ht="19.5" customHeight="1" x14ac:dyDescent="0.25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27"/>
      <c r="M107" s="128">
        <v>0</v>
      </c>
      <c r="N107" s="129"/>
      <c r="O107" s="122">
        <v>0</v>
      </c>
      <c r="P107" s="122"/>
      <c r="Q107" s="128">
        <v>0</v>
      </c>
      <c r="R107" s="139"/>
      <c r="S107" s="129"/>
      <c r="T107" s="28"/>
      <c r="U107" s="86" t="s">
        <v>0</v>
      </c>
      <c r="V107" s="88"/>
      <c r="W107" s="29" t="s">
        <v>1</v>
      </c>
      <c r="X107" s="86" t="s">
        <v>67</v>
      </c>
      <c r="Y107" s="88"/>
    </row>
    <row r="108" spans="1:25" ht="18" customHeight="1" x14ac:dyDescent="0.25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27"/>
      <c r="M108" s="130"/>
      <c r="N108" s="131"/>
      <c r="O108" s="123"/>
      <c r="P108" s="123"/>
      <c r="Q108" s="130"/>
      <c r="R108" s="140"/>
      <c r="S108" s="131"/>
      <c r="T108" s="30" t="s">
        <v>68</v>
      </c>
      <c r="U108" s="142">
        <v>0</v>
      </c>
      <c r="V108" s="142"/>
      <c r="W108" s="53">
        <v>0</v>
      </c>
      <c r="X108" s="143">
        <v>0</v>
      </c>
      <c r="Y108" s="144"/>
    </row>
    <row r="109" spans="1:25" ht="18" customHeight="1" x14ac:dyDescent="0.25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27"/>
      <c r="M109" s="130"/>
      <c r="N109" s="131"/>
      <c r="O109" s="123"/>
      <c r="P109" s="123"/>
      <c r="Q109" s="130"/>
      <c r="R109" s="140"/>
      <c r="S109" s="131"/>
      <c r="T109" s="30" t="s">
        <v>69</v>
      </c>
      <c r="U109" s="145">
        <v>0</v>
      </c>
      <c r="V109" s="146"/>
      <c r="W109" s="53">
        <v>0</v>
      </c>
      <c r="X109" s="143">
        <v>0</v>
      </c>
      <c r="Y109" s="144"/>
    </row>
    <row r="110" spans="1:25" ht="18" customHeight="1" x14ac:dyDescent="0.25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27"/>
      <c r="M110" s="132"/>
      <c r="N110" s="133"/>
      <c r="O110" s="124"/>
      <c r="P110" s="124"/>
      <c r="Q110" s="132"/>
      <c r="R110" s="141"/>
      <c r="S110" s="133"/>
      <c r="T110" s="30" t="s">
        <v>70</v>
      </c>
      <c r="U110" s="145">
        <v>0</v>
      </c>
      <c r="V110" s="146"/>
      <c r="W110" s="53">
        <v>0</v>
      </c>
      <c r="X110" s="143">
        <v>0</v>
      </c>
      <c r="Y110" s="144"/>
    </row>
    <row r="111" spans="1:25" ht="8.25" customHeight="1" x14ac:dyDescent="0.25">
      <c r="A111" s="31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3"/>
      <c r="M111" s="32"/>
      <c r="N111" s="32"/>
      <c r="O111" s="32"/>
      <c r="P111" s="32"/>
      <c r="Q111" s="32"/>
      <c r="R111" s="34"/>
      <c r="S111" s="34"/>
      <c r="T111" s="34"/>
      <c r="U111" s="34"/>
      <c r="V111" s="34"/>
      <c r="W111" s="32"/>
      <c r="X111" s="32"/>
      <c r="Y111" s="7"/>
    </row>
    <row r="112" spans="1:25" ht="18" customHeight="1" x14ac:dyDescent="0.3">
      <c r="A112" s="18" t="s">
        <v>71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20"/>
      <c r="L112" s="35"/>
      <c r="M112" s="18" t="s">
        <v>72</v>
      </c>
      <c r="N112" s="20"/>
      <c r="O112" s="36"/>
      <c r="P112" s="19"/>
      <c r="Q112" s="19"/>
      <c r="R112" s="19"/>
      <c r="S112" s="19"/>
      <c r="T112" s="19"/>
      <c r="U112" s="19"/>
      <c r="V112" s="19"/>
      <c r="W112" s="22"/>
      <c r="X112" s="22"/>
      <c r="Y112" s="37"/>
    </row>
    <row r="113" spans="1:25" ht="57" customHeight="1" x14ac:dyDescent="0.25">
      <c r="A113" s="71"/>
      <c r="B113" s="72"/>
      <c r="C113" s="72"/>
      <c r="D113" s="72"/>
      <c r="E113" s="73"/>
      <c r="F113" s="68" t="s">
        <v>12</v>
      </c>
      <c r="G113" s="70"/>
      <c r="H113" s="68" t="s">
        <v>13</v>
      </c>
      <c r="I113" s="70"/>
      <c r="J113" s="38" t="s">
        <v>73</v>
      </c>
      <c r="K113" s="39"/>
      <c r="L113" s="40"/>
      <c r="M113" s="77" t="s">
        <v>74</v>
      </c>
      <c r="N113" s="78"/>
      <c r="O113" s="77" t="s">
        <v>75</v>
      </c>
      <c r="P113" s="78"/>
      <c r="Q113" s="77" t="s">
        <v>76</v>
      </c>
      <c r="R113" s="78"/>
      <c r="S113" s="77" t="s">
        <v>77</v>
      </c>
      <c r="T113" s="79"/>
      <c r="U113" s="79"/>
      <c r="V113" s="78"/>
      <c r="W113" s="77" t="s">
        <v>78</v>
      </c>
      <c r="X113" s="79"/>
      <c r="Y113" s="78"/>
    </row>
    <row r="114" spans="1:25" ht="13.5" customHeight="1" x14ac:dyDescent="0.25">
      <c r="A114" s="74"/>
      <c r="B114" s="75"/>
      <c r="C114" s="75"/>
      <c r="D114" s="75"/>
      <c r="E114" s="76"/>
      <c r="F114" s="10" t="s">
        <v>79</v>
      </c>
      <c r="G114" s="10" t="s">
        <v>14</v>
      </c>
      <c r="H114" s="10" t="s">
        <v>79</v>
      </c>
      <c r="I114" s="10" t="s">
        <v>14</v>
      </c>
      <c r="J114" s="10" t="s">
        <v>79</v>
      </c>
      <c r="K114" s="10" t="s">
        <v>14</v>
      </c>
      <c r="L114" s="41"/>
      <c r="M114" s="42" t="s">
        <v>80</v>
      </c>
      <c r="N114" s="42" t="s">
        <v>81</v>
      </c>
      <c r="O114" s="42" t="s">
        <v>80</v>
      </c>
      <c r="P114" s="43" t="s">
        <v>81</v>
      </c>
      <c r="Q114" s="42" t="s">
        <v>80</v>
      </c>
      <c r="R114" s="42" t="s">
        <v>81</v>
      </c>
      <c r="S114" s="44"/>
      <c r="T114" s="42" t="s">
        <v>0</v>
      </c>
      <c r="U114" s="45" t="s">
        <v>1</v>
      </c>
      <c r="V114" s="46" t="s">
        <v>82</v>
      </c>
      <c r="W114" s="42" t="s">
        <v>0</v>
      </c>
      <c r="X114" s="45" t="s">
        <v>1</v>
      </c>
      <c r="Y114" s="46" t="s">
        <v>82</v>
      </c>
    </row>
    <row r="115" spans="1:25" ht="18" customHeight="1" x14ac:dyDescent="0.3">
      <c r="A115" s="80" t="s">
        <v>83</v>
      </c>
      <c r="B115" s="81"/>
      <c r="C115" s="81"/>
      <c r="D115" s="81"/>
      <c r="E115" s="82"/>
      <c r="F115" s="52">
        <v>0</v>
      </c>
      <c r="G115" s="52">
        <v>0</v>
      </c>
      <c r="H115" s="52">
        <v>0</v>
      </c>
      <c r="I115" s="52">
        <v>0</v>
      </c>
      <c r="J115" s="52">
        <v>0</v>
      </c>
      <c r="K115" s="52">
        <v>0</v>
      </c>
      <c r="L115" s="41"/>
      <c r="M115" s="109">
        <v>0</v>
      </c>
      <c r="N115" s="109">
        <v>0</v>
      </c>
      <c r="O115" s="122">
        <v>0</v>
      </c>
      <c r="P115" s="122">
        <v>0</v>
      </c>
      <c r="Q115" s="122">
        <v>0</v>
      </c>
      <c r="R115" s="122">
        <v>0</v>
      </c>
      <c r="S115" s="47" t="s">
        <v>68</v>
      </c>
      <c r="T115" s="54">
        <v>0</v>
      </c>
      <c r="U115" s="54">
        <v>0</v>
      </c>
      <c r="V115" s="54">
        <v>0</v>
      </c>
      <c r="W115" s="54">
        <v>0</v>
      </c>
      <c r="X115" s="54">
        <v>0</v>
      </c>
      <c r="Y115" s="54">
        <v>0</v>
      </c>
    </row>
    <row r="116" spans="1:25" ht="18" customHeight="1" x14ac:dyDescent="0.3">
      <c r="A116" s="80" t="s">
        <v>8</v>
      </c>
      <c r="B116" s="81"/>
      <c r="C116" s="81"/>
      <c r="D116" s="81"/>
      <c r="E116" s="82"/>
      <c r="F116" s="52">
        <v>0</v>
      </c>
      <c r="G116" s="55">
        <v>0</v>
      </c>
      <c r="H116" s="52">
        <v>0</v>
      </c>
      <c r="I116" s="56">
        <v>0</v>
      </c>
      <c r="J116" s="52">
        <v>0</v>
      </c>
      <c r="K116" s="52">
        <v>0</v>
      </c>
      <c r="L116" s="41"/>
      <c r="M116" s="121"/>
      <c r="N116" s="121"/>
      <c r="O116" s="123"/>
      <c r="P116" s="123"/>
      <c r="Q116" s="123"/>
      <c r="R116" s="123"/>
      <c r="S116" s="47" t="s">
        <v>69</v>
      </c>
      <c r="T116" s="54">
        <v>0</v>
      </c>
      <c r="U116" s="54">
        <v>0</v>
      </c>
      <c r="V116" s="54">
        <v>0</v>
      </c>
      <c r="W116" s="54">
        <v>0</v>
      </c>
      <c r="X116" s="54">
        <v>0</v>
      </c>
      <c r="Y116" s="54">
        <v>0</v>
      </c>
    </row>
    <row r="117" spans="1:25" ht="18" customHeight="1" x14ac:dyDescent="0.25">
      <c r="A117" s="86" t="s">
        <v>84</v>
      </c>
      <c r="B117" s="87"/>
      <c r="C117" s="87"/>
      <c r="D117" s="87"/>
      <c r="E117" s="88"/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41"/>
      <c r="M117" s="121"/>
      <c r="N117" s="121"/>
      <c r="O117" s="123"/>
      <c r="P117" s="123"/>
      <c r="Q117" s="123"/>
      <c r="R117" s="123"/>
      <c r="S117" s="89" t="s">
        <v>70</v>
      </c>
      <c r="T117" s="109">
        <v>0</v>
      </c>
      <c r="U117" s="109">
        <v>0</v>
      </c>
      <c r="V117" s="109">
        <v>0</v>
      </c>
      <c r="W117" s="109">
        <v>0</v>
      </c>
      <c r="X117" s="109">
        <v>0</v>
      </c>
      <c r="Y117" s="109">
        <v>0</v>
      </c>
    </row>
    <row r="118" spans="1:25" ht="18" customHeight="1" x14ac:dyDescent="0.25">
      <c r="A118" s="68" t="s">
        <v>7</v>
      </c>
      <c r="B118" s="69"/>
      <c r="C118" s="69"/>
      <c r="D118" s="69"/>
      <c r="E118" s="70"/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41"/>
      <c r="M118" s="110"/>
      <c r="N118" s="110"/>
      <c r="O118" s="124"/>
      <c r="P118" s="124"/>
      <c r="Q118" s="124"/>
      <c r="R118" s="124"/>
      <c r="S118" s="90"/>
      <c r="T118" s="110"/>
      <c r="U118" s="110"/>
      <c r="V118" s="110"/>
      <c r="W118" s="110"/>
      <c r="X118" s="110"/>
      <c r="Y118" s="110"/>
    </row>
    <row r="119" spans="1:25" ht="23.4" x14ac:dyDescent="0.45">
      <c r="A119" s="120" t="s">
        <v>17</v>
      </c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</row>
    <row r="120" spans="1:25" ht="23.4" x14ac:dyDescent="0.25">
      <c r="A120" s="111" t="s">
        <v>18</v>
      </c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"/>
      <c r="U120" s="112" t="s">
        <v>19</v>
      </c>
      <c r="V120" s="112"/>
      <c r="W120" s="1"/>
      <c r="X120" s="1"/>
      <c r="Y120" s="1"/>
    </row>
    <row r="121" spans="1:25" ht="30.9" customHeight="1" x14ac:dyDescent="0.25">
      <c r="A121" s="113" t="s">
        <v>20</v>
      </c>
      <c r="B121" s="113"/>
      <c r="C121" s="113"/>
      <c r="D121" s="113"/>
      <c r="E121" s="114" t="s">
        <v>9</v>
      </c>
      <c r="F121" s="114"/>
      <c r="G121" s="114"/>
      <c r="H121" s="116" t="s">
        <v>22</v>
      </c>
      <c r="I121" s="116"/>
      <c r="J121" s="115">
        <v>0</v>
      </c>
      <c r="K121" s="115"/>
      <c r="L121" s="116" t="s">
        <v>23</v>
      </c>
      <c r="M121" s="116"/>
      <c r="N121" s="117">
        <v>0</v>
      </c>
      <c r="O121" s="117"/>
      <c r="P121" s="117"/>
      <c r="Q121" s="118" t="s">
        <v>24</v>
      </c>
      <c r="R121" s="118"/>
      <c r="S121" s="118"/>
      <c r="T121" s="118"/>
      <c r="U121" s="119" t="s">
        <v>87</v>
      </c>
      <c r="V121" s="119"/>
      <c r="W121" s="119"/>
      <c r="X121" s="147" t="s">
        <v>93</v>
      </c>
      <c r="Y121" s="147"/>
    </row>
    <row r="122" spans="1:25" ht="15" customHeight="1" x14ac:dyDescent="0.25">
      <c r="Q122" s="118"/>
      <c r="R122" s="118"/>
      <c r="S122" s="118"/>
      <c r="T122" s="118"/>
      <c r="U122" s="119"/>
      <c r="V122" s="119"/>
      <c r="W122" s="119"/>
      <c r="X122" s="147"/>
      <c r="Y122" s="147"/>
    </row>
    <row r="123" spans="1:25" ht="15.6" x14ac:dyDescent="0.3">
      <c r="A123" s="166" t="s">
        <v>26</v>
      </c>
      <c r="B123" s="166"/>
      <c r="C123" s="166"/>
      <c r="D123" s="166"/>
      <c r="E123" s="166"/>
      <c r="F123" s="166"/>
      <c r="G123" s="167" t="s">
        <v>27</v>
      </c>
      <c r="H123" s="167"/>
      <c r="I123" s="167"/>
      <c r="J123" s="167"/>
      <c r="K123" s="167"/>
      <c r="L123" s="167"/>
      <c r="M123" s="167"/>
      <c r="N123" s="2"/>
      <c r="Q123" s="168" t="s">
        <v>28</v>
      </c>
      <c r="R123" s="168"/>
      <c r="S123" s="168"/>
      <c r="T123" s="168"/>
      <c r="U123" s="168"/>
      <c r="V123" s="148" t="s">
        <v>29</v>
      </c>
      <c r="W123" s="148"/>
      <c r="X123" s="148"/>
      <c r="Y123" s="148"/>
    </row>
    <row r="124" spans="1:2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 customHeight="1" x14ac:dyDescent="0.25">
      <c r="A125" s="149" t="s">
        <v>31</v>
      </c>
      <c r="B125" s="150"/>
      <c r="C125" s="150"/>
      <c r="D125" s="150"/>
      <c r="E125" s="150"/>
      <c r="F125" s="150"/>
      <c r="G125" s="150"/>
      <c r="H125" s="150"/>
      <c r="I125" s="151"/>
      <c r="J125" s="152" t="s">
        <v>32</v>
      </c>
      <c r="K125" s="153"/>
      <c r="L125" s="152" t="s">
        <v>33</v>
      </c>
      <c r="M125" s="153"/>
      <c r="N125" s="91" t="s">
        <v>34</v>
      </c>
      <c r="O125" s="92"/>
      <c r="P125" s="152" t="s">
        <v>35</v>
      </c>
      <c r="Q125" s="153"/>
      <c r="R125" s="68" t="s">
        <v>36</v>
      </c>
      <c r="S125" s="69"/>
      <c r="T125" s="69"/>
      <c r="U125" s="69"/>
      <c r="V125" s="69"/>
      <c r="W125" s="70"/>
      <c r="X125" s="152" t="s">
        <v>7</v>
      </c>
      <c r="Y125" s="153"/>
    </row>
    <row r="126" spans="1:25" ht="23.25" customHeight="1" x14ac:dyDescent="0.25">
      <c r="A126" s="158" t="s">
        <v>37</v>
      </c>
      <c r="B126" s="159"/>
      <c r="C126" s="159"/>
      <c r="D126" s="159"/>
      <c r="E126" s="159"/>
      <c r="F126" s="159"/>
      <c r="G126" s="159"/>
      <c r="H126" s="159"/>
      <c r="I126" s="160"/>
      <c r="J126" s="154"/>
      <c r="K126" s="155"/>
      <c r="L126" s="154"/>
      <c r="M126" s="155"/>
      <c r="N126" s="93"/>
      <c r="O126" s="94"/>
      <c r="P126" s="154"/>
      <c r="Q126" s="155"/>
      <c r="R126" s="164" t="s">
        <v>38</v>
      </c>
      <c r="S126" s="164"/>
      <c r="T126" s="164" t="s">
        <v>39</v>
      </c>
      <c r="U126" s="164"/>
      <c r="V126" s="164" t="s">
        <v>40</v>
      </c>
      <c r="W126" s="164"/>
      <c r="X126" s="154"/>
      <c r="Y126" s="155"/>
    </row>
    <row r="127" spans="1:25" x14ac:dyDescent="0.25">
      <c r="A127" s="161"/>
      <c r="B127" s="162"/>
      <c r="C127" s="162"/>
      <c r="D127" s="162"/>
      <c r="E127" s="162"/>
      <c r="F127" s="162"/>
      <c r="G127" s="162"/>
      <c r="H127" s="162"/>
      <c r="I127" s="163"/>
      <c r="J127" s="156"/>
      <c r="K127" s="157"/>
      <c r="L127" s="156"/>
      <c r="M127" s="157"/>
      <c r="N127" s="95"/>
      <c r="O127" s="96"/>
      <c r="P127" s="156"/>
      <c r="Q127" s="157"/>
      <c r="R127" s="165"/>
      <c r="S127" s="165"/>
      <c r="T127" s="165"/>
      <c r="U127" s="165"/>
      <c r="V127" s="165"/>
      <c r="W127" s="165"/>
      <c r="X127" s="156"/>
      <c r="Y127" s="157"/>
    </row>
    <row r="128" spans="1:25" ht="18" customHeight="1" x14ac:dyDescent="0.3">
      <c r="A128" s="106" t="s">
        <v>41</v>
      </c>
      <c r="B128" s="107"/>
      <c r="C128" s="107"/>
      <c r="D128" s="107"/>
      <c r="E128" s="107"/>
      <c r="F128" s="107"/>
      <c r="G128" s="107"/>
      <c r="H128" s="107"/>
      <c r="I128" s="108"/>
      <c r="J128" s="137">
        <v>7</v>
      </c>
      <c r="K128" s="138"/>
      <c r="L128" s="137">
        <v>0</v>
      </c>
      <c r="M128" s="138"/>
      <c r="N128" s="137">
        <v>0</v>
      </c>
      <c r="O128" s="138"/>
      <c r="P128" s="68">
        <v>7</v>
      </c>
      <c r="Q128" s="70"/>
      <c r="R128" s="137">
        <v>0</v>
      </c>
      <c r="S128" s="138"/>
      <c r="T128" s="137">
        <v>0</v>
      </c>
      <c r="U128" s="138"/>
      <c r="V128" s="137">
        <v>0</v>
      </c>
      <c r="W128" s="138"/>
      <c r="X128" s="80">
        <v>7</v>
      </c>
      <c r="Y128" s="82"/>
    </row>
    <row r="129" spans="1:25" ht="18" customHeight="1" x14ac:dyDescent="0.3">
      <c r="A129" s="106" t="s">
        <v>42</v>
      </c>
      <c r="B129" s="107"/>
      <c r="C129" s="107"/>
      <c r="D129" s="107"/>
      <c r="E129" s="107"/>
      <c r="F129" s="107"/>
      <c r="G129" s="107"/>
      <c r="H129" s="107"/>
      <c r="I129" s="108"/>
      <c r="J129" s="137">
        <v>0</v>
      </c>
      <c r="K129" s="138"/>
      <c r="L129" s="137">
        <v>0</v>
      </c>
      <c r="M129" s="138"/>
      <c r="N129" s="137">
        <v>0</v>
      </c>
      <c r="O129" s="138"/>
      <c r="P129" s="68">
        <v>0</v>
      </c>
      <c r="Q129" s="70"/>
      <c r="R129" s="137">
        <v>0</v>
      </c>
      <c r="S129" s="138"/>
      <c r="T129" s="137">
        <v>0</v>
      </c>
      <c r="U129" s="138"/>
      <c r="V129" s="137">
        <v>0</v>
      </c>
      <c r="W129" s="138"/>
      <c r="X129" s="80">
        <v>0</v>
      </c>
      <c r="Y129" s="82"/>
    </row>
    <row r="130" spans="1:25" ht="18" customHeight="1" x14ac:dyDescent="0.3">
      <c r="A130" s="106" t="s">
        <v>43</v>
      </c>
      <c r="B130" s="107"/>
      <c r="C130" s="107"/>
      <c r="D130" s="107"/>
      <c r="E130" s="107"/>
      <c r="F130" s="107"/>
      <c r="G130" s="107"/>
      <c r="H130" s="107"/>
      <c r="I130" s="108"/>
      <c r="J130" s="137">
        <v>0</v>
      </c>
      <c r="K130" s="138"/>
      <c r="L130" s="137">
        <v>0</v>
      </c>
      <c r="M130" s="138"/>
      <c r="N130" s="137">
        <v>0</v>
      </c>
      <c r="O130" s="138"/>
      <c r="P130" s="68">
        <v>0</v>
      </c>
      <c r="Q130" s="70"/>
      <c r="R130" s="137">
        <v>0</v>
      </c>
      <c r="S130" s="138"/>
      <c r="T130" s="137">
        <v>0</v>
      </c>
      <c r="U130" s="138"/>
      <c r="V130" s="137">
        <v>0</v>
      </c>
      <c r="W130" s="138"/>
      <c r="X130" s="80">
        <v>0</v>
      </c>
      <c r="Y130" s="82"/>
    </row>
    <row r="131" spans="1:25" ht="18" customHeight="1" x14ac:dyDescent="0.3">
      <c r="A131" s="106" t="s">
        <v>44</v>
      </c>
      <c r="B131" s="107"/>
      <c r="C131" s="107"/>
      <c r="D131" s="107"/>
      <c r="E131" s="107"/>
      <c r="F131" s="107"/>
      <c r="G131" s="107"/>
      <c r="H131" s="107"/>
      <c r="I131" s="108"/>
      <c r="J131" s="137">
        <v>0</v>
      </c>
      <c r="K131" s="138"/>
      <c r="L131" s="137">
        <v>0</v>
      </c>
      <c r="M131" s="138"/>
      <c r="N131" s="137">
        <v>0</v>
      </c>
      <c r="O131" s="138"/>
      <c r="P131" s="68">
        <v>0</v>
      </c>
      <c r="Q131" s="70"/>
      <c r="R131" s="137">
        <v>0</v>
      </c>
      <c r="S131" s="138"/>
      <c r="T131" s="137">
        <v>0</v>
      </c>
      <c r="U131" s="138"/>
      <c r="V131" s="137">
        <v>0</v>
      </c>
      <c r="W131" s="138"/>
      <c r="X131" s="80">
        <v>0</v>
      </c>
      <c r="Y131" s="82"/>
    </row>
    <row r="132" spans="1:25" ht="18" customHeight="1" x14ac:dyDescent="0.3">
      <c r="A132" s="106" t="s">
        <v>7</v>
      </c>
      <c r="B132" s="107"/>
      <c r="C132" s="107"/>
      <c r="D132" s="107"/>
      <c r="E132" s="107"/>
      <c r="F132" s="107"/>
      <c r="G132" s="107"/>
      <c r="H132" s="107"/>
      <c r="I132" s="108"/>
      <c r="J132" s="68">
        <v>7</v>
      </c>
      <c r="K132" s="70"/>
      <c r="L132" s="68">
        <v>0</v>
      </c>
      <c r="M132" s="70"/>
      <c r="N132" s="68">
        <v>0</v>
      </c>
      <c r="O132" s="70"/>
      <c r="P132" s="68">
        <v>7</v>
      </c>
      <c r="Q132" s="70"/>
      <c r="R132" s="68">
        <v>0</v>
      </c>
      <c r="S132" s="70"/>
      <c r="T132" s="68">
        <v>0</v>
      </c>
      <c r="U132" s="70"/>
      <c r="V132" s="68">
        <v>0</v>
      </c>
      <c r="W132" s="70"/>
      <c r="X132" s="80">
        <v>7</v>
      </c>
      <c r="Y132" s="82"/>
    </row>
    <row r="133" spans="1:25" ht="15.6" x14ac:dyDescent="0.3">
      <c r="A133" s="4" t="s">
        <v>45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"/>
      <c r="S133" s="6"/>
      <c r="T133" s="6"/>
      <c r="U133" s="6"/>
      <c r="V133" s="6"/>
      <c r="W133" s="6"/>
      <c r="X133" s="6"/>
      <c r="Y133" s="7"/>
    </row>
    <row r="134" spans="1:25" x14ac:dyDescent="0.25">
      <c r="A134" s="71"/>
      <c r="B134" s="72"/>
      <c r="C134" s="72"/>
      <c r="D134" s="72"/>
      <c r="E134" s="72"/>
      <c r="F134" s="72"/>
      <c r="G134" s="73"/>
      <c r="H134" s="68" t="s">
        <v>0</v>
      </c>
      <c r="I134" s="69"/>
      <c r="J134" s="136" t="s">
        <v>1</v>
      </c>
      <c r="K134" s="69"/>
      <c r="L134" s="134" t="s">
        <v>2</v>
      </c>
      <c r="M134" s="69"/>
      <c r="N134" s="134" t="s">
        <v>3</v>
      </c>
      <c r="O134" s="69"/>
      <c r="P134" s="134" t="s">
        <v>4</v>
      </c>
      <c r="Q134" s="135"/>
      <c r="R134" s="134" t="s">
        <v>5</v>
      </c>
      <c r="S134" s="69"/>
      <c r="T134" s="134" t="s">
        <v>6</v>
      </c>
      <c r="U134" s="69"/>
      <c r="V134" s="134" t="s">
        <v>46</v>
      </c>
      <c r="W134" s="69"/>
      <c r="X134" s="134" t="s">
        <v>7</v>
      </c>
      <c r="Y134" s="135"/>
    </row>
    <row r="135" spans="1:25" x14ac:dyDescent="0.25">
      <c r="A135" s="74"/>
      <c r="B135" s="75"/>
      <c r="C135" s="75"/>
      <c r="D135" s="75"/>
      <c r="E135" s="75"/>
      <c r="F135" s="75"/>
      <c r="G135" s="76"/>
      <c r="H135" s="10" t="s">
        <v>10</v>
      </c>
      <c r="I135" s="10" t="s">
        <v>11</v>
      </c>
      <c r="J135" s="10" t="s">
        <v>10</v>
      </c>
      <c r="K135" s="10" t="s">
        <v>11</v>
      </c>
      <c r="L135" s="10" t="s">
        <v>10</v>
      </c>
      <c r="M135" s="10" t="s">
        <v>11</v>
      </c>
      <c r="N135" s="10" t="s">
        <v>10</v>
      </c>
      <c r="O135" s="10" t="s">
        <v>11</v>
      </c>
      <c r="P135" s="10" t="s">
        <v>10</v>
      </c>
      <c r="Q135" s="10" t="s">
        <v>11</v>
      </c>
      <c r="R135" s="10" t="s">
        <v>10</v>
      </c>
      <c r="S135" s="10" t="s">
        <v>11</v>
      </c>
      <c r="T135" s="10" t="s">
        <v>10</v>
      </c>
      <c r="U135" s="10" t="s">
        <v>11</v>
      </c>
      <c r="V135" s="10" t="s">
        <v>10</v>
      </c>
      <c r="W135" s="10" t="s">
        <v>11</v>
      </c>
      <c r="X135" s="10" t="s">
        <v>10</v>
      </c>
      <c r="Y135" s="10" t="s">
        <v>11</v>
      </c>
    </row>
    <row r="136" spans="1:25" ht="18" customHeight="1" x14ac:dyDescent="0.25">
      <c r="A136" s="106" t="s">
        <v>41</v>
      </c>
      <c r="B136" s="107"/>
      <c r="C136" s="107"/>
      <c r="D136" s="107"/>
      <c r="E136" s="107"/>
      <c r="F136" s="107"/>
      <c r="G136" s="108"/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1</v>
      </c>
      <c r="O136" s="52">
        <v>2</v>
      </c>
      <c r="P136" s="52">
        <v>2</v>
      </c>
      <c r="Q136" s="52">
        <v>1</v>
      </c>
      <c r="R136" s="52">
        <v>0</v>
      </c>
      <c r="S136" s="52">
        <v>0</v>
      </c>
      <c r="T136" s="52">
        <v>0</v>
      </c>
      <c r="U136" s="52">
        <v>0</v>
      </c>
      <c r="V136" s="52">
        <v>1</v>
      </c>
      <c r="W136" s="52">
        <v>0</v>
      </c>
      <c r="X136" s="10">
        <v>4</v>
      </c>
      <c r="Y136" s="10">
        <v>3</v>
      </c>
    </row>
    <row r="137" spans="1:25" ht="18" customHeight="1" x14ac:dyDescent="0.25">
      <c r="A137" s="106" t="s">
        <v>42</v>
      </c>
      <c r="B137" s="107"/>
      <c r="C137" s="107"/>
      <c r="D137" s="107"/>
      <c r="E137" s="107"/>
      <c r="F137" s="107"/>
      <c r="G137" s="108"/>
      <c r="H137" s="52">
        <v>0</v>
      </c>
      <c r="I137" s="52">
        <v>0</v>
      </c>
      <c r="J137" s="52">
        <v>0</v>
      </c>
      <c r="K137" s="52">
        <v>0</v>
      </c>
      <c r="L137" s="52">
        <v>0</v>
      </c>
      <c r="M137" s="52">
        <v>0</v>
      </c>
      <c r="N137" s="52">
        <v>0</v>
      </c>
      <c r="O137" s="52">
        <v>0</v>
      </c>
      <c r="P137" s="52">
        <v>0</v>
      </c>
      <c r="Q137" s="52">
        <v>0</v>
      </c>
      <c r="R137" s="52">
        <v>0</v>
      </c>
      <c r="S137" s="52">
        <v>0</v>
      </c>
      <c r="T137" s="52">
        <v>0</v>
      </c>
      <c r="U137" s="52">
        <v>0</v>
      </c>
      <c r="V137" s="52">
        <v>0</v>
      </c>
      <c r="W137" s="52">
        <v>0</v>
      </c>
      <c r="X137" s="10">
        <v>0</v>
      </c>
      <c r="Y137" s="10">
        <v>0</v>
      </c>
    </row>
    <row r="138" spans="1:25" ht="18" customHeight="1" x14ac:dyDescent="0.25">
      <c r="A138" s="106" t="s">
        <v>43</v>
      </c>
      <c r="B138" s="107"/>
      <c r="C138" s="107"/>
      <c r="D138" s="107"/>
      <c r="E138" s="107"/>
      <c r="F138" s="107"/>
      <c r="G138" s="108"/>
      <c r="H138" s="52">
        <v>0</v>
      </c>
      <c r="I138" s="52">
        <v>0</v>
      </c>
      <c r="J138" s="52">
        <v>0</v>
      </c>
      <c r="K138" s="52">
        <v>0</v>
      </c>
      <c r="L138" s="52">
        <v>0</v>
      </c>
      <c r="M138" s="52">
        <v>0</v>
      </c>
      <c r="N138" s="52">
        <v>0</v>
      </c>
      <c r="O138" s="52">
        <v>0</v>
      </c>
      <c r="P138" s="52">
        <v>0</v>
      </c>
      <c r="Q138" s="52">
        <v>0</v>
      </c>
      <c r="R138" s="52">
        <v>0</v>
      </c>
      <c r="S138" s="52">
        <v>0</v>
      </c>
      <c r="T138" s="52">
        <v>0</v>
      </c>
      <c r="U138" s="52">
        <v>0</v>
      </c>
      <c r="V138" s="52">
        <v>0</v>
      </c>
      <c r="W138" s="52">
        <v>0</v>
      </c>
      <c r="X138" s="10">
        <v>0</v>
      </c>
      <c r="Y138" s="10">
        <v>0</v>
      </c>
    </row>
    <row r="139" spans="1:25" ht="18" customHeight="1" x14ac:dyDescent="0.25">
      <c r="A139" s="106" t="s">
        <v>44</v>
      </c>
      <c r="B139" s="107"/>
      <c r="C139" s="107"/>
      <c r="D139" s="107"/>
      <c r="E139" s="107"/>
      <c r="F139" s="107"/>
      <c r="G139" s="108"/>
      <c r="H139" s="52">
        <v>0</v>
      </c>
      <c r="I139" s="52">
        <v>0</v>
      </c>
      <c r="J139" s="52">
        <v>0</v>
      </c>
      <c r="K139" s="52">
        <v>0</v>
      </c>
      <c r="L139" s="52">
        <v>0</v>
      </c>
      <c r="M139" s="52">
        <v>0</v>
      </c>
      <c r="N139" s="52">
        <v>0</v>
      </c>
      <c r="O139" s="52">
        <v>0</v>
      </c>
      <c r="P139" s="52">
        <v>0</v>
      </c>
      <c r="Q139" s="52">
        <v>0</v>
      </c>
      <c r="R139" s="52">
        <v>0</v>
      </c>
      <c r="S139" s="52">
        <v>0</v>
      </c>
      <c r="T139" s="52">
        <v>0</v>
      </c>
      <c r="U139" s="52">
        <v>0</v>
      </c>
      <c r="V139" s="52">
        <v>0</v>
      </c>
      <c r="W139" s="52">
        <v>0</v>
      </c>
      <c r="X139" s="10">
        <v>0</v>
      </c>
      <c r="Y139" s="10">
        <v>0</v>
      </c>
    </row>
    <row r="140" spans="1:25" ht="18" customHeight="1" x14ac:dyDescent="0.25">
      <c r="A140" s="106" t="s">
        <v>7</v>
      </c>
      <c r="B140" s="107"/>
      <c r="C140" s="107"/>
      <c r="D140" s="107"/>
      <c r="E140" s="107"/>
      <c r="F140" s="107"/>
      <c r="G140" s="108"/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1</v>
      </c>
      <c r="O140" s="10">
        <v>2</v>
      </c>
      <c r="P140" s="10">
        <v>2</v>
      </c>
      <c r="Q140" s="10">
        <v>1</v>
      </c>
      <c r="R140" s="10">
        <v>0</v>
      </c>
      <c r="S140" s="10">
        <v>0</v>
      </c>
      <c r="T140" s="10">
        <v>0</v>
      </c>
      <c r="U140" s="10">
        <v>0</v>
      </c>
      <c r="V140" s="10">
        <v>1</v>
      </c>
      <c r="W140" s="10">
        <v>0</v>
      </c>
      <c r="X140" s="10">
        <v>4</v>
      </c>
      <c r="Y140" s="10">
        <v>3</v>
      </c>
    </row>
    <row r="141" spans="1:25" ht="6.75" customHeight="1" x14ac:dyDescent="0.25">
      <c r="A141" s="11"/>
      <c r="B141" s="12"/>
      <c r="C141" s="12"/>
      <c r="D141" s="12"/>
      <c r="E141" s="12"/>
      <c r="F141" s="13"/>
      <c r="G141" s="13"/>
      <c r="H141" s="13"/>
      <c r="I141" s="13"/>
      <c r="J141" s="13"/>
      <c r="K141" s="13"/>
      <c r="L141" s="14"/>
      <c r="M141" s="13"/>
      <c r="N141" s="15"/>
      <c r="O141" s="16"/>
      <c r="P141" s="13"/>
      <c r="Q141" s="13"/>
      <c r="R141" s="13"/>
      <c r="S141" s="13"/>
      <c r="T141" s="13"/>
      <c r="U141" s="13"/>
      <c r="V141" s="13"/>
      <c r="W141" s="13"/>
      <c r="X141" s="13"/>
      <c r="Y141" s="17"/>
    </row>
    <row r="142" spans="1:25" ht="18" customHeight="1" x14ac:dyDescent="0.3">
      <c r="A142" s="18" t="s">
        <v>47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20"/>
      <c r="L142" s="21"/>
      <c r="M142" s="18" t="s">
        <v>48</v>
      </c>
      <c r="N142" s="19"/>
      <c r="O142" s="19"/>
      <c r="P142" s="19"/>
      <c r="Q142" s="22"/>
      <c r="R142" s="22"/>
      <c r="S142" s="22"/>
      <c r="T142" s="22"/>
      <c r="U142" s="22"/>
      <c r="V142" s="22"/>
      <c r="W142" s="22"/>
      <c r="X142" s="22"/>
      <c r="Y142" s="23"/>
    </row>
    <row r="143" spans="1:25" ht="57.75" customHeight="1" x14ac:dyDescent="0.25">
      <c r="A143" s="101" t="s">
        <v>49</v>
      </c>
      <c r="B143" s="101" t="s">
        <v>50</v>
      </c>
      <c r="C143" s="101" t="s">
        <v>51</v>
      </c>
      <c r="D143" s="77" t="s">
        <v>52</v>
      </c>
      <c r="E143" s="78"/>
      <c r="F143" s="77" t="s">
        <v>53</v>
      </c>
      <c r="G143" s="79"/>
      <c r="H143" s="79"/>
      <c r="I143" s="78"/>
      <c r="J143" s="101" t="s">
        <v>54</v>
      </c>
      <c r="K143" s="101" t="s">
        <v>55</v>
      </c>
      <c r="L143" s="24"/>
      <c r="M143" s="86" t="s">
        <v>56</v>
      </c>
      <c r="N143" s="88"/>
      <c r="O143" s="86" t="s">
        <v>57</v>
      </c>
      <c r="P143" s="88"/>
      <c r="Q143" s="86" t="s">
        <v>58</v>
      </c>
      <c r="R143" s="87"/>
      <c r="S143" s="87"/>
      <c r="T143" s="87"/>
      <c r="U143" s="87"/>
      <c r="V143" s="87"/>
      <c r="W143" s="87"/>
      <c r="X143" s="87"/>
      <c r="Y143" s="88"/>
    </row>
    <row r="144" spans="1:25" ht="38.25" customHeight="1" x14ac:dyDescent="0.25">
      <c r="A144" s="102"/>
      <c r="B144" s="102"/>
      <c r="C144" s="102"/>
      <c r="D144" s="25" t="s">
        <v>59</v>
      </c>
      <c r="E144" s="25" t="s">
        <v>60</v>
      </c>
      <c r="F144" s="26" t="s">
        <v>59</v>
      </c>
      <c r="G144" s="26" t="s">
        <v>60</v>
      </c>
      <c r="H144" s="26" t="s">
        <v>61</v>
      </c>
      <c r="I144" s="26" t="s">
        <v>62</v>
      </c>
      <c r="J144" s="102"/>
      <c r="K144" s="102"/>
      <c r="L144" s="24"/>
      <c r="M144" s="128">
        <v>0</v>
      </c>
      <c r="N144" s="129"/>
      <c r="O144" s="128">
        <v>0</v>
      </c>
      <c r="P144" s="129"/>
      <c r="Q144" s="145">
        <v>0</v>
      </c>
      <c r="R144" s="169"/>
      <c r="S144" s="169"/>
      <c r="T144" s="169"/>
      <c r="U144" s="169"/>
      <c r="V144" s="169"/>
      <c r="W144" s="169"/>
      <c r="X144" s="169"/>
      <c r="Y144" s="146"/>
    </row>
    <row r="145" spans="1:25" ht="38.25" customHeight="1" x14ac:dyDescent="0.25">
      <c r="A145" s="125">
        <v>2109</v>
      </c>
      <c r="B145" s="125">
        <v>34</v>
      </c>
      <c r="C145" s="125">
        <v>0</v>
      </c>
      <c r="D145" s="125">
        <v>24</v>
      </c>
      <c r="E145" s="125">
        <v>4</v>
      </c>
      <c r="F145" s="125">
        <v>6</v>
      </c>
      <c r="G145" s="125">
        <v>4</v>
      </c>
      <c r="H145" s="125">
        <v>0</v>
      </c>
      <c r="I145" s="125">
        <v>6</v>
      </c>
      <c r="J145" s="125">
        <v>6</v>
      </c>
      <c r="K145" s="125">
        <v>4</v>
      </c>
      <c r="L145" s="24"/>
      <c r="M145" s="91" t="s">
        <v>63</v>
      </c>
      <c r="N145" s="92"/>
      <c r="O145" s="91" t="s">
        <v>64</v>
      </c>
      <c r="P145" s="92"/>
      <c r="Q145" s="95" t="s">
        <v>65</v>
      </c>
      <c r="R145" s="99"/>
      <c r="S145" s="96"/>
      <c r="T145" s="95" t="s">
        <v>66</v>
      </c>
      <c r="U145" s="99"/>
      <c r="V145" s="99"/>
      <c r="W145" s="99"/>
      <c r="X145" s="99"/>
      <c r="Y145" s="96"/>
    </row>
    <row r="146" spans="1:25" ht="19.5" customHeight="1" x14ac:dyDescent="0.25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27"/>
      <c r="M146" s="128">
        <v>0</v>
      </c>
      <c r="N146" s="129"/>
      <c r="O146" s="122">
        <v>0</v>
      </c>
      <c r="P146" s="122"/>
      <c r="Q146" s="128">
        <v>0</v>
      </c>
      <c r="R146" s="139"/>
      <c r="S146" s="129"/>
      <c r="T146" s="28"/>
      <c r="U146" s="86" t="s">
        <v>0</v>
      </c>
      <c r="V146" s="88"/>
      <c r="W146" s="29" t="s">
        <v>1</v>
      </c>
      <c r="X146" s="86" t="s">
        <v>67</v>
      </c>
      <c r="Y146" s="88"/>
    </row>
    <row r="147" spans="1:25" ht="18" customHeight="1" x14ac:dyDescent="0.25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27"/>
      <c r="M147" s="130"/>
      <c r="N147" s="131"/>
      <c r="O147" s="123"/>
      <c r="P147" s="123"/>
      <c r="Q147" s="130"/>
      <c r="R147" s="140"/>
      <c r="S147" s="131"/>
      <c r="T147" s="30" t="s">
        <v>68</v>
      </c>
      <c r="U147" s="142">
        <v>0</v>
      </c>
      <c r="V147" s="142"/>
      <c r="W147" s="53">
        <v>0</v>
      </c>
      <c r="X147" s="143">
        <v>0</v>
      </c>
      <c r="Y147" s="144"/>
    </row>
    <row r="148" spans="1:25" ht="18" customHeight="1" x14ac:dyDescent="0.25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27"/>
      <c r="M148" s="130"/>
      <c r="N148" s="131"/>
      <c r="O148" s="123"/>
      <c r="P148" s="123"/>
      <c r="Q148" s="130"/>
      <c r="R148" s="140"/>
      <c r="S148" s="131"/>
      <c r="T148" s="30" t="s">
        <v>69</v>
      </c>
      <c r="U148" s="145">
        <v>0</v>
      </c>
      <c r="V148" s="146"/>
      <c r="W148" s="53">
        <v>0</v>
      </c>
      <c r="X148" s="143">
        <v>0</v>
      </c>
      <c r="Y148" s="144"/>
    </row>
    <row r="149" spans="1:25" ht="18" customHeight="1" x14ac:dyDescent="0.25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27"/>
      <c r="M149" s="132"/>
      <c r="N149" s="133"/>
      <c r="O149" s="124"/>
      <c r="P149" s="124"/>
      <c r="Q149" s="132"/>
      <c r="R149" s="141"/>
      <c r="S149" s="133"/>
      <c r="T149" s="30" t="s">
        <v>70</v>
      </c>
      <c r="U149" s="145">
        <v>0</v>
      </c>
      <c r="V149" s="146"/>
      <c r="W149" s="53">
        <v>0</v>
      </c>
      <c r="X149" s="143">
        <v>0</v>
      </c>
      <c r="Y149" s="144"/>
    </row>
    <row r="150" spans="1:25" ht="8.25" customHeight="1" x14ac:dyDescent="0.25">
      <c r="A150" s="31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3"/>
      <c r="M150" s="32"/>
      <c r="N150" s="32"/>
      <c r="O150" s="32"/>
      <c r="P150" s="32"/>
      <c r="Q150" s="32"/>
      <c r="R150" s="34"/>
      <c r="S150" s="34"/>
      <c r="T150" s="34"/>
      <c r="U150" s="34"/>
      <c r="V150" s="34"/>
      <c r="W150" s="32"/>
      <c r="X150" s="32"/>
      <c r="Y150" s="7"/>
    </row>
    <row r="151" spans="1:25" ht="18" customHeight="1" x14ac:dyDescent="0.3">
      <c r="A151" s="18" t="s">
        <v>71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20"/>
      <c r="L151" s="35"/>
      <c r="M151" s="18" t="s">
        <v>72</v>
      </c>
      <c r="N151" s="20"/>
      <c r="O151" s="36"/>
      <c r="P151" s="19"/>
      <c r="Q151" s="19"/>
      <c r="R151" s="19"/>
      <c r="S151" s="19"/>
      <c r="T151" s="19"/>
      <c r="U151" s="19"/>
      <c r="V151" s="19"/>
      <c r="W151" s="22"/>
      <c r="X151" s="22"/>
      <c r="Y151" s="37"/>
    </row>
    <row r="152" spans="1:25" ht="57" customHeight="1" x14ac:dyDescent="0.25">
      <c r="A152" s="71"/>
      <c r="B152" s="72"/>
      <c r="C152" s="72"/>
      <c r="D152" s="72"/>
      <c r="E152" s="73"/>
      <c r="F152" s="68" t="s">
        <v>12</v>
      </c>
      <c r="G152" s="70"/>
      <c r="H152" s="68" t="s">
        <v>13</v>
      </c>
      <c r="I152" s="70"/>
      <c r="J152" s="38" t="s">
        <v>73</v>
      </c>
      <c r="K152" s="39"/>
      <c r="L152" s="40"/>
      <c r="M152" s="77" t="s">
        <v>74</v>
      </c>
      <c r="N152" s="78"/>
      <c r="O152" s="77" t="s">
        <v>75</v>
      </c>
      <c r="P152" s="78"/>
      <c r="Q152" s="77" t="s">
        <v>76</v>
      </c>
      <c r="R152" s="78"/>
      <c r="S152" s="77" t="s">
        <v>77</v>
      </c>
      <c r="T152" s="79"/>
      <c r="U152" s="79"/>
      <c r="V152" s="78"/>
      <c r="W152" s="77" t="s">
        <v>78</v>
      </c>
      <c r="X152" s="79"/>
      <c r="Y152" s="78"/>
    </row>
    <row r="153" spans="1:25" ht="13.5" customHeight="1" x14ac:dyDescent="0.25">
      <c r="A153" s="74"/>
      <c r="B153" s="75"/>
      <c r="C153" s="75"/>
      <c r="D153" s="75"/>
      <c r="E153" s="76"/>
      <c r="F153" s="10" t="s">
        <v>79</v>
      </c>
      <c r="G153" s="10" t="s">
        <v>14</v>
      </c>
      <c r="H153" s="10" t="s">
        <v>79</v>
      </c>
      <c r="I153" s="10" t="s">
        <v>14</v>
      </c>
      <c r="J153" s="10" t="s">
        <v>79</v>
      </c>
      <c r="K153" s="10" t="s">
        <v>14</v>
      </c>
      <c r="L153" s="41"/>
      <c r="M153" s="42" t="s">
        <v>80</v>
      </c>
      <c r="N153" s="42" t="s">
        <v>81</v>
      </c>
      <c r="O153" s="42" t="s">
        <v>80</v>
      </c>
      <c r="P153" s="43" t="s">
        <v>81</v>
      </c>
      <c r="Q153" s="42" t="s">
        <v>80</v>
      </c>
      <c r="R153" s="42" t="s">
        <v>81</v>
      </c>
      <c r="S153" s="44"/>
      <c r="T153" s="42" t="s">
        <v>0</v>
      </c>
      <c r="U153" s="45" t="s">
        <v>1</v>
      </c>
      <c r="V153" s="46" t="s">
        <v>82</v>
      </c>
      <c r="W153" s="42" t="s">
        <v>0</v>
      </c>
      <c r="X153" s="45" t="s">
        <v>1</v>
      </c>
      <c r="Y153" s="46" t="s">
        <v>82</v>
      </c>
    </row>
    <row r="154" spans="1:25" ht="18" customHeight="1" x14ac:dyDescent="0.3">
      <c r="A154" s="80" t="s">
        <v>83</v>
      </c>
      <c r="B154" s="81"/>
      <c r="C154" s="81"/>
      <c r="D154" s="81"/>
      <c r="E154" s="82"/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41"/>
      <c r="M154" s="109">
        <v>0</v>
      </c>
      <c r="N154" s="109">
        <v>3</v>
      </c>
      <c r="O154" s="122">
        <v>0</v>
      </c>
      <c r="P154" s="122">
        <v>0</v>
      </c>
      <c r="Q154" s="122">
        <v>0</v>
      </c>
      <c r="R154" s="122">
        <v>0</v>
      </c>
      <c r="S154" s="47" t="s">
        <v>68</v>
      </c>
      <c r="T154" s="54">
        <v>0</v>
      </c>
      <c r="U154" s="54">
        <v>0</v>
      </c>
      <c r="V154" s="54">
        <v>0</v>
      </c>
      <c r="W154" s="54">
        <v>0</v>
      </c>
      <c r="X154" s="54">
        <v>0</v>
      </c>
      <c r="Y154" s="54">
        <v>0</v>
      </c>
    </row>
    <row r="155" spans="1:25" ht="18" customHeight="1" x14ac:dyDescent="0.3">
      <c r="A155" s="80" t="s">
        <v>8</v>
      </c>
      <c r="B155" s="81"/>
      <c r="C155" s="81"/>
      <c r="D155" s="81"/>
      <c r="E155" s="82"/>
      <c r="F155" s="52">
        <v>0</v>
      </c>
      <c r="G155" s="55">
        <v>0</v>
      </c>
      <c r="H155" s="52">
        <v>0</v>
      </c>
      <c r="I155" s="56">
        <v>0</v>
      </c>
      <c r="J155" s="52">
        <v>0</v>
      </c>
      <c r="K155" s="52">
        <v>0</v>
      </c>
      <c r="L155" s="41"/>
      <c r="M155" s="121"/>
      <c r="N155" s="121"/>
      <c r="O155" s="123"/>
      <c r="P155" s="123"/>
      <c r="Q155" s="123"/>
      <c r="R155" s="123"/>
      <c r="S155" s="47" t="s">
        <v>69</v>
      </c>
      <c r="T155" s="54">
        <v>0</v>
      </c>
      <c r="U155" s="54">
        <v>0</v>
      </c>
      <c r="V155" s="54">
        <v>0</v>
      </c>
      <c r="W155" s="54">
        <v>0</v>
      </c>
      <c r="X155" s="54">
        <v>0</v>
      </c>
      <c r="Y155" s="54">
        <v>0</v>
      </c>
    </row>
    <row r="156" spans="1:25" ht="18" customHeight="1" x14ac:dyDescent="0.25">
      <c r="A156" s="86" t="s">
        <v>84</v>
      </c>
      <c r="B156" s="87"/>
      <c r="C156" s="87"/>
      <c r="D156" s="87"/>
      <c r="E156" s="88"/>
      <c r="F156" s="52">
        <v>0</v>
      </c>
      <c r="G156" s="52">
        <v>0</v>
      </c>
      <c r="H156" s="52">
        <v>0</v>
      </c>
      <c r="I156" s="52">
        <v>0</v>
      </c>
      <c r="J156" s="52">
        <v>0</v>
      </c>
      <c r="K156" s="52">
        <v>0</v>
      </c>
      <c r="L156" s="41"/>
      <c r="M156" s="121"/>
      <c r="N156" s="121"/>
      <c r="O156" s="123"/>
      <c r="P156" s="123"/>
      <c r="Q156" s="123"/>
      <c r="R156" s="123"/>
      <c r="S156" s="89" t="s">
        <v>70</v>
      </c>
      <c r="T156" s="109">
        <v>0</v>
      </c>
      <c r="U156" s="109">
        <v>0</v>
      </c>
      <c r="V156" s="109">
        <v>0</v>
      </c>
      <c r="W156" s="109">
        <v>0</v>
      </c>
      <c r="X156" s="109">
        <v>0</v>
      </c>
      <c r="Y156" s="109">
        <v>0</v>
      </c>
    </row>
    <row r="157" spans="1:25" ht="18" customHeight="1" x14ac:dyDescent="0.25">
      <c r="A157" s="68" t="s">
        <v>7</v>
      </c>
      <c r="B157" s="69"/>
      <c r="C157" s="69"/>
      <c r="D157" s="69"/>
      <c r="E157" s="70"/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41"/>
      <c r="M157" s="110"/>
      <c r="N157" s="110"/>
      <c r="O157" s="124"/>
      <c r="P157" s="124"/>
      <c r="Q157" s="124"/>
      <c r="R157" s="124"/>
      <c r="S157" s="90"/>
      <c r="T157" s="110"/>
      <c r="U157" s="110"/>
      <c r="V157" s="110"/>
      <c r="W157" s="110"/>
      <c r="X157" s="110"/>
      <c r="Y157" s="110"/>
    </row>
    <row r="158" spans="1:25" ht="23.4" x14ac:dyDescent="0.45">
      <c r="A158" s="120" t="s">
        <v>17</v>
      </c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</row>
    <row r="159" spans="1:25" ht="23.4" x14ac:dyDescent="0.25">
      <c r="A159" s="111" t="s">
        <v>18</v>
      </c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"/>
      <c r="U159" s="112" t="s">
        <v>19</v>
      </c>
      <c r="V159" s="112"/>
      <c r="W159" s="1"/>
      <c r="X159" s="1"/>
      <c r="Y159" s="1"/>
    </row>
    <row r="160" spans="1:25" ht="30.9" customHeight="1" x14ac:dyDescent="0.25">
      <c r="A160" s="113" t="s">
        <v>20</v>
      </c>
      <c r="B160" s="113"/>
      <c r="C160" s="113"/>
      <c r="D160" s="113"/>
      <c r="E160" s="114" t="s">
        <v>9</v>
      </c>
      <c r="F160" s="114"/>
      <c r="G160" s="114"/>
      <c r="H160" s="116" t="s">
        <v>22</v>
      </c>
      <c r="I160" s="116"/>
      <c r="J160" s="115">
        <v>0</v>
      </c>
      <c r="K160" s="115"/>
      <c r="L160" s="116" t="s">
        <v>23</v>
      </c>
      <c r="M160" s="116"/>
      <c r="N160" s="117">
        <v>0</v>
      </c>
      <c r="O160" s="117"/>
      <c r="P160" s="117"/>
      <c r="Q160" s="118" t="s">
        <v>24</v>
      </c>
      <c r="R160" s="118"/>
      <c r="S160" s="118"/>
      <c r="T160" s="118"/>
      <c r="U160" s="119" t="s">
        <v>88</v>
      </c>
      <c r="V160" s="119"/>
      <c r="W160" s="119"/>
      <c r="X160" s="147" t="s">
        <v>93</v>
      </c>
      <c r="Y160" s="147"/>
    </row>
    <row r="161" spans="1:25" ht="15" customHeight="1" x14ac:dyDescent="0.25">
      <c r="Q161" s="118"/>
      <c r="R161" s="118"/>
      <c r="S161" s="118"/>
      <c r="T161" s="118"/>
      <c r="U161" s="119"/>
      <c r="V161" s="119"/>
      <c r="W161" s="119"/>
      <c r="X161" s="147"/>
      <c r="Y161" s="147"/>
    </row>
    <row r="162" spans="1:25" ht="15.6" x14ac:dyDescent="0.3">
      <c r="A162" s="166" t="s">
        <v>26</v>
      </c>
      <c r="B162" s="166"/>
      <c r="C162" s="166"/>
      <c r="D162" s="166"/>
      <c r="E162" s="166"/>
      <c r="F162" s="166"/>
      <c r="G162" s="167" t="s">
        <v>27</v>
      </c>
      <c r="H162" s="167"/>
      <c r="I162" s="167"/>
      <c r="J162" s="167"/>
      <c r="K162" s="167"/>
      <c r="L162" s="167"/>
      <c r="M162" s="167"/>
      <c r="N162" s="2"/>
      <c r="Q162" s="168" t="s">
        <v>28</v>
      </c>
      <c r="R162" s="168"/>
      <c r="S162" s="168"/>
      <c r="T162" s="168"/>
      <c r="U162" s="168"/>
      <c r="V162" s="148" t="s">
        <v>29</v>
      </c>
      <c r="W162" s="148"/>
      <c r="X162" s="148"/>
      <c r="Y162" s="148"/>
    </row>
    <row r="163" spans="1:2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" customHeight="1" x14ac:dyDescent="0.25">
      <c r="A164" s="149" t="s">
        <v>31</v>
      </c>
      <c r="B164" s="150"/>
      <c r="C164" s="150"/>
      <c r="D164" s="150"/>
      <c r="E164" s="150"/>
      <c r="F164" s="150"/>
      <c r="G164" s="150"/>
      <c r="H164" s="150"/>
      <c r="I164" s="151"/>
      <c r="J164" s="152" t="s">
        <v>32</v>
      </c>
      <c r="K164" s="153"/>
      <c r="L164" s="152" t="s">
        <v>33</v>
      </c>
      <c r="M164" s="153"/>
      <c r="N164" s="91" t="s">
        <v>34</v>
      </c>
      <c r="O164" s="92"/>
      <c r="P164" s="152" t="s">
        <v>35</v>
      </c>
      <c r="Q164" s="153"/>
      <c r="R164" s="68" t="s">
        <v>36</v>
      </c>
      <c r="S164" s="69"/>
      <c r="T164" s="69"/>
      <c r="U164" s="69"/>
      <c r="V164" s="69"/>
      <c r="W164" s="70"/>
      <c r="X164" s="152" t="s">
        <v>7</v>
      </c>
      <c r="Y164" s="153"/>
    </row>
    <row r="165" spans="1:25" ht="23.25" customHeight="1" x14ac:dyDescent="0.25">
      <c r="A165" s="158" t="s">
        <v>37</v>
      </c>
      <c r="B165" s="159"/>
      <c r="C165" s="159"/>
      <c r="D165" s="159"/>
      <c r="E165" s="159"/>
      <c r="F165" s="159"/>
      <c r="G165" s="159"/>
      <c r="H165" s="159"/>
      <c r="I165" s="160"/>
      <c r="J165" s="154"/>
      <c r="K165" s="155"/>
      <c r="L165" s="154"/>
      <c r="M165" s="155"/>
      <c r="N165" s="93"/>
      <c r="O165" s="94"/>
      <c r="P165" s="154"/>
      <c r="Q165" s="155"/>
      <c r="R165" s="164" t="s">
        <v>38</v>
      </c>
      <c r="S165" s="164"/>
      <c r="T165" s="164" t="s">
        <v>39</v>
      </c>
      <c r="U165" s="164"/>
      <c r="V165" s="164" t="s">
        <v>40</v>
      </c>
      <c r="W165" s="164"/>
      <c r="X165" s="154"/>
      <c r="Y165" s="155"/>
    </row>
    <row r="166" spans="1:25" x14ac:dyDescent="0.25">
      <c r="A166" s="161"/>
      <c r="B166" s="162"/>
      <c r="C166" s="162"/>
      <c r="D166" s="162"/>
      <c r="E166" s="162"/>
      <c r="F166" s="162"/>
      <c r="G166" s="162"/>
      <c r="H166" s="162"/>
      <c r="I166" s="163"/>
      <c r="J166" s="156"/>
      <c r="K166" s="157"/>
      <c r="L166" s="156"/>
      <c r="M166" s="157"/>
      <c r="N166" s="95"/>
      <c r="O166" s="96"/>
      <c r="P166" s="156"/>
      <c r="Q166" s="157"/>
      <c r="R166" s="165"/>
      <c r="S166" s="165"/>
      <c r="T166" s="165"/>
      <c r="U166" s="165"/>
      <c r="V166" s="165"/>
      <c r="W166" s="165"/>
      <c r="X166" s="156"/>
      <c r="Y166" s="157"/>
    </row>
    <row r="167" spans="1:25" ht="18" customHeight="1" x14ac:dyDescent="0.3">
      <c r="A167" s="106" t="s">
        <v>41</v>
      </c>
      <c r="B167" s="107"/>
      <c r="C167" s="107"/>
      <c r="D167" s="107"/>
      <c r="E167" s="107"/>
      <c r="F167" s="107"/>
      <c r="G167" s="107"/>
      <c r="H167" s="107"/>
      <c r="I167" s="108"/>
      <c r="J167" s="68">
        <v>17</v>
      </c>
      <c r="K167" s="70"/>
      <c r="L167" s="68">
        <v>0</v>
      </c>
      <c r="M167" s="70"/>
      <c r="N167" s="68">
        <v>0</v>
      </c>
      <c r="O167" s="70"/>
      <c r="P167" s="68">
        <v>17</v>
      </c>
      <c r="Q167" s="70"/>
      <c r="R167" s="68">
        <v>0</v>
      </c>
      <c r="S167" s="70"/>
      <c r="T167" s="68">
        <v>0</v>
      </c>
      <c r="U167" s="70"/>
      <c r="V167" s="68">
        <v>0</v>
      </c>
      <c r="W167" s="70"/>
      <c r="X167" s="80">
        <v>17</v>
      </c>
      <c r="Y167" s="82"/>
    </row>
    <row r="168" spans="1:25" ht="18" customHeight="1" x14ac:dyDescent="0.3">
      <c r="A168" s="106" t="s">
        <v>42</v>
      </c>
      <c r="B168" s="107"/>
      <c r="C168" s="107"/>
      <c r="D168" s="107"/>
      <c r="E168" s="107"/>
      <c r="F168" s="107"/>
      <c r="G168" s="107"/>
      <c r="H168" s="107"/>
      <c r="I168" s="108"/>
      <c r="J168" s="68">
        <v>1</v>
      </c>
      <c r="K168" s="70"/>
      <c r="L168" s="68">
        <v>0</v>
      </c>
      <c r="M168" s="70"/>
      <c r="N168" s="68">
        <v>0</v>
      </c>
      <c r="O168" s="70"/>
      <c r="P168" s="68">
        <v>1</v>
      </c>
      <c r="Q168" s="70"/>
      <c r="R168" s="68">
        <v>0</v>
      </c>
      <c r="S168" s="70"/>
      <c r="T168" s="68">
        <v>0</v>
      </c>
      <c r="U168" s="70"/>
      <c r="V168" s="68">
        <v>0</v>
      </c>
      <c r="W168" s="70"/>
      <c r="X168" s="80">
        <v>1</v>
      </c>
      <c r="Y168" s="82"/>
    </row>
    <row r="169" spans="1:25" ht="18" customHeight="1" x14ac:dyDescent="0.3">
      <c r="A169" s="106" t="s">
        <v>43</v>
      </c>
      <c r="B169" s="107"/>
      <c r="C169" s="107"/>
      <c r="D169" s="107"/>
      <c r="E169" s="107"/>
      <c r="F169" s="107"/>
      <c r="G169" s="107"/>
      <c r="H169" s="107"/>
      <c r="I169" s="108"/>
      <c r="J169" s="68">
        <v>0</v>
      </c>
      <c r="K169" s="70"/>
      <c r="L169" s="68">
        <v>0</v>
      </c>
      <c r="M169" s="70"/>
      <c r="N169" s="68">
        <v>0</v>
      </c>
      <c r="O169" s="70"/>
      <c r="P169" s="68">
        <v>0</v>
      </c>
      <c r="Q169" s="70"/>
      <c r="R169" s="68">
        <v>0</v>
      </c>
      <c r="S169" s="70"/>
      <c r="T169" s="68">
        <v>0</v>
      </c>
      <c r="U169" s="70"/>
      <c r="V169" s="68">
        <v>0</v>
      </c>
      <c r="W169" s="70"/>
      <c r="X169" s="80">
        <v>0</v>
      </c>
      <c r="Y169" s="82"/>
    </row>
    <row r="170" spans="1:25" ht="18" customHeight="1" x14ac:dyDescent="0.3">
      <c r="A170" s="106" t="s">
        <v>44</v>
      </c>
      <c r="B170" s="107"/>
      <c r="C170" s="107"/>
      <c r="D170" s="107"/>
      <c r="E170" s="107"/>
      <c r="F170" s="107"/>
      <c r="G170" s="107"/>
      <c r="H170" s="107"/>
      <c r="I170" s="108"/>
      <c r="J170" s="68">
        <v>2</v>
      </c>
      <c r="K170" s="70"/>
      <c r="L170" s="68">
        <v>0</v>
      </c>
      <c r="M170" s="70"/>
      <c r="N170" s="68">
        <v>0</v>
      </c>
      <c r="O170" s="70"/>
      <c r="P170" s="68">
        <v>2</v>
      </c>
      <c r="Q170" s="70"/>
      <c r="R170" s="68">
        <v>0</v>
      </c>
      <c r="S170" s="70"/>
      <c r="T170" s="68">
        <v>0</v>
      </c>
      <c r="U170" s="70"/>
      <c r="V170" s="68">
        <v>0</v>
      </c>
      <c r="W170" s="70"/>
      <c r="X170" s="80">
        <v>2</v>
      </c>
      <c r="Y170" s="82"/>
    </row>
    <row r="171" spans="1:25" ht="18" customHeight="1" x14ac:dyDescent="0.3">
      <c r="A171" s="106" t="s">
        <v>7</v>
      </c>
      <c r="B171" s="107"/>
      <c r="C171" s="107"/>
      <c r="D171" s="107"/>
      <c r="E171" s="107"/>
      <c r="F171" s="107"/>
      <c r="G171" s="107"/>
      <c r="H171" s="107"/>
      <c r="I171" s="108"/>
      <c r="J171" s="68">
        <v>20</v>
      </c>
      <c r="K171" s="70"/>
      <c r="L171" s="68">
        <v>0</v>
      </c>
      <c r="M171" s="70"/>
      <c r="N171" s="68">
        <v>0</v>
      </c>
      <c r="O171" s="70"/>
      <c r="P171" s="68">
        <v>20</v>
      </c>
      <c r="Q171" s="70"/>
      <c r="R171" s="68">
        <v>0</v>
      </c>
      <c r="S171" s="70"/>
      <c r="T171" s="68">
        <v>0</v>
      </c>
      <c r="U171" s="70"/>
      <c r="V171" s="68">
        <v>0</v>
      </c>
      <c r="W171" s="70"/>
      <c r="X171" s="80">
        <v>20</v>
      </c>
      <c r="Y171" s="82"/>
    </row>
    <row r="172" spans="1:25" ht="15.6" x14ac:dyDescent="0.3">
      <c r="A172" s="4" t="s">
        <v>45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"/>
      <c r="S172" s="6"/>
      <c r="T172" s="6"/>
      <c r="U172" s="6"/>
      <c r="V172" s="6"/>
      <c r="W172" s="6"/>
      <c r="X172" s="6"/>
      <c r="Y172" s="7"/>
    </row>
    <row r="173" spans="1:25" x14ac:dyDescent="0.25">
      <c r="A173" s="71"/>
      <c r="B173" s="72"/>
      <c r="C173" s="72"/>
      <c r="D173" s="72"/>
      <c r="E173" s="72"/>
      <c r="F173" s="72"/>
      <c r="G173" s="73"/>
      <c r="H173" s="68" t="s">
        <v>0</v>
      </c>
      <c r="I173" s="69"/>
      <c r="J173" s="136" t="s">
        <v>1</v>
      </c>
      <c r="K173" s="69"/>
      <c r="L173" s="134" t="s">
        <v>2</v>
      </c>
      <c r="M173" s="69"/>
      <c r="N173" s="134" t="s">
        <v>3</v>
      </c>
      <c r="O173" s="69"/>
      <c r="P173" s="134" t="s">
        <v>4</v>
      </c>
      <c r="Q173" s="135"/>
      <c r="R173" s="134" t="s">
        <v>5</v>
      </c>
      <c r="S173" s="69"/>
      <c r="T173" s="134" t="s">
        <v>6</v>
      </c>
      <c r="U173" s="69"/>
      <c r="V173" s="134" t="s">
        <v>46</v>
      </c>
      <c r="W173" s="69"/>
      <c r="X173" s="134" t="s">
        <v>7</v>
      </c>
      <c r="Y173" s="135"/>
    </row>
    <row r="174" spans="1:25" x14ac:dyDescent="0.25">
      <c r="A174" s="74"/>
      <c r="B174" s="75"/>
      <c r="C174" s="75"/>
      <c r="D174" s="75"/>
      <c r="E174" s="75"/>
      <c r="F174" s="75"/>
      <c r="G174" s="76"/>
      <c r="H174" s="10" t="s">
        <v>10</v>
      </c>
      <c r="I174" s="10" t="s">
        <v>11</v>
      </c>
      <c r="J174" s="10" t="s">
        <v>10</v>
      </c>
      <c r="K174" s="10" t="s">
        <v>11</v>
      </c>
      <c r="L174" s="10" t="s">
        <v>10</v>
      </c>
      <c r="M174" s="10" t="s">
        <v>11</v>
      </c>
      <c r="N174" s="10" t="s">
        <v>10</v>
      </c>
      <c r="O174" s="10" t="s">
        <v>11</v>
      </c>
      <c r="P174" s="10" t="s">
        <v>10</v>
      </c>
      <c r="Q174" s="10" t="s">
        <v>11</v>
      </c>
      <c r="R174" s="10" t="s">
        <v>10</v>
      </c>
      <c r="S174" s="10" t="s">
        <v>11</v>
      </c>
      <c r="T174" s="10" t="s">
        <v>10</v>
      </c>
      <c r="U174" s="10" t="s">
        <v>11</v>
      </c>
      <c r="V174" s="10" t="s">
        <v>10</v>
      </c>
      <c r="W174" s="10" t="s">
        <v>11</v>
      </c>
      <c r="X174" s="10" t="s">
        <v>10</v>
      </c>
      <c r="Y174" s="10" t="s">
        <v>11</v>
      </c>
    </row>
    <row r="175" spans="1:25" ht="18" customHeight="1" x14ac:dyDescent="0.25">
      <c r="A175" s="106" t="s">
        <v>41</v>
      </c>
      <c r="B175" s="107"/>
      <c r="C175" s="107"/>
      <c r="D175" s="107"/>
      <c r="E175" s="107"/>
      <c r="F175" s="107"/>
      <c r="G175" s="108"/>
      <c r="H175" s="10">
        <v>0</v>
      </c>
      <c r="I175" s="10">
        <v>0</v>
      </c>
      <c r="J175" s="10">
        <v>0</v>
      </c>
      <c r="K175" s="10">
        <v>2</v>
      </c>
      <c r="L175" s="10">
        <v>0</v>
      </c>
      <c r="M175" s="10">
        <v>1</v>
      </c>
      <c r="N175" s="10">
        <v>1</v>
      </c>
      <c r="O175" s="10">
        <v>2</v>
      </c>
      <c r="P175" s="10">
        <v>2</v>
      </c>
      <c r="Q175" s="10">
        <v>3</v>
      </c>
      <c r="R175" s="10">
        <v>1</v>
      </c>
      <c r="S175" s="10">
        <v>0</v>
      </c>
      <c r="T175" s="10">
        <v>1</v>
      </c>
      <c r="U175" s="10">
        <v>0</v>
      </c>
      <c r="V175" s="10">
        <v>4</v>
      </c>
      <c r="W175" s="10">
        <v>0</v>
      </c>
      <c r="X175" s="10">
        <v>9</v>
      </c>
      <c r="Y175" s="10">
        <v>8</v>
      </c>
    </row>
    <row r="176" spans="1:25" ht="18" customHeight="1" x14ac:dyDescent="0.25">
      <c r="A176" s="106" t="s">
        <v>42</v>
      </c>
      <c r="B176" s="107"/>
      <c r="C176" s="107"/>
      <c r="D176" s="107"/>
      <c r="E176" s="107"/>
      <c r="F176" s="107"/>
      <c r="G176" s="108"/>
      <c r="H176" s="10">
        <v>0</v>
      </c>
      <c r="I176" s="10">
        <v>0</v>
      </c>
      <c r="J176" s="10">
        <v>0</v>
      </c>
      <c r="K176" s="10">
        <v>0</v>
      </c>
      <c r="L176" s="10">
        <v>1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1</v>
      </c>
      <c r="Y176" s="10">
        <v>0</v>
      </c>
    </row>
    <row r="177" spans="1:25" ht="18" customHeight="1" x14ac:dyDescent="0.25">
      <c r="A177" s="106" t="s">
        <v>43</v>
      </c>
      <c r="B177" s="107"/>
      <c r="C177" s="107"/>
      <c r="D177" s="107"/>
      <c r="E177" s="107"/>
      <c r="F177" s="107"/>
      <c r="G177" s="108"/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</row>
    <row r="178" spans="1:25" ht="18" customHeight="1" x14ac:dyDescent="0.25">
      <c r="A178" s="106" t="s">
        <v>44</v>
      </c>
      <c r="B178" s="107"/>
      <c r="C178" s="107"/>
      <c r="D178" s="107"/>
      <c r="E178" s="107"/>
      <c r="F178" s="107"/>
      <c r="G178" s="108"/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1</v>
      </c>
      <c r="N178" s="10">
        <v>0</v>
      </c>
      <c r="O178" s="10">
        <v>0</v>
      </c>
      <c r="P178" s="10">
        <v>0</v>
      </c>
      <c r="Q178" s="10">
        <v>1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2</v>
      </c>
    </row>
    <row r="179" spans="1:25" ht="18" customHeight="1" x14ac:dyDescent="0.25">
      <c r="A179" s="106" t="s">
        <v>7</v>
      </c>
      <c r="B179" s="107"/>
      <c r="C179" s="107"/>
      <c r="D179" s="107"/>
      <c r="E179" s="107"/>
      <c r="F179" s="107"/>
      <c r="G179" s="108"/>
      <c r="H179" s="10">
        <v>0</v>
      </c>
      <c r="I179" s="10">
        <v>0</v>
      </c>
      <c r="J179" s="10">
        <v>0</v>
      </c>
      <c r="K179" s="10">
        <v>2</v>
      </c>
      <c r="L179" s="10">
        <v>1</v>
      </c>
      <c r="M179" s="10">
        <v>2</v>
      </c>
      <c r="N179" s="10">
        <v>1</v>
      </c>
      <c r="O179" s="10">
        <v>2</v>
      </c>
      <c r="P179" s="10">
        <v>2</v>
      </c>
      <c r="Q179" s="10">
        <v>4</v>
      </c>
      <c r="R179" s="10">
        <v>1</v>
      </c>
      <c r="S179" s="10">
        <v>0</v>
      </c>
      <c r="T179" s="10">
        <v>1</v>
      </c>
      <c r="U179" s="10">
        <v>0</v>
      </c>
      <c r="V179" s="10">
        <v>4</v>
      </c>
      <c r="W179" s="10">
        <v>0</v>
      </c>
      <c r="X179" s="10">
        <v>10</v>
      </c>
      <c r="Y179" s="10">
        <v>10</v>
      </c>
    </row>
    <row r="180" spans="1:25" ht="6.75" customHeight="1" x14ac:dyDescent="0.25">
      <c r="A180" s="11"/>
      <c r="B180" s="12"/>
      <c r="C180" s="12"/>
      <c r="D180" s="12"/>
      <c r="E180" s="12"/>
      <c r="F180" s="13"/>
      <c r="G180" s="13"/>
      <c r="H180" s="13"/>
      <c r="I180" s="13"/>
      <c r="J180" s="13"/>
      <c r="K180" s="13"/>
      <c r="L180" s="14"/>
      <c r="M180" s="13"/>
      <c r="N180" s="15"/>
      <c r="O180" s="16"/>
      <c r="P180" s="13"/>
      <c r="Q180" s="13"/>
      <c r="R180" s="13"/>
      <c r="S180" s="13"/>
      <c r="T180" s="13"/>
      <c r="U180" s="13"/>
      <c r="V180" s="13"/>
      <c r="W180" s="13"/>
      <c r="X180" s="13"/>
      <c r="Y180" s="17"/>
    </row>
    <row r="181" spans="1:25" ht="18" customHeight="1" x14ac:dyDescent="0.3">
      <c r="A181" s="18" t="s">
        <v>47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20"/>
      <c r="L181" s="21"/>
      <c r="M181" s="18" t="s">
        <v>48</v>
      </c>
      <c r="N181" s="19"/>
      <c r="O181" s="19"/>
      <c r="P181" s="19"/>
      <c r="Q181" s="22"/>
      <c r="R181" s="22"/>
      <c r="S181" s="22"/>
      <c r="T181" s="22"/>
      <c r="U181" s="22"/>
      <c r="V181" s="22"/>
      <c r="W181" s="22"/>
      <c r="X181" s="22"/>
      <c r="Y181" s="23"/>
    </row>
    <row r="182" spans="1:25" ht="57.75" customHeight="1" x14ac:dyDescent="0.25">
      <c r="A182" s="101" t="s">
        <v>49</v>
      </c>
      <c r="B182" s="101" t="s">
        <v>50</v>
      </c>
      <c r="C182" s="101" t="s">
        <v>51</v>
      </c>
      <c r="D182" s="77" t="s">
        <v>52</v>
      </c>
      <c r="E182" s="78"/>
      <c r="F182" s="77" t="s">
        <v>53</v>
      </c>
      <c r="G182" s="79"/>
      <c r="H182" s="79"/>
      <c r="I182" s="78"/>
      <c r="J182" s="101" t="s">
        <v>54</v>
      </c>
      <c r="K182" s="101" t="s">
        <v>55</v>
      </c>
      <c r="L182" s="24"/>
      <c r="M182" s="86" t="s">
        <v>56</v>
      </c>
      <c r="N182" s="88"/>
      <c r="O182" s="86" t="s">
        <v>57</v>
      </c>
      <c r="P182" s="88"/>
      <c r="Q182" s="86" t="s">
        <v>58</v>
      </c>
      <c r="R182" s="87"/>
      <c r="S182" s="87"/>
      <c r="T182" s="87"/>
      <c r="U182" s="87"/>
      <c r="V182" s="87"/>
      <c r="W182" s="87"/>
      <c r="X182" s="87"/>
      <c r="Y182" s="88"/>
    </row>
    <row r="183" spans="1:25" ht="38.25" customHeight="1" x14ac:dyDescent="0.25">
      <c r="A183" s="102"/>
      <c r="B183" s="102"/>
      <c r="C183" s="102"/>
      <c r="D183" s="25" t="s">
        <v>59</v>
      </c>
      <c r="E183" s="25" t="s">
        <v>60</v>
      </c>
      <c r="F183" s="26" t="s">
        <v>59</v>
      </c>
      <c r="G183" s="26" t="s">
        <v>60</v>
      </c>
      <c r="H183" s="26" t="s">
        <v>61</v>
      </c>
      <c r="I183" s="26" t="s">
        <v>62</v>
      </c>
      <c r="J183" s="102"/>
      <c r="K183" s="102"/>
      <c r="L183" s="24"/>
      <c r="M183" s="91">
        <v>0</v>
      </c>
      <c r="N183" s="92"/>
      <c r="O183" s="91">
        <v>0</v>
      </c>
      <c r="P183" s="92"/>
      <c r="Q183" s="86">
        <v>3</v>
      </c>
      <c r="R183" s="87"/>
      <c r="S183" s="87"/>
      <c r="T183" s="87"/>
      <c r="U183" s="87"/>
      <c r="V183" s="87"/>
      <c r="W183" s="87"/>
      <c r="X183" s="87"/>
      <c r="Y183" s="88"/>
    </row>
    <row r="184" spans="1:25" ht="38.25" customHeight="1" x14ac:dyDescent="0.25">
      <c r="A184" s="103">
        <v>8198</v>
      </c>
      <c r="B184" s="103">
        <v>152</v>
      </c>
      <c r="C184" s="103">
        <v>0</v>
      </c>
      <c r="D184" s="103">
        <v>103</v>
      </c>
      <c r="E184" s="103">
        <v>24</v>
      </c>
      <c r="F184" s="103">
        <v>13</v>
      </c>
      <c r="G184" s="103">
        <v>6</v>
      </c>
      <c r="H184" s="103">
        <v>11</v>
      </c>
      <c r="I184" s="103">
        <v>18</v>
      </c>
      <c r="J184" s="103">
        <v>13</v>
      </c>
      <c r="K184" s="103">
        <v>6</v>
      </c>
      <c r="L184" s="24"/>
      <c r="M184" s="91" t="s">
        <v>63</v>
      </c>
      <c r="N184" s="92"/>
      <c r="O184" s="91" t="s">
        <v>64</v>
      </c>
      <c r="P184" s="92"/>
      <c r="Q184" s="95" t="s">
        <v>65</v>
      </c>
      <c r="R184" s="99"/>
      <c r="S184" s="96"/>
      <c r="T184" s="95" t="s">
        <v>66</v>
      </c>
      <c r="U184" s="99"/>
      <c r="V184" s="99"/>
      <c r="W184" s="99"/>
      <c r="X184" s="99"/>
      <c r="Y184" s="96"/>
    </row>
    <row r="185" spans="1:25" ht="19.5" customHeight="1" x14ac:dyDescent="0.2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27"/>
      <c r="M185" s="91">
        <v>0</v>
      </c>
      <c r="N185" s="92"/>
      <c r="O185" s="91">
        <v>0</v>
      </c>
      <c r="P185" s="92"/>
      <c r="Q185" s="91">
        <v>0</v>
      </c>
      <c r="R185" s="97"/>
      <c r="S185" s="92"/>
      <c r="T185" s="28"/>
      <c r="U185" s="86" t="s">
        <v>0</v>
      </c>
      <c r="V185" s="88"/>
      <c r="W185" s="29" t="s">
        <v>1</v>
      </c>
      <c r="X185" s="86" t="s">
        <v>67</v>
      </c>
      <c r="Y185" s="88"/>
    </row>
    <row r="186" spans="1:25" ht="18" customHeight="1" x14ac:dyDescent="0.25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27"/>
      <c r="M186" s="93"/>
      <c r="N186" s="94"/>
      <c r="O186" s="93"/>
      <c r="P186" s="94"/>
      <c r="Q186" s="93"/>
      <c r="R186" s="98"/>
      <c r="S186" s="94"/>
      <c r="T186" s="30" t="s">
        <v>68</v>
      </c>
      <c r="U186" s="100">
        <v>0</v>
      </c>
      <c r="V186" s="100"/>
      <c r="W186" s="29">
        <v>0</v>
      </c>
      <c r="X186" s="100">
        <v>0</v>
      </c>
      <c r="Y186" s="100"/>
    </row>
    <row r="187" spans="1:25" ht="18" customHeight="1" x14ac:dyDescent="0.25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27"/>
      <c r="M187" s="93"/>
      <c r="N187" s="94"/>
      <c r="O187" s="93"/>
      <c r="P187" s="94"/>
      <c r="Q187" s="93"/>
      <c r="R187" s="98"/>
      <c r="S187" s="94"/>
      <c r="T187" s="30" t="s">
        <v>69</v>
      </c>
      <c r="U187" s="100">
        <v>0</v>
      </c>
      <c r="V187" s="100"/>
      <c r="W187" s="29">
        <v>0</v>
      </c>
      <c r="X187" s="100">
        <v>0</v>
      </c>
      <c r="Y187" s="100"/>
    </row>
    <row r="188" spans="1:25" ht="18" customHeight="1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27"/>
      <c r="M188" s="95"/>
      <c r="N188" s="96"/>
      <c r="O188" s="95"/>
      <c r="P188" s="96"/>
      <c r="Q188" s="95"/>
      <c r="R188" s="99"/>
      <c r="S188" s="96"/>
      <c r="T188" s="30" t="s">
        <v>70</v>
      </c>
      <c r="U188" s="100">
        <v>0</v>
      </c>
      <c r="V188" s="100"/>
      <c r="W188" s="29">
        <v>0</v>
      </c>
      <c r="X188" s="100">
        <v>0</v>
      </c>
      <c r="Y188" s="100"/>
    </row>
    <row r="189" spans="1:25" ht="8.25" customHeight="1" x14ac:dyDescent="0.25">
      <c r="A189" s="31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3"/>
      <c r="M189" s="32"/>
      <c r="N189" s="32"/>
      <c r="O189" s="32"/>
      <c r="P189" s="32"/>
      <c r="Q189" s="32"/>
      <c r="R189" s="34"/>
      <c r="S189" s="34"/>
      <c r="T189" s="34"/>
      <c r="U189" s="34"/>
      <c r="V189" s="34"/>
      <c r="W189" s="32"/>
      <c r="X189" s="32"/>
      <c r="Y189" s="7"/>
    </row>
    <row r="190" spans="1:25" ht="18" customHeight="1" x14ac:dyDescent="0.3">
      <c r="A190" s="18" t="s">
        <v>71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20"/>
      <c r="L190" s="35"/>
      <c r="M190" s="18" t="s">
        <v>72</v>
      </c>
      <c r="N190" s="20"/>
      <c r="O190" s="36"/>
      <c r="P190" s="19"/>
      <c r="Q190" s="19"/>
      <c r="R190" s="19"/>
      <c r="S190" s="19"/>
      <c r="T190" s="19"/>
      <c r="U190" s="19"/>
      <c r="V190" s="19"/>
      <c r="W190" s="22"/>
      <c r="X190" s="22"/>
      <c r="Y190" s="37"/>
    </row>
    <row r="191" spans="1:25" ht="57" customHeight="1" x14ac:dyDescent="0.25">
      <c r="A191" s="71"/>
      <c r="B191" s="72"/>
      <c r="C191" s="72"/>
      <c r="D191" s="72"/>
      <c r="E191" s="73"/>
      <c r="F191" s="68" t="s">
        <v>12</v>
      </c>
      <c r="G191" s="70"/>
      <c r="H191" s="68" t="s">
        <v>13</v>
      </c>
      <c r="I191" s="70"/>
      <c r="J191" s="38" t="s">
        <v>73</v>
      </c>
      <c r="K191" s="39"/>
      <c r="L191" s="40"/>
      <c r="M191" s="77" t="s">
        <v>74</v>
      </c>
      <c r="N191" s="78"/>
      <c r="O191" s="77" t="s">
        <v>75</v>
      </c>
      <c r="P191" s="78"/>
      <c r="Q191" s="77" t="s">
        <v>76</v>
      </c>
      <c r="R191" s="78"/>
      <c r="S191" s="77" t="s">
        <v>77</v>
      </c>
      <c r="T191" s="79"/>
      <c r="U191" s="79"/>
      <c r="V191" s="78"/>
      <c r="W191" s="77" t="s">
        <v>78</v>
      </c>
      <c r="X191" s="79"/>
      <c r="Y191" s="78"/>
    </row>
    <row r="192" spans="1:25" ht="13.5" customHeight="1" x14ac:dyDescent="0.25">
      <c r="A192" s="74"/>
      <c r="B192" s="75"/>
      <c r="C192" s="75"/>
      <c r="D192" s="75"/>
      <c r="E192" s="76"/>
      <c r="F192" s="10" t="s">
        <v>79</v>
      </c>
      <c r="G192" s="10" t="s">
        <v>14</v>
      </c>
      <c r="H192" s="10" t="s">
        <v>79</v>
      </c>
      <c r="I192" s="10" t="s">
        <v>14</v>
      </c>
      <c r="J192" s="10" t="s">
        <v>79</v>
      </c>
      <c r="K192" s="10" t="s">
        <v>14</v>
      </c>
      <c r="L192" s="41"/>
      <c r="M192" s="42" t="s">
        <v>80</v>
      </c>
      <c r="N192" s="42" t="s">
        <v>81</v>
      </c>
      <c r="O192" s="42" t="s">
        <v>80</v>
      </c>
      <c r="P192" s="43" t="s">
        <v>81</v>
      </c>
      <c r="Q192" s="42" t="s">
        <v>80</v>
      </c>
      <c r="R192" s="42" t="s">
        <v>81</v>
      </c>
      <c r="S192" s="44"/>
      <c r="T192" s="42" t="s">
        <v>0</v>
      </c>
      <c r="U192" s="45" t="s">
        <v>1</v>
      </c>
      <c r="V192" s="46" t="s">
        <v>82</v>
      </c>
      <c r="W192" s="42" t="s">
        <v>0</v>
      </c>
      <c r="X192" s="45" t="s">
        <v>1</v>
      </c>
      <c r="Y192" s="46" t="s">
        <v>82</v>
      </c>
    </row>
    <row r="193" spans="1:25" ht="14.4" x14ac:dyDescent="0.3">
      <c r="A193" s="80" t="s">
        <v>83</v>
      </c>
      <c r="B193" s="81"/>
      <c r="C193" s="81"/>
      <c r="D193" s="81"/>
      <c r="E193" s="82"/>
      <c r="F193" s="10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41"/>
      <c r="M193" s="83">
        <v>0</v>
      </c>
      <c r="N193" s="83">
        <v>23</v>
      </c>
      <c r="O193" s="83">
        <v>0</v>
      </c>
      <c r="P193" s="83">
        <v>0</v>
      </c>
      <c r="Q193" s="83">
        <v>0</v>
      </c>
      <c r="R193" s="83">
        <v>0</v>
      </c>
      <c r="S193" s="47" t="s">
        <v>68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</row>
    <row r="194" spans="1:25" ht="14.4" x14ac:dyDescent="0.3">
      <c r="A194" s="80" t="s">
        <v>8</v>
      </c>
      <c r="B194" s="81"/>
      <c r="C194" s="81"/>
      <c r="D194" s="81"/>
      <c r="E194" s="82"/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41"/>
      <c r="M194" s="84"/>
      <c r="N194" s="84"/>
      <c r="O194" s="84"/>
      <c r="P194" s="84"/>
      <c r="Q194" s="84"/>
      <c r="R194" s="84"/>
      <c r="S194" s="47" t="s">
        <v>69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</row>
    <row r="195" spans="1:25" x14ac:dyDescent="0.25">
      <c r="A195" s="86" t="s">
        <v>84</v>
      </c>
      <c r="B195" s="87"/>
      <c r="C195" s="87"/>
      <c r="D195" s="87"/>
      <c r="E195" s="88"/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41"/>
      <c r="M195" s="84"/>
      <c r="N195" s="84"/>
      <c r="O195" s="84"/>
      <c r="P195" s="84"/>
      <c r="Q195" s="84"/>
      <c r="R195" s="84"/>
      <c r="S195" s="89" t="s">
        <v>70</v>
      </c>
      <c r="T195" s="83">
        <v>0</v>
      </c>
      <c r="U195" s="83">
        <v>0</v>
      </c>
      <c r="V195" s="83">
        <v>0</v>
      </c>
      <c r="W195" s="83">
        <v>0</v>
      </c>
      <c r="X195" s="83">
        <v>0</v>
      </c>
      <c r="Y195" s="83">
        <v>0</v>
      </c>
    </row>
    <row r="196" spans="1:25" x14ac:dyDescent="0.25">
      <c r="A196" s="68" t="s">
        <v>7</v>
      </c>
      <c r="B196" s="69"/>
      <c r="C196" s="69"/>
      <c r="D196" s="69"/>
      <c r="E196" s="70"/>
      <c r="F196" s="10">
        <v>1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41"/>
      <c r="M196" s="85"/>
      <c r="N196" s="85"/>
      <c r="O196" s="85"/>
      <c r="P196" s="85"/>
      <c r="Q196" s="85"/>
      <c r="R196" s="85"/>
      <c r="S196" s="90"/>
      <c r="T196" s="85"/>
      <c r="U196" s="85"/>
      <c r="V196" s="85"/>
      <c r="W196" s="85"/>
      <c r="X196" s="85"/>
      <c r="Y196" s="85"/>
    </row>
  </sheetData>
  <mergeCells count="755">
    <mergeCell ref="X173:Y173"/>
    <mergeCell ref="A175:G175"/>
    <mergeCell ref="A173:G174"/>
    <mergeCell ref="H173:I173"/>
    <mergeCell ref="J173:K173"/>
    <mergeCell ref="L173:M173"/>
    <mergeCell ref="N173:O173"/>
    <mergeCell ref="P173:Q173"/>
    <mergeCell ref="R173:S173"/>
    <mergeCell ref="T173:U173"/>
    <mergeCell ref="V173:W173"/>
    <mergeCell ref="J171:K171"/>
    <mergeCell ref="A171:I171"/>
    <mergeCell ref="L171:M171"/>
    <mergeCell ref="N171:O171"/>
    <mergeCell ref="P171:Q171"/>
    <mergeCell ref="R171:S171"/>
    <mergeCell ref="T171:U171"/>
    <mergeCell ref="V171:W171"/>
    <mergeCell ref="X171:Y171"/>
    <mergeCell ref="X160:Y161"/>
    <mergeCell ref="A162:F162"/>
    <mergeCell ref="G162:M162"/>
    <mergeCell ref="Q162:U162"/>
    <mergeCell ref="V162:Y162"/>
    <mergeCell ref="A164:I164"/>
    <mergeCell ref="J164:K166"/>
    <mergeCell ref="L164:M166"/>
    <mergeCell ref="N164:O166"/>
    <mergeCell ref="P164:Q166"/>
    <mergeCell ref="R164:W164"/>
    <mergeCell ref="X164:Y166"/>
    <mergeCell ref="A165:I166"/>
    <mergeCell ref="R165:S166"/>
    <mergeCell ref="T165:U166"/>
    <mergeCell ref="V165:W166"/>
    <mergeCell ref="H160:I160"/>
    <mergeCell ref="O146:P149"/>
    <mergeCell ref="Q146:S149"/>
    <mergeCell ref="U146:V146"/>
    <mergeCell ref="X146:Y146"/>
    <mergeCell ref="U147:V147"/>
    <mergeCell ref="X147:Y147"/>
    <mergeCell ref="U148:V148"/>
    <mergeCell ref="X148:Y148"/>
    <mergeCell ref="U149:V149"/>
    <mergeCell ref="X149:Y149"/>
    <mergeCell ref="A136:G136"/>
    <mergeCell ref="A137:G137"/>
    <mergeCell ref="A138:G138"/>
    <mergeCell ref="M143:N143"/>
    <mergeCell ref="O143:P143"/>
    <mergeCell ref="Q143:Y143"/>
    <mergeCell ref="M144:N144"/>
    <mergeCell ref="O144:P144"/>
    <mergeCell ref="Q144:Y144"/>
    <mergeCell ref="A139:G139"/>
    <mergeCell ref="A140:G140"/>
    <mergeCell ref="A143:A144"/>
    <mergeCell ref="B143:B144"/>
    <mergeCell ref="C143:C144"/>
    <mergeCell ref="D143:E143"/>
    <mergeCell ref="F143:I143"/>
    <mergeCell ref="J143:J144"/>
    <mergeCell ref="K143:K144"/>
    <mergeCell ref="X125:Y127"/>
    <mergeCell ref="A126:I127"/>
    <mergeCell ref="R126:S127"/>
    <mergeCell ref="T126:U127"/>
    <mergeCell ref="V126:W127"/>
    <mergeCell ref="A128:I128"/>
    <mergeCell ref="L128:M128"/>
    <mergeCell ref="P128:Q128"/>
    <mergeCell ref="R128:S128"/>
    <mergeCell ref="T128:U128"/>
    <mergeCell ref="V128:W128"/>
    <mergeCell ref="X128:Y128"/>
    <mergeCell ref="J128:K128"/>
    <mergeCell ref="N128:O128"/>
    <mergeCell ref="J104:J105"/>
    <mergeCell ref="K104:K105"/>
    <mergeCell ref="M104:N104"/>
    <mergeCell ref="O104:P104"/>
    <mergeCell ref="Q104:Y104"/>
    <mergeCell ref="M105:N105"/>
    <mergeCell ref="O105:P105"/>
    <mergeCell ref="Q105:Y105"/>
    <mergeCell ref="A95:G96"/>
    <mergeCell ref="H95:I95"/>
    <mergeCell ref="J95:K95"/>
    <mergeCell ref="L95:M95"/>
    <mergeCell ref="N95:O95"/>
    <mergeCell ref="A97:G97"/>
    <mergeCell ref="A98:G98"/>
    <mergeCell ref="A99:G99"/>
    <mergeCell ref="A100:G100"/>
    <mergeCell ref="A101:G101"/>
    <mergeCell ref="A104:A105"/>
    <mergeCell ref="B104:B105"/>
    <mergeCell ref="C104:C105"/>
    <mergeCell ref="D104:E104"/>
    <mergeCell ref="F104:I104"/>
    <mergeCell ref="P95:Q95"/>
    <mergeCell ref="R95:S95"/>
    <mergeCell ref="T95:U95"/>
    <mergeCell ref="V95:W95"/>
    <mergeCell ref="J91:K91"/>
    <mergeCell ref="N91:O91"/>
    <mergeCell ref="X89:Y89"/>
    <mergeCell ref="V90:W90"/>
    <mergeCell ref="X90:Y90"/>
    <mergeCell ref="N90:O90"/>
    <mergeCell ref="X95:Y95"/>
    <mergeCell ref="A91:I91"/>
    <mergeCell ref="L91:M91"/>
    <mergeCell ref="P91:Q91"/>
    <mergeCell ref="R91:S91"/>
    <mergeCell ref="T91:U91"/>
    <mergeCell ref="V91:W91"/>
    <mergeCell ref="X91:Y91"/>
    <mergeCell ref="X69:Y69"/>
    <mergeCell ref="U70:V70"/>
    <mergeCell ref="X70:Y70"/>
    <mergeCell ref="U71:V71"/>
    <mergeCell ref="X71:Y71"/>
    <mergeCell ref="A74:E75"/>
    <mergeCell ref="F74:G74"/>
    <mergeCell ref="H74:I74"/>
    <mergeCell ref="M74:N74"/>
    <mergeCell ref="O74:P74"/>
    <mergeCell ref="V89:W89"/>
    <mergeCell ref="A90:I90"/>
    <mergeCell ref="L90:M90"/>
    <mergeCell ref="P90:Q90"/>
    <mergeCell ref="R90:S90"/>
    <mergeCell ref="T90:U90"/>
    <mergeCell ref="J90:K90"/>
    <mergeCell ref="X52:Y52"/>
    <mergeCell ref="T53:U53"/>
    <mergeCell ref="V53:W53"/>
    <mergeCell ref="X53:Y53"/>
    <mergeCell ref="A54:I54"/>
    <mergeCell ref="L54:M54"/>
    <mergeCell ref="P54:Q54"/>
    <mergeCell ref="R54:S54"/>
    <mergeCell ref="T54:U54"/>
    <mergeCell ref="V54:W54"/>
    <mergeCell ref="X54:Y54"/>
    <mergeCell ref="A52:I52"/>
    <mergeCell ref="A53:I53"/>
    <mergeCell ref="A35:E36"/>
    <mergeCell ref="F35:G35"/>
    <mergeCell ref="H35:I35"/>
    <mergeCell ref="M35:N35"/>
    <mergeCell ref="O35:P35"/>
    <mergeCell ref="Q35:R35"/>
    <mergeCell ref="S35:V35"/>
    <mergeCell ref="W35:Y35"/>
    <mergeCell ref="A37:E37"/>
    <mergeCell ref="M37:M40"/>
    <mergeCell ref="N37:N40"/>
    <mergeCell ref="O37:O40"/>
    <mergeCell ref="P37:P40"/>
    <mergeCell ref="Q37:Q40"/>
    <mergeCell ref="R37:R40"/>
    <mergeCell ref="A38:E38"/>
    <mergeCell ref="A39:E39"/>
    <mergeCell ref="S39:S40"/>
    <mergeCell ref="T39:T40"/>
    <mergeCell ref="U39:U40"/>
    <mergeCell ref="V39:V40"/>
    <mergeCell ref="W39:W40"/>
    <mergeCell ref="X39:X40"/>
    <mergeCell ref="Y39:Y40"/>
    <mergeCell ref="X17:Y17"/>
    <mergeCell ref="A20:G20"/>
    <mergeCell ref="A21:G21"/>
    <mergeCell ref="A22:G22"/>
    <mergeCell ref="A23:G23"/>
    <mergeCell ref="Q26:Y26"/>
    <mergeCell ref="Q27:Y27"/>
    <mergeCell ref="A17:G18"/>
    <mergeCell ref="H17:I17"/>
    <mergeCell ref="L17:M17"/>
    <mergeCell ref="P17:Q17"/>
    <mergeCell ref="R17:S17"/>
    <mergeCell ref="T17:U17"/>
    <mergeCell ref="V17:W17"/>
    <mergeCell ref="A19:G19"/>
    <mergeCell ref="A26:A27"/>
    <mergeCell ref="B26:B27"/>
    <mergeCell ref="C26:C27"/>
    <mergeCell ref="D26:E26"/>
    <mergeCell ref="F26:I26"/>
    <mergeCell ref="J26:J27"/>
    <mergeCell ref="K26:K27"/>
    <mergeCell ref="M26:N26"/>
    <mergeCell ref="O26:P26"/>
    <mergeCell ref="A2:Y2"/>
    <mergeCell ref="A3:S3"/>
    <mergeCell ref="U3:V3"/>
    <mergeCell ref="A4:D4"/>
    <mergeCell ref="E4:G4"/>
    <mergeCell ref="H4:I4"/>
    <mergeCell ref="J4:K4"/>
    <mergeCell ref="L4:M4"/>
    <mergeCell ref="N4:P4"/>
    <mergeCell ref="Q4:T5"/>
    <mergeCell ref="U4:W5"/>
    <mergeCell ref="X4:Y5"/>
    <mergeCell ref="P11:Q11"/>
    <mergeCell ref="U68:V68"/>
    <mergeCell ref="J56:K56"/>
    <mergeCell ref="N56:O56"/>
    <mergeCell ref="P52:Q52"/>
    <mergeCell ref="R52:S52"/>
    <mergeCell ref="T52:U52"/>
    <mergeCell ref="V52:W52"/>
    <mergeCell ref="J52:K52"/>
    <mergeCell ref="L52:M52"/>
    <mergeCell ref="N52:O52"/>
    <mergeCell ref="L53:M53"/>
    <mergeCell ref="P53:Q53"/>
    <mergeCell ref="R53:S53"/>
    <mergeCell ref="J53:K53"/>
    <mergeCell ref="N53:O53"/>
    <mergeCell ref="J54:K54"/>
    <mergeCell ref="N54:O54"/>
    <mergeCell ref="J17:K17"/>
    <mergeCell ref="N17:O17"/>
    <mergeCell ref="L11:M11"/>
    <mergeCell ref="V11:W11"/>
    <mergeCell ref="L14:M14"/>
    <mergeCell ref="V14:W14"/>
    <mergeCell ref="A89:I89"/>
    <mergeCell ref="L89:M89"/>
    <mergeCell ref="P89:Q89"/>
    <mergeCell ref="R89:S89"/>
    <mergeCell ref="T89:U89"/>
    <mergeCell ref="J89:K89"/>
    <mergeCell ref="N89:O89"/>
    <mergeCell ref="H56:I56"/>
    <mergeCell ref="L56:M56"/>
    <mergeCell ref="P56:Q56"/>
    <mergeCell ref="R56:S56"/>
    <mergeCell ref="T56:U56"/>
    <mergeCell ref="A67:A71"/>
    <mergeCell ref="B67:B71"/>
    <mergeCell ref="C67:C71"/>
    <mergeCell ref="D67:D71"/>
    <mergeCell ref="E67:E71"/>
    <mergeCell ref="F67:F71"/>
    <mergeCell ref="G67:G71"/>
    <mergeCell ref="H67:H71"/>
    <mergeCell ref="I67:I71"/>
    <mergeCell ref="J67:J71"/>
    <mergeCell ref="K67:K71"/>
    <mergeCell ref="M67:N67"/>
    <mergeCell ref="A123:F123"/>
    <mergeCell ref="G123:M123"/>
    <mergeCell ref="Q123:U123"/>
    <mergeCell ref="V123:Y123"/>
    <mergeCell ref="A125:I125"/>
    <mergeCell ref="A106:A110"/>
    <mergeCell ref="B106:B110"/>
    <mergeCell ref="C106:C110"/>
    <mergeCell ref="D106:D110"/>
    <mergeCell ref="E106:E110"/>
    <mergeCell ref="F106:F110"/>
    <mergeCell ref="G106:G110"/>
    <mergeCell ref="H106:H110"/>
    <mergeCell ref="I106:I110"/>
    <mergeCell ref="J106:J110"/>
    <mergeCell ref="A118:E118"/>
    <mergeCell ref="A119:Y119"/>
    <mergeCell ref="A120:S120"/>
    <mergeCell ref="X121:Y122"/>
    <mergeCell ref="J125:K127"/>
    <mergeCell ref="L125:M127"/>
    <mergeCell ref="N125:O127"/>
    <mergeCell ref="P125:Q127"/>
    <mergeCell ref="R125:W125"/>
    <mergeCell ref="A6:F6"/>
    <mergeCell ref="G6:M6"/>
    <mergeCell ref="Q6:U6"/>
    <mergeCell ref="V6:Y6"/>
    <mergeCell ref="A8:I8"/>
    <mergeCell ref="J8:K10"/>
    <mergeCell ref="L8:M10"/>
    <mergeCell ref="N8:O10"/>
    <mergeCell ref="P8:Q10"/>
    <mergeCell ref="R8:W8"/>
    <mergeCell ref="X8:Y10"/>
    <mergeCell ref="A9:I10"/>
    <mergeCell ref="R9:S10"/>
    <mergeCell ref="T9:U10"/>
    <mergeCell ref="V9:W10"/>
    <mergeCell ref="X11:Y11"/>
    <mergeCell ref="A12:I12"/>
    <mergeCell ref="J12:K12"/>
    <mergeCell ref="L12:M12"/>
    <mergeCell ref="V12:W12"/>
    <mergeCell ref="X12:Y12"/>
    <mergeCell ref="A13:I13"/>
    <mergeCell ref="J13:K13"/>
    <mergeCell ref="L13:M13"/>
    <mergeCell ref="V13:W13"/>
    <mergeCell ref="X13:Y13"/>
    <mergeCell ref="R11:S11"/>
    <mergeCell ref="A11:I11"/>
    <mergeCell ref="J11:K11"/>
    <mergeCell ref="T13:U13"/>
    <mergeCell ref="N13:O13"/>
    <mergeCell ref="P13:Q13"/>
    <mergeCell ref="R13:S13"/>
    <mergeCell ref="T11:U11"/>
    <mergeCell ref="N12:O12"/>
    <mergeCell ref="P12:Q12"/>
    <mergeCell ref="R12:S12"/>
    <mergeCell ref="T12:U12"/>
    <mergeCell ref="N11:O11"/>
    <mergeCell ref="X14:Y14"/>
    <mergeCell ref="A15:I15"/>
    <mergeCell ref="J15:K15"/>
    <mergeCell ref="L15:M15"/>
    <mergeCell ref="N15:O15"/>
    <mergeCell ref="P15:Q15"/>
    <mergeCell ref="R15:S15"/>
    <mergeCell ref="T15:U15"/>
    <mergeCell ref="V15:W15"/>
    <mergeCell ref="X15:Y15"/>
    <mergeCell ref="N14:O14"/>
    <mergeCell ref="P14:Q14"/>
    <mergeCell ref="R14:S14"/>
    <mergeCell ref="T14:U14"/>
    <mergeCell ref="A14:I14"/>
    <mergeCell ref="J14:K14"/>
    <mergeCell ref="M27:N27"/>
    <mergeCell ref="O27:P27"/>
    <mergeCell ref="A28:A32"/>
    <mergeCell ref="B28:B32"/>
    <mergeCell ref="C28:C32"/>
    <mergeCell ref="D28:D32"/>
    <mergeCell ref="E28:E32"/>
    <mergeCell ref="F28:F32"/>
    <mergeCell ref="G28:G32"/>
    <mergeCell ref="H28:H32"/>
    <mergeCell ref="I28:I32"/>
    <mergeCell ref="J28:J32"/>
    <mergeCell ref="K28:K32"/>
    <mergeCell ref="M28:N28"/>
    <mergeCell ref="O28:P28"/>
    <mergeCell ref="Q28:S28"/>
    <mergeCell ref="T28:Y28"/>
    <mergeCell ref="M29:N32"/>
    <mergeCell ref="O29:P32"/>
    <mergeCell ref="Q29:S32"/>
    <mergeCell ref="U29:V29"/>
    <mergeCell ref="X29:Y29"/>
    <mergeCell ref="U30:V30"/>
    <mergeCell ref="X30:Y30"/>
    <mergeCell ref="U31:V31"/>
    <mergeCell ref="X31:Y31"/>
    <mergeCell ref="X32:Y32"/>
    <mergeCell ref="U32:V32"/>
    <mergeCell ref="A40:E40"/>
    <mergeCell ref="A41:Y41"/>
    <mergeCell ref="A42:S42"/>
    <mergeCell ref="U42:V42"/>
    <mergeCell ref="A43:D43"/>
    <mergeCell ref="E43:G43"/>
    <mergeCell ref="H43:I43"/>
    <mergeCell ref="J43:K43"/>
    <mergeCell ref="L43:M43"/>
    <mergeCell ref="N43:P43"/>
    <mergeCell ref="Q43:T44"/>
    <mergeCell ref="U43:W44"/>
    <mergeCell ref="X43:Y44"/>
    <mergeCell ref="A45:F45"/>
    <mergeCell ref="G45:M45"/>
    <mergeCell ref="Q45:U45"/>
    <mergeCell ref="V45:Y45"/>
    <mergeCell ref="A47:I47"/>
    <mergeCell ref="J47:K49"/>
    <mergeCell ref="L47:M49"/>
    <mergeCell ref="N47:O49"/>
    <mergeCell ref="P47:Q49"/>
    <mergeCell ref="R47:W47"/>
    <mergeCell ref="X47:Y49"/>
    <mergeCell ref="A48:I49"/>
    <mergeCell ref="R48:S49"/>
    <mergeCell ref="T48:U49"/>
    <mergeCell ref="V48:W49"/>
    <mergeCell ref="L50:M50"/>
    <mergeCell ref="V50:W50"/>
    <mergeCell ref="X50:Y50"/>
    <mergeCell ref="A51:I51"/>
    <mergeCell ref="J51:K51"/>
    <mergeCell ref="L51:M51"/>
    <mergeCell ref="N51:O51"/>
    <mergeCell ref="P51:Q51"/>
    <mergeCell ref="R51:S51"/>
    <mergeCell ref="T51:U51"/>
    <mergeCell ref="V51:W51"/>
    <mergeCell ref="X51:Y51"/>
    <mergeCell ref="N50:O50"/>
    <mergeCell ref="P50:Q50"/>
    <mergeCell ref="R50:S50"/>
    <mergeCell ref="T50:U50"/>
    <mergeCell ref="A50:I50"/>
    <mergeCell ref="J50:K50"/>
    <mergeCell ref="V56:W56"/>
    <mergeCell ref="X56:Y56"/>
    <mergeCell ref="A58:G58"/>
    <mergeCell ref="A59:G59"/>
    <mergeCell ref="A65:A66"/>
    <mergeCell ref="B65:B66"/>
    <mergeCell ref="C65:C66"/>
    <mergeCell ref="D65:E65"/>
    <mergeCell ref="F65:I65"/>
    <mergeCell ref="J65:J66"/>
    <mergeCell ref="K65:K66"/>
    <mergeCell ref="M65:N65"/>
    <mergeCell ref="O65:P65"/>
    <mergeCell ref="Q65:Y65"/>
    <mergeCell ref="M66:N66"/>
    <mergeCell ref="O66:P66"/>
    <mergeCell ref="Q66:Y66"/>
    <mergeCell ref="A56:G57"/>
    <mergeCell ref="A60:G60"/>
    <mergeCell ref="A61:G61"/>
    <mergeCell ref="A62:G62"/>
    <mergeCell ref="O67:P67"/>
    <mergeCell ref="Q67:S67"/>
    <mergeCell ref="T67:Y67"/>
    <mergeCell ref="M68:N71"/>
    <mergeCell ref="O68:P71"/>
    <mergeCell ref="Q68:S71"/>
    <mergeCell ref="X68:Y68"/>
    <mergeCell ref="U69:V69"/>
    <mergeCell ref="Q74:R74"/>
    <mergeCell ref="S74:V74"/>
    <mergeCell ref="W74:Y74"/>
    <mergeCell ref="A76:E76"/>
    <mergeCell ref="M76:M79"/>
    <mergeCell ref="N76:N79"/>
    <mergeCell ref="O76:O79"/>
    <mergeCell ref="P76:P79"/>
    <mergeCell ref="Q76:Q79"/>
    <mergeCell ref="R76:R79"/>
    <mergeCell ref="A77:E77"/>
    <mergeCell ref="A78:E78"/>
    <mergeCell ref="S78:S79"/>
    <mergeCell ref="T78:T79"/>
    <mergeCell ref="U78:U79"/>
    <mergeCell ref="V78:V79"/>
    <mergeCell ref="W78:W79"/>
    <mergeCell ref="X78:X79"/>
    <mergeCell ref="Y78:Y79"/>
    <mergeCell ref="A79:E79"/>
    <mergeCell ref="A80:Y80"/>
    <mergeCell ref="A81:S81"/>
    <mergeCell ref="U81:V81"/>
    <mergeCell ref="A82:D82"/>
    <mergeCell ref="E82:G82"/>
    <mergeCell ref="H82:I82"/>
    <mergeCell ref="J82:K82"/>
    <mergeCell ref="L82:M82"/>
    <mergeCell ref="N82:P82"/>
    <mergeCell ref="Q82:T83"/>
    <mergeCell ref="U82:W83"/>
    <mergeCell ref="X82:Y83"/>
    <mergeCell ref="V84:Y84"/>
    <mergeCell ref="A86:I86"/>
    <mergeCell ref="J86:K88"/>
    <mergeCell ref="L86:M88"/>
    <mergeCell ref="N86:O88"/>
    <mergeCell ref="P86:Q88"/>
    <mergeCell ref="R86:W86"/>
    <mergeCell ref="X86:Y88"/>
    <mergeCell ref="A87:I88"/>
    <mergeCell ref="R87:S88"/>
    <mergeCell ref="T87:U88"/>
    <mergeCell ref="V87:W88"/>
    <mergeCell ref="A84:F84"/>
    <mergeCell ref="G84:M84"/>
    <mergeCell ref="Q84:U84"/>
    <mergeCell ref="A92:I92"/>
    <mergeCell ref="L92:M92"/>
    <mergeCell ref="P92:Q92"/>
    <mergeCell ref="R92:S92"/>
    <mergeCell ref="T92:U92"/>
    <mergeCell ref="V92:W92"/>
    <mergeCell ref="X92:Y92"/>
    <mergeCell ref="A93:I93"/>
    <mergeCell ref="L93:M93"/>
    <mergeCell ref="P93:Q93"/>
    <mergeCell ref="R93:S93"/>
    <mergeCell ref="T93:U93"/>
    <mergeCell ref="V93:W93"/>
    <mergeCell ref="X93:Y93"/>
    <mergeCell ref="J92:K92"/>
    <mergeCell ref="N92:O92"/>
    <mergeCell ref="J93:K93"/>
    <mergeCell ref="N93:O93"/>
    <mergeCell ref="K106:K110"/>
    <mergeCell ref="M106:N106"/>
    <mergeCell ref="O106:P106"/>
    <mergeCell ref="Q106:S106"/>
    <mergeCell ref="T106:Y106"/>
    <mergeCell ref="M107:N110"/>
    <mergeCell ref="O107:P110"/>
    <mergeCell ref="Q107:S110"/>
    <mergeCell ref="U107:V107"/>
    <mergeCell ref="X107:Y107"/>
    <mergeCell ref="U108:V108"/>
    <mergeCell ref="X108:Y108"/>
    <mergeCell ref="U109:V109"/>
    <mergeCell ref="X109:Y109"/>
    <mergeCell ref="U110:V110"/>
    <mergeCell ref="X110:Y110"/>
    <mergeCell ref="A113:E114"/>
    <mergeCell ref="F113:G113"/>
    <mergeCell ref="H113:I113"/>
    <mergeCell ref="M113:N113"/>
    <mergeCell ref="O113:P113"/>
    <mergeCell ref="Q113:R113"/>
    <mergeCell ref="S113:V113"/>
    <mergeCell ref="W113:Y113"/>
    <mergeCell ref="A115:E115"/>
    <mergeCell ref="M115:M118"/>
    <mergeCell ref="N115:N118"/>
    <mergeCell ref="O115:O118"/>
    <mergeCell ref="P115:P118"/>
    <mergeCell ref="Q115:Q118"/>
    <mergeCell ref="R115:R118"/>
    <mergeCell ref="A116:E116"/>
    <mergeCell ref="A117:E117"/>
    <mergeCell ref="S117:S118"/>
    <mergeCell ref="T117:T118"/>
    <mergeCell ref="U117:U118"/>
    <mergeCell ref="V117:V118"/>
    <mergeCell ref="W117:W118"/>
    <mergeCell ref="X117:X118"/>
    <mergeCell ref="Y117:Y118"/>
    <mergeCell ref="U120:V120"/>
    <mergeCell ref="A121:D121"/>
    <mergeCell ref="E121:G121"/>
    <mergeCell ref="H121:I121"/>
    <mergeCell ref="J121:K121"/>
    <mergeCell ref="L121:M121"/>
    <mergeCell ref="N121:P121"/>
    <mergeCell ref="Q121:T122"/>
    <mergeCell ref="U121:W122"/>
    <mergeCell ref="A129:I129"/>
    <mergeCell ref="L129:M129"/>
    <mergeCell ref="P129:Q129"/>
    <mergeCell ref="R129:S129"/>
    <mergeCell ref="T129:U129"/>
    <mergeCell ref="V129:W129"/>
    <mergeCell ref="X129:Y129"/>
    <mergeCell ref="J129:K129"/>
    <mergeCell ref="N129:O129"/>
    <mergeCell ref="A130:I130"/>
    <mergeCell ref="L130:M130"/>
    <mergeCell ref="P130:Q130"/>
    <mergeCell ref="R130:S130"/>
    <mergeCell ref="T130:U130"/>
    <mergeCell ref="V130:W130"/>
    <mergeCell ref="X130:Y130"/>
    <mergeCell ref="A131:I13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J130:K130"/>
    <mergeCell ref="N130:O130"/>
    <mergeCell ref="T132:U132"/>
    <mergeCell ref="V132:W132"/>
    <mergeCell ref="X132:Y132"/>
    <mergeCell ref="A134:G135"/>
    <mergeCell ref="H134:I134"/>
    <mergeCell ref="L134:M134"/>
    <mergeCell ref="N134:O134"/>
    <mergeCell ref="P134:Q134"/>
    <mergeCell ref="R134:S134"/>
    <mergeCell ref="T134:U134"/>
    <mergeCell ref="V134:W134"/>
    <mergeCell ref="X134:Y134"/>
    <mergeCell ref="J134:K134"/>
    <mergeCell ref="A132:I132"/>
    <mergeCell ref="J132:K132"/>
    <mergeCell ref="L132:M132"/>
    <mergeCell ref="N132:O132"/>
    <mergeCell ref="P132:Q132"/>
    <mergeCell ref="R132:S132"/>
    <mergeCell ref="A152:E153"/>
    <mergeCell ref="F152:G152"/>
    <mergeCell ref="H152:I152"/>
    <mergeCell ref="M152:N152"/>
    <mergeCell ref="O152:P152"/>
    <mergeCell ref="Q152:R152"/>
    <mergeCell ref="S152:V152"/>
    <mergeCell ref="W152:Y152"/>
    <mergeCell ref="A145:A149"/>
    <mergeCell ref="B145:B149"/>
    <mergeCell ref="C145:C149"/>
    <mergeCell ref="D145:D149"/>
    <mergeCell ref="E145:E149"/>
    <mergeCell ref="F145:F149"/>
    <mergeCell ref="G145:G149"/>
    <mergeCell ref="H145:H149"/>
    <mergeCell ref="I145:I149"/>
    <mergeCell ref="J145:J149"/>
    <mergeCell ref="K145:K149"/>
    <mergeCell ref="M145:N145"/>
    <mergeCell ref="O145:P145"/>
    <mergeCell ref="Q145:S145"/>
    <mergeCell ref="T145:Y145"/>
    <mergeCell ref="M146:N149"/>
    <mergeCell ref="A154:E154"/>
    <mergeCell ref="M154:M157"/>
    <mergeCell ref="N154:N157"/>
    <mergeCell ref="O154:O157"/>
    <mergeCell ref="P154:P157"/>
    <mergeCell ref="Q154:Q157"/>
    <mergeCell ref="R154:R157"/>
    <mergeCell ref="A155:E155"/>
    <mergeCell ref="A156:E156"/>
    <mergeCell ref="A157:E157"/>
    <mergeCell ref="T168:U168"/>
    <mergeCell ref="V168:W168"/>
    <mergeCell ref="X168:Y168"/>
    <mergeCell ref="S156:S157"/>
    <mergeCell ref="T156:T157"/>
    <mergeCell ref="U156:U157"/>
    <mergeCell ref="V156:V157"/>
    <mergeCell ref="W156:W157"/>
    <mergeCell ref="X156:X157"/>
    <mergeCell ref="Y156:Y157"/>
    <mergeCell ref="R167:S167"/>
    <mergeCell ref="T167:U167"/>
    <mergeCell ref="V167:W167"/>
    <mergeCell ref="X167:Y167"/>
    <mergeCell ref="A159:S159"/>
    <mergeCell ref="U159:V159"/>
    <mergeCell ref="A160:D160"/>
    <mergeCell ref="E160:G160"/>
    <mergeCell ref="J160:K160"/>
    <mergeCell ref="L160:M160"/>
    <mergeCell ref="N160:P160"/>
    <mergeCell ref="Q160:T161"/>
    <mergeCell ref="U160:W161"/>
    <mergeCell ref="A158:Y158"/>
    <mergeCell ref="A167:I167"/>
    <mergeCell ref="J167:K167"/>
    <mergeCell ref="L167:M167"/>
    <mergeCell ref="N167:O167"/>
    <mergeCell ref="A169:I169"/>
    <mergeCell ref="L169:M169"/>
    <mergeCell ref="N169:O169"/>
    <mergeCell ref="P169:Q169"/>
    <mergeCell ref="R169:S169"/>
    <mergeCell ref="A168:I168"/>
    <mergeCell ref="J168:K168"/>
    <mergeCell ref="L168:M168"/>
    <mergeCell ref="N168:O168"/>
    <mergeCell ref="P168:Q168"/>
    <mergeCell ref="R168:S168"/>
    <mergeCell ref="P167:Q167"/>
    <mergeCell ref="T169:U169"/>
    <mergeCell ref="V169:W169"/>
    <mergeCell ref="X169:Y169"/>
    <mergeCell ref="A170:I170"/>
    <mergeCell ref="L170:M170"/>
    <mergeCell ref="N170:O170"/>
    <mergeCell ref="P170:Q170"/>
    <mergeCell ref="R170:S170"/>
    <mergeCell ref="T170:U170"/>
    <mergeCell ref="V170:W170"/>
    <mergeCell ref="X170:Y170"/>
    <mergeCell ref="J169:K169"/>
    <mergeCell ref="J170:K170"/>
    <mergeCell ref="A176:G176"/>
    <mergeCell ref="A177:G177"/>
    <mergeCell ref="A178:G178"/>
    <mergeCell ref="A179:G179"/>
    <mergeCell ref="A182:A183"/>
    <mergeCell ref="B182:B183"/>
    <mergeCell ref="C182:C183"/>
    <mergeCell ref="D182:E182"/>
    <mergeCell ref="F182:I182"/>
    <mergeCell ref="J182:J183"/>
    <mergeCell ref="K182:K183"/>
    <mergeCell ref="M182:N182"/>
    <mergeCell ref="O182:P182"/>
    <mergeCell ref="Q182:Y182"/>
    <mergeCell ref="M183:N183"/>
    <mergeCell ref="O183:P183"/>
    <mergeCell ref="Q183:Y183"/>
    <mergeCell ref="A184:A188"/>
    <mergeCell ref="B184:B188"/>
    <mergeCell ref="C184:C188"/>
    <mergeCell ref="D184:D188"/>
    <mergeCell ref="E184:E188"/>
    <mergeCell ref="F184:F188"/>
    <mergeCell ref="G184:G188"/>
    <mergeCell ref="H184:H188"/>
    <mergeCell ref="I184:I188"/>
    <mergeCell ref="J184:J188"/>
    <mergeCell ref="K184:K188"/>
    <mergeCell ref="M184:N184"/>
    <mergeCell ref="O184:P184"/>
    <mergeCell ref="Q184:S184"/>
    <mergeCell ref="T184:Y184"/>
    <mergeCell ref="M185:N188"/>
    <mergeCell ref="Y195:Y196"/>
    <mergeCell ref="O185:P188"/>
    <mergeCell ref="Q185:S188"/>
    <mergeCell ref="U185:V185"/>
    <mergeCell ref="X185:Y185"/>
    <mergeCell ref="U186:V186"/>
    <mergeCell ref="X186:Y186"/>
    <mergeCell ref="U187:V187"/>
    <mergeCell ref="X187:Y187"/>
    <mergeCell ref="U188:V188"/>
    <mergeCell ref="X188:Y188"/>
    <mergeCell ref="A196:E196"/>
    <mergeCell ref="A191:E192"/>
    <mergeCell ref="F191:G191"/>
    <mergeCell ref="H191:I191"/>
    <mergeCell ref="M191:N191"/>
    <mergeCell ref="O191:P191"/>
    <mergeCell ref="Q191:R191"/>
    <mergeCell ref="S191:V191"/>
    <mergeCell ref="W191:Y191"/>
    <mergeCell ref="A193:E193"/>
    <mergeCell ref="M193:M196"/>
    <mergeCell ref="N193:N196"/>
    <mergeCell ref="O193:O196"/>
    <mergeCell ref="P193:P196"/>
    <mergeCell ref="Q193:Q196"/>
    <mergeCell ref="R193:R196"/>
    <mergeCell ref="A194:E194"/>
    <mergeCell ref="A195:E195"/>
    <mergeCell ref="S195:S196"/>
    <mergeCell ref="T195:T196"/>
    <mergeCell ref="U195:U196"/>
    <mergeCell ref="V195:V196"/>
    <mergeCell ref="W195:W196"/>
    <mergeCell ref="X195:X196"/>
  </mergeCells>
  <printOptions horizontalCentered="1" verticalCentered="1"/>
  <pageMargins left="0" right="0" top="0.15" bottom="0" header="0.5" footer="0.5"/>
  <pageSetup paperSize="9" scale="75" orientation="landscape" r:id="rId1"/>
  <headerFooter alignWithMargins="0"/>
  <rowBreaks count="1" manualBreakCount="1">
    <brk id="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99CC"/>
  </sheetPr>
  <dimension ref="A1:AB196"/>
  <sheetViews>
    <sheetView view="pageBreakPreview" topLeftCell="A182" zoomScaleNormal="100" zoomScaleSheetLayoutView="100" workbookViewId="0">
      <selection activeCell="M193" sqref="M193:N196"/>
    </sheetView>
  </sheetViews>
  <sheetFormatPr defaultRowHeight="13.8" x14ac:dyDescent="0.25"/>
  <cols>
    <col min="1" max="1" width="7.88671875" customWidth="1"/>
    <col min="2" max="2" width="11.44140625" customWidth="1"/>
    <col min="3" max="3" width="11" customWidth="1"/>
    <col min="4" max="6" width="7.33203125" customWidth="1"/>
    <col min="7" max="7" width="7.6640625" customWidth="1"/>
    <col min="8" max="8" width="8.33203125" customWidth="1"/>
    <col min="9" max="9" width="7.33203125" customWidth="1"/>
    <col min="10" max="10" width="9.6640625" customWidth="1"/>
    <col min="11" max="11" width="8" customWidth="1"/>
    <col min="12" max="14" width="7.33203125" customWidth="1"/>
    <col min="15" max="15" width="7.5546875" customWidth="1"/>
    <col min="16" max="25" width="7.33203125" customWidth="1"/>
  </cols>
  <sheetData>
    <row r="1" spans="1:28" ht="7.5" customHeight="1" x14ac:dyDescent="0.25"/>
    <row r="2" spans="1:28" ht="18" customHeight="1" x14ac:dyDescent="0.45">
      <c r="A2" s="120" t="s">
        <v>17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</row>
    <row r="3" spans="1:28" ht="21" customHeight="1" x14ac:dyDescent="0.25">
      <c r="A3" s="111" t="s">
        <v>18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"/>
      <c r="U3" s="112" t="s">
        <v>19</v>
      </c>
      <c r="V3" s="112"/>
      <c r="W3" s="1"/>
      <c r="X3" s="1"/>
      <c r="Y3" s="1"/>
    </row>
    <row r="4" spans="1:28" ht="30.9" customHeight="1" x14ac:dyDescent="0.25">
      <c r="A4" s="113" t="s">
        <v>20</v>
      </c>
      <c r="B4" s="113"/>
      <c r="C4" s="113"/>
      <c r="D4" s="113"/>
      <c r="E4" s="117" t="s">
        <v>21</v>
      </c>
      <c r="F4" s="117"/>
      <c r="G4" s="117"/>
      <c r="H4" s="116" t="s">
        <v>22</v>
      </c>
      <c r="I4" s="116"/>
      <c r="J4" s="115"/>
      <c r="K4" s="115"/>
      <c r="L4" s="116" t="s">
        <v>23</v>
      </c>
      <c r="M4" s="116"/>
      <c r="N4" s="188" t="s">
        <v>15</v>
      </c>
      <c r="O4" s="188"/>
      <c r="P4" s="188"/>
      <c r="Q4" s="118" t="s">
        <v>24</v>
      </c>
      <c r="R4" s="118"/>
      <c r="S4" s="118"/>
      <c r="T4" s="118"/>
      <c r="U4" s="119" t="s">
        <v>25</v>
      </c>
      <c r="V4" s="119"/>
      <c r="W4" s="119"/>
      <c r="X4" s="147" t="s">
        <v>93</v>
      </c>
      <c r="Y4" s="147"/>
    </row>
    <row r="5" spans="1:28" ht="5.25" customHeight="1" x14ac:dyDescent="0.25">
      <c r="Q5" s="118"/>
      <c r="R5" s="118"/>
      <c r="S5" s="118"/>
      <c r="T5" s="118"/>
      <c r="U5" s="119"/>
      <c r="V5" s="119"/>
      <c r="W5" s="119"/>
      <c r="X5" s="147"/>
      <c r="Y5" s="147"/>
    </row>
    <row r="6" spans="1:28" ht="15.75" customHeight="1" x14ac:dyDescent="0.3">
      <c r="A6" s="166" t="s">
        <v>26</v>
      </c>
      <c r="B6" s="166"/>
      <c r="C6" s="166"/>
      <c r="D6" s="166"/>
      <c r="E6" s="166"/>
      <c r="F6" s="166"/>
      <c r="G6" s="167" t="s">
        <v>27</v>
      </c>
      <c r="H6" s="167"/>
      <c r="I6" s="167"/>
      <c r="J6" s="167"/>
      <c r="K6" s="167"/>
      <c r="L6" s="167"/>
      <c r="M6" s="167"/>
      <c r="N6" s="2"/>
      <c r="Q6" s="168" t="s">
        <v>28</v>
      </c>
      <c r="R6" s="168"/>
      <c r="S6" s="168"/>
      <c r="T6" s="168"/>
      <c r="U6" s="168"/>
      <c r="V6" s="148" t="s">
        <v>29</v>
      </c>
      <c r="W6" s="148"/>
      <c r="X6" s="148"/>
      <c r="Y6" s="148"/>
      <c r="AA6" t="s">
        <v>30</v>
      </c>
      <c r="AB6" t="s">
        <v>30</v>
      </c>
    </row>
    <row r="7" spans="1:28" ht="7.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8" ht="15" customHeight="1" x14ac:dyDescent="0.25">
      <c r="A8" s="149" t="s">
        <v>31</v>
      </c>
      <c r="B8" s="150"/>
      <c r="C8" s="150"/>
      <c r="D8" s="150"/>
      <c r="E8" s="150"/>
      <c r="F8" s="150"/>
      <c r="G8" s="150"/>
      <c r="H8" s="150"/>
      <c r="I8" s="151"/>
      <c r="J8" s="152" t="s">
        <v>32</v>
      </c>
      <c r="K8" s="153"/>
      <c r="L8" s="152" t="s">
        <v>33</v>
      </c>
      <c r="M8" s="153"/>
      <c r="N8" s="91" t="s">
        <v>34</v>
      </c>
      <c r="O8" s="92"/>
      <c r="P8" s="152" t="s">
        <v>35</v>
      </c>
      <c r="Q8" s="153"/>
      <c r="R8" s="68" t="s">
        <v>36</v>
      </c>
      <c r="S8" s="69"/>
      <c r="T8" s="69"/>
      <c r="U8" s="69"/>
      <c r="V8" s="69"/>
      <c r="W8" s="70"/>
      <c r="X8" s="152" t="s">
        <v>7</v>
      </c>
      <c r="Y8" s="153"/>
    </row>
    <row r="9" spans="1:28" ht="23.25" customHeight="1" x14ac:dyDescent="0.25">
      <c r="A9" s="158" t="s">
        <v>37</v>
      </c>
      <c r="B9" s="159"/>
      <c r="C9" s="159"/>
      <c r="D9" s="159"/>
      <c r="E9" s="159"/>
      <c r="F9" s="159"/>
      <c r="G9" s="159"/>
      <c r="H9" s="159"/>
      <c r="I9" s="160"/>
      <c r="J9" s="154"/>
      <c r="K9" s="155"/>
      <c r="L9" s="154"/>
      <c r="M9" s="155"/>
      <c r="N9" s="93"/>
      <c r="O9" s="94"/>
      <c r="P9" s="154"/>
      <c r="Q9" s="155"/>
      <c r="R9" s="164" t="s">
        <v>38</v>
      </c>
      <c r="S9" s="164"/>
      <c r="T9" s="164" t="s">
        <v>39</v>
      </c>
      <c r="U9" s="164"/>
      <c r="V9" s="164" t="s">
        <v>40</v>
      </c>
      <c r="W9" s="164"/>
      <c r="X9" s="154"/>
      <c r="Y9" s="155"/>
    </row>
    <row r="10" spans="1:28" x14ac:dyDescent="0.25">
      <c r="A10" s="161"/>
      <c r="B10" s="162"/>
      <c r="C10" s="162"/>
      <c r="D10" s="162"/>
      <c r="E10" s="162"/>
      <c r="F10" s="162"/>
      <c r="G10" s="162"/>
      <c r="H10" s="162"/>
      <c r="I10" s="163"/>
      <c r="J10" s="156"/>
      <c r="K10" s="157"/>
      <c r="L10" s="156"/>
      <c r="M10" s="157"/>
      <c r="N10" s="95"/>
      <c r="O10" s="96"/>
      <c r="P10" s="156"/>
      <c r="Q10" s="157"/>
      <c r="R10" s="165"/>
      <c r="S10" s="165"/>
      <c r="T10" s="165"/>
      <c r="U10" s="165"/>
      <c r="V10" s="165"/>
      <c r="W10" s="165"/>
      <c r="X10" s="156"/>
      <c r="Y10" s="157"/>
    </row>
    <row r="11" spans="1:28" ht="18" customHeight="1" x14ac:dyDescent="0.25">
      <c r="A11" s="106" t="s">
        <v>41</v>
      </c>
      <c r="B11" s="107"/>
      <c r="C11" s="107"/>
      <c r="D11" s="107"/>
      <c r="E11" s="107"/>
      <c r="F11" s="107"/>
      <c r="G11" s="107"/>
      <c r="H11" s="107"/>
      <c r="I11" s="108"/>
      <c r="J11" s="68">
        <v>110</v>
      </c>
      <c r="K11" s="70"/>
      <c r="L11" s="68">
        <v>14</v>
      </c>
      <c r="M11" s="70"/>
      <c r="N11" s="68">
        <v>0</v>
      </c>
      <c r="O11" s="70"/>
      <c r="P11" s="68">
        <v>124</v>
      </c>
      <c r="Q11" s="70"/>
      <c r="R11" s="68">
        <v>0</v>
      </c>
      <c r="S11" s="70"/>
      <c r="T11" s="68">
        <v>0</v>
      </c>
      <c r="U11" s="70"/>
      <c r="V11" s="68">
        <v>2</v>
      </c>
      <c r="W11" s="70"/>
      <c r="X11" s="68">
        <v>126</v>
      </c>
      <c r="Y11" s="70"/>
    </row>
    <row r="12" spans="1:28" ht="18" customHeight="1" x14ac:dyDescent="0.25">
      <c r="A12" s="106" t="s">
        <v>42</v>
      </c>
      <c r="B12" s="107"/>
      <c r="C12" s="107"/>
      <c r="D12" s="107"/>
      <c r="E12" s="107"/>
      <c r="F12" s="107"/>
      <c r="G12" s="107"/>
      <c r="H12" s="107"/>
      <c r="I12" s="108"/>
      <c r="J12" s="68">
        <v>97</v>
      </c>
      <c r="K12" s="70"/>
      <c r="L12" s="68">
        <v>19</v>
      </c>
      <c r="M12" s="70"/>
      <c r="N12" s="68">
        <v>1</v>
      </c>
      <c r="O12" s="70"/>
      <c r="P12" s="68">
        <v>117</v>
      </c>
      <c r="Q12" s="70"/>
      <c r="R12" s="68">
        <v>0</v>
      </c>
      <c r="S12" s="70"/>
      <c r="T12" s="68">
        <v>1</v>
      </c>
      <c r="U12" s="70"/>
      <c r="V12" s="68">
        <v>2</v>
      </c>
      <c r="W12" s="70"/>
      <c r="X12" s="68">
        <v>120</v>
      </c>
      <c r="Y12" s="70"/>
    </row>
    <row r="13" spans="1:28" ht="18" customHeight="1" x14ac:dyDescent="0.25">
      <c r="A13" s="106" t="s">
        <v>43</v>
      </c>
      <c r="B13" s="107"/>
      <c r="C13" s="107"/>
      <c r="D13" s="107"/>
      <c r="E13" s="107"/>
      <c r="F13" s="107"/>
      <c r="G13" s="107"/>
      <c r="H13" s="107"/>
      <c r="I13" s="108"/>
      <c r="J13" s="68">
        <v>0</v>
      </c>
      <c r="K13" s="70"/>
      <c r="L13" s="68">
        <v>0</v>
      </c>
      <c r="M13" s="70"/>
      <c r="N13" s="68">
        <v>0</v>
      </c>
      <c r="O13" s="70"/>
      <c r="P13" s="68">
        <v>0</v>
      </c>
      <c r="Q13" s="70"/>
      <c r="R13" s="68">
        <v>0</v>
      </c>
      <c r="S13" s="70"/>
      <c r="T13" s="68">
        <v>0</v>
      </c>
      <c r="U13" s="70"/>
      <c r="V13" s="68">
        <v>0</v>
      </c>
      <c r="W13" s="70"/>
      <c r="X13" s="68">
        <v>0</v>
      </c>
      <c r="Y13" s="70"/>
    </row>
    <row r="14" spans="1:28" ht="18" customHeight="1" x14ac:dyDescent="0.25">
      <c r="A14" s="106" t="s">
        <v>44</v>
      </c>
      <c r="B14" s="107"/>
      <c r="C14" s="107"/>
      <c r="D14" s="107"/>
      <c r="E14" s="107"/>
      <c r="F14" s="107"/>
      <c r="G14" s="107"/>
      <c r="H14" s="107"/>
      <c r="I14" s="108"/>
      <c r="J14" s="68">
        <v>58</v>
      </c>
      <c r="K14" s="70"/>
      <c r="L14" s="68">
        <v>4</v>
      </c>
      <c r="M14" s="70"/>
      <c r="N14" s="68">
        <v>0</v>
      </c>
      <c r="O14" s="70"/>
      <c r="P14" s="68">
        <v>62</v>
      </c>
      <c r="Q14" s="70"/>
      <c r="R14" s="68">
        <v>0</v>
      </c>
      <c r="S14" s="70"/>
      <c r="T14" s="68">
        <v>0</v>
      </c>
      <c r="U14" s="70"/>
      <c r="V14" s="68">
        <v>5</v>
      </c>
      <c r="W14" s="70"/>
      <c r="X14" s="68">
        <v>67</v>
      </c>
      <c r="Y14" s="70"/>
    </row>
    <row r="15" spans="1:28" ht="18" customHeight="1" x14ac:dyDescent="0.25">
      <c r="A15" s="106" t="s">
        <v>7</v>
      </c>
      <c r="B15" s="107"/>
      <c r="C15" s="107"/>
      <c r="D15" s="107"/>
      <c r="E15" s="107"/>
      <c r="F15" s="107"/>
      <c r="G15" s="107"/>
      <c r="H15" s="107"/>
      <c r="I15" s="108"/>
      <c r="J15" s="68">
        <v>265</v>
      </c>
      <c r="K15" s="70"/>
      <c r="L15" s="68">
        <v>37</v>
      </c>
      <c r="M15" s="70"/>
      <c r="N15" s="68">
        <v>1</v>
      </c>
      <c r="O15" s="70"/>
      <c r="P15" s="68">
        <v>303</v>
      </c>
      <c r="Q15" s="70"/>
      <c r="R15" s="68">
        <v>0</v>
      </c>
      <c r="S15" s="70"/>
      <c r="T15" s="68">
        <v>1</v>
      </c>
      <c r="U15" s="70"/>
      <c r="V15" s="68">
        <v>9</v>
      </c>
      <c r="W15" s="70"/>
      <c r="X15" s="68">
        <v>313</v>
      </c>
      <c r="Y15" s="70"/>
    </row>
    <row r="16" spans="1:28" ht="15.6" x14ac:dyDescent="0.3">
      <c r="A16" s="4" t="s">
        <v>45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6"/>
      <c r="S16" s="6"/>
      <c r="T16" s="6"/>
      <c r="U16" s="6"/>
      <c r="V16" s="6"/>
      <c r="W16" s="6"/>
      <c r="X16" s="6"/>
      <c r="Y16" s="7"/>
    </row>
    <row r="17" spans="1:28" x14ac:dyDescent="0.25">
      <c r="A17" s="71"/>
      <c r="B17" s="72"/>
      <c r="C17" s="72"/>
      <c r="D17" s="72"/>
      <c r="E17" s="72"/>
      <c r="F17" s="72"/>
      <c r="G17" s="73"/>
      <c r="H17" s="68" t="s">
        <v>0</v>
      </c>
      <c r="I17" s="69"/>
      <c r="J17" s="136" t="s">
        <v>1</v>
      </c>
      <c r="K17" s="69"/>
      <c r="L17" s="134" t="s">
        <v>2</v>
      </c>
      <c r="M17" s="69"/>
      <c r="N17" s="134" t="s">
        <v>3</v>
      </c>
      <c r="O17" s="69"/>
      <c r="P17" s="134" t="s">
        <v>4</v>
      </c>
      <c r="Q17" s="135"/>
      <c r="R17" s="134" t="s">
        <v>5</v>
      </c>
      <c r="S17" s="69"/>
      <c r="T17" s="134" t="s">
        <v>6</v>
      </c>
      <c r="U17" s="69"/>
      <c r="V17" s="134" t="s">
        <v>46</v>
      </c>
      <c r="W17" s="69"/>
      <c r="X17" s="134" t="s">
        <v>7</v>
      </c>
      <c r="Y17" s="135"/>
      <c r="Z17" s="8"/>
      <c r="AA17" s="9"/>
      <c r="AB17" s="9"/>
    </row>
    <row r="18" spans="1:28" x14ac:dyDescent="0.25">
      <c r="A18" s="74"/>
      <c r="B18" s="75"/>
      <c r="C18" s="75"/>
      <c r="D18" s="75"/>
      <c r="E18" s="75"/>
      <c r="F18" s="75"/>
      <c r="G18" s="76"/>
      <c r="H18" s="10" t="s">
        <v>10</v>
      </c>
      <c r="I18" s="10" t="s">
        <v>11</v>
      </c>
      <c r="J18" s="10" t="s">
        <v>10</v>
      </c>
      <c r="K18" s="10" t="s">
        <v>11</v>
      </c>
      <c r="L18" s="10" t="s">
        <v>10</v>
      </c>
      <c r="M18" s="10" t="s">
        <v>11</v>
      </c>
      <c r="N18" s="10" t="s">
        <v>10</v>
      </c>
      <c r="O18" s="10" t="s">
        <v>11</v>
      </c>
      <c r="P18" s="10" t="s">
        <v>10</v>
      </c>
      <c r="Q18" s="10" t="s">
        <v>11</v>
      </c>
      <c r="R18" s="10" t="s">
        <v>10</v>
      </c>
      <c r="S18" s="10" t="s">
        <v>11</v>
      </c>
      <c r="T18" s="10" t="s">
        <v>10</v>
      </c>
      <c r="U18" s="10" t="s">
        <v>11</v>
      </c>
      <c r="V18" s="10" t="s">
        <v>10</v>
      </c>
      <c r="W18" s="10" t="s">
        <v>11</v>
      </c>
      <c r="X18" s="10" t="s">
        <v>10</v>
      </c>
      <c r="Y18" s="10" t="s">
        <v>11</v>
      </c>
    </row>
    <row r="19" spans="1:28" ht="18" customHeight="1" x14ac:dyDescent="0.25">
      <c r="A19" s="106" t="s">
        <v>41</v>
      </c>
      <c r="B19" s="107"/>
      <c r="C19" s="107"/>
      <c r="D19" s="107"/>
      <c r="E19" s="107"/>
      <c r="F19" s="107"/>
      <c r="G19" s="108"/>
      <c r="H19" s="10">
        <v>0</v>
      </c>
      <c r="I19" s="10">
        <v>0</v>
      </c>
      <c r="J19" s="10">
        <v>0</v>
      </c>
      <c r="K19" s="10">
        <v>4</v>
      </c>
      <c r="L19" s="10">
        <v>15</v>
      </c>
      <c r="M19" s="10">
        <v>28</v>
      </c>
      <c r="N19" s="10">
        <v>13</v>
      </c>
      <c r="O19" s="10">
        <v>12</v>
      </c>
      <c r="P19" s="10">
        <v>12</v>
      </c>
      <c r="Q19" s="10">
        <v>6</v>
      </c>
      <c r="R19" s="10">
        <v>9</v>
      </c>
      <c r="S19" s="10">
        <v>5</v>
      </c>
      <c r="T19" s="10">
        <v>9</v>
      </c>
      <c r="U19" s="10">
        <v>2</v>
      </c>
      <c r="V19" s="10">
        <v>7</v>
      </c>
      <c r="W19" s="10">
        <v>2</v>
      </c>
      <c r="X19" s="10">
        <v>65</v>
      </c>
      <c r="Y19" s="10">
        <v>59</v>
      </c>
    </row>
    <row r="20" spans="1:28" ht="18" customHeight="1" x14ac:dyDescent="0.25">
      <c r="A20" s="106" t="s">
        <v>42</v>
      </c>
      <c r="B20" s="107"/>
      <c r="C20" s="107"/>
      <c r="D20" s="107"/>
      <c r="E20" s="107"/>
      <c r="F20" s="107"/>
      <c r="G20" s="108"/>
      <c r="H20" s="10">
        <v>0</v>
      </c>
      <c r="I20" s="10">
        <v>0</v>
      </c>
      <c r="J20" s="10">
        <v>2</v>
      </c>
      <c r="K20" s="10">
        <v>2</v>
      </c>
      <c r="L20" s="10">
        <v>11</v>
      </c>
      <c r="M20" s="10">
        <v>15</v>
      </c>
      <c r="N20" s="10">
        <v>10</v>
      </c>
      <c r="O20" s="10">
        <v>9</v>
      </c>
      <c r="P20" s="10">
        <v>7</v>
      </c>
      <c r="Q20" s="10">
        <v>10</v>
      </c>
      <c r="R20" s="10">
        <v>11</v>
      </c>
      <c r="S20" s="10">
        <v>10</v>
      </c>
      <c r="T20" s="10">
        <v>9</v>
      </c>
      <c r="U20" s="10">
        <v>8</v>
      </c>
      <c r="V20" s="10">
        <v>10</v>
      </c>
      <c r="W20" s="10">
        <v>3</v>
      </c>
      <c r="X20" s="10">
        <v>60</v>
      </c>
      <c r="Y20" s="10">
        <v>57</v>
      </c>
    </row>
    <row r="21" spans="1:28" ht="18" customHeight="1" x14ac:dyDescent="0.25">
      <c r="A21" s="106" t="s">
        <v>43</v>
      </c>
      <c r="B21" s="107"/>
      <c r="C21" s="107"/>
      <c r="D21" s="107"/>
      <c r="E21" s="107"/>
      <c r="F21" s="107"/>
      <c r="G21" s="108"/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</row>
    <row r="22" spans="1:28" ht="18" customHeight="1" x14ac:dyDescent="0.25">
      <c r="A22" s="106" t="s">
        <v>44</v>
      </c>
      <c r="B22" s="107"/>
      <c r="C22" s="107"/>
      <c r="D22" s="107"/>
      <c r="E22" s="107"/>
      <c r="F22" s="107"/>
      <c r="G22" s="108"/>
      <c r="H22" s="10">
        <v>0</v>
      </c>
      <c r="I22" s="10">
        <v>1</v>
      </c>
      <c r="J22" s="10">
        <v>4</v>
      </c>
      <c r="K22" s="10">
        <v>3</v>
      </c>
      <c r="L22" s="10">
        <v>8</v>
      </c>
      <c r="M22" s="10">
        <v>12</v>
      </c>
      <c r="N22" s="10">
        <v>5</v>
      </c>
      <c r="O22" s="10">
        <v>7</v>
      </c>
      <c r="P22" s="10">
        <v>5</v>
      </c>
      <c r="Q22" s="10">
        <v>7</v>
      </c>
      <c r="R22" s="10">
        <v>2</v>
      </c>
      <c r="S22" s="10">
        <v>1</v>
      </c>
      <c r="T22" s="10">
        <v>1</v>
      </c>
      <c r="U22" s="10">
        <v>2</v>
      </c>
      <c r="V22" s="10">
        <v>3</v>
      </c>
      <c r="W22" s="10">
        <v>1</v>
      </c>
      <c r="X22" s="10">
        <v>28</v>
      </c>
      <c r="Y22" s="10">
        <v>34</v>
      </c>
    </row>
    <row r="23" spans="1:28" ht="18" customHeight="1" x14ac:dyDescent="0.25">
      <c r="A23" s="106" t="s">
        <v>7</v>
      </c>
      <c r="B23" s="107"/>
      <c r="C23" s="107"/>
      <c r="D23" s="107"/>
      <c r="E23" s="107"/>
      <c r="F23" s="107"/>
      <c r="G23" s="108"/>
      <c r="H23" s="10">
        <v>0</v>
      </c>
      <c r="I23" s="10">
        <v>1</v>
      </c>
      <c r="J23" s="10">
        <v>6</v>
      </c>
      <c r="K23" s="10">
        <v>9</v>
      </c>
      <c r="L23" s="10">
        <v>34</v>
      </c>
      <c r="M23" s="10">
        <v>55</v>
      </c>
      <c r="N23" s="10">
        <v>28</v>
      </c>
      <c r="O23" s="10">
        <v>28</v>
      </c>
      <c r="P23" s="10">
        <v>24</v>
      </c>
      <c r="Q23" s="10">
        <v>23</v>
      </c>
      <c r="R23" s="10">
        <v>22</v>
      </c>
      <c r="S23" s="10">
        <v>16</v>
      </c>
      <c r="T23" s="10">
        <v>19</v>
      </c>
      <c r="U23" s="10">
        <v>12</v>
      </c>
      <c r="V23" s="10">
        <v>20</v>
      </c>
      <c r="W23" s="10">
        <v>6</v>
      </c>
      <c r="X23" s="10">
        <v>153</v>
      </c>
      <c r="Y23" s="10">
        <v>150</v>
      </c>
    </row>
    <row r="24" spans="1:28" ht="6.75" customHeight="1" x14ac:dyDescent="0.25">
      <c r="A24" s="11"/>
      <c r="B24" s="12"/>
      <c r="C24" s="12"/>
      <c r="D24" s="12"/>
      <c r="E24" s="12"/>
      <c r="F24" s="13"/>
      <c r="G24" s="13"/>
      <c r="H24" s="13"/>
      <c r="I24" s="13"/>
      <c r="J24" s="13"/>
      <c r="K24" s="13"/>
      <c r="L24" s="14"/>
      <c r="M24" s="13"/>
      <c r="N24" s="15"/>
      <c r="O24" s="16"/>
      <c r="P24" s="13"/>
      <c r="Q24" s="13"/>
      <c r="R24" s="13"/>
      <c r="S24" s="13"/>
      <c r="T24" s="13"/>
      <c r="U24" s="13"/>
      <c r="V24" s="13"/>
      <c r="W24" s="13"/>
      <c r="X24" s="13"/>
      <c r="Y24" s="17"/>
    </row>
    <row r="25" spans="1:28" ht="18" customHeight="1" x14ac:dyDescent="0.3">
      <c r="A25" s="18" t="s">
        <v>47</v>
      </c>
      <c r="B25" s="19"/>
      <c r="C25" s="19"/>
      <c r="D25" s="19"/>
      <c r="E25" s="19"/>
      <c r="F25" s="19"/>
      <c r="G25" s="19"/>
      <c r="H25" s="19"/>
      <c r="I25" s="19"/>
      <c r="J25" s="19"/>
      <c r="K25" s="20"/>
      <c r="L25" s="21"/>
      <c r="M25" s="18" t="s">
        <v>48</v>
      </c>
      <c r="N25" s="19"/>
      <c r="O25" s="19"/>
      <c r="P25" s="19"/>
      <c r="Q25" s="22"/>
      <c r="R25" s="22"/>
      <c r="S25" s="22"/>
      <c r="T25" s="22"/>
      <c r="U25" s="22"/>
      <c r="V25" s="22"/>
      <c r="W25" s="22"/>
      <c r="X25" s="22"/>
      <c r="Y25" s="23"/>
    </row>
    <row r="26" spans="1:28" ht="57.75" customHeight="1" x14ac:dyDescent="0.25">
      <c r="A26" s="101" t="s">
        <v>49</v>
      </c>
      <c r="B26" s="101" t="s">
        <v>50</v>
      </c>
      <c r="C26" s="101" t="s">
        <v>51</v>
      </c>
      <c r="D26" s="77" t="s">
        <v>52</v>
      </c>
      <c r="E26" s="78"/>
      <c r="F26" s="77" t="s">
        <v>53</v>
      </c>
      <c r="G26" s="79"/>
      <c r="H26" s="79"/>
      <c r="I26" s="78"/>
      <c r="J26" s="101" t="s">
        <v>54</v>
      </c>
      <c r="K26" s="101" t="s">
        <v>55</v>
      </c>
      <c r="L26" s="24"/>
      <c r="M26" s="86" t="s">
        <v>56</v>
      </c>
      <c r="N26" s="88"/>
      <c r="O26" s="86" t="s">
        <v>57</v>
      </c>
      <c r="P26" s="88"/>
      <c r="Q26" s="86" t="s">
        <v>58</v>
      </c>
      <c r="R26" s="87"/>
      <c r="S26" s="87"/>
      <c r="T26" s="87"/>
      <c r="U26" s="87"/>
      <c r="V26" s="87"/>
      <c r="W26" s="87"/>
      <c r="X26" s="87"/>
      <c r="Y26" s="88"/>
    </row>
    <row r="27" spans="1:28" ht="38.25" customHeight="1" x14ac:dyDescent="0.25">
      <c r="A27" s="102"/>
      <c r="B27" s="102"/>
      <c r="C27" s="102"/>
      <c r="D27" s="25" t="s">
        <v>59</v>
      </c>
      <c r="E27" s="25" t="s">
        <v>60</v>
      </c>
      <c r="F27" s="26" t="s">
        <v>59</v>
      </c>
      <c r="G27" s="26" t="s">
        <v>60</v>
      </c>
      <c r="H27" s="26" t="s">
        <v>61</v>
      </c>
      <c r="I27" s="26" t="s">
        <v>62</v>
      </c>
      <c r="J27" s="102"/>
      <c r="K27" s="102"/>
      <c r="L27" s="24"/>
      <c r="M27" s="91">
        <v>68</v>
      </c>
      <c r="N27" s="92"/>
      <c r="O27" s="91">
        <v>0</v>
      </c>
      <c r="P27" s="92"/>
      <c r="Q27" s="86">
        <v>0</v>
      </c>
      <c r="R27" s="87"/>
      <c r="S27" s="87"/>
      <c r="T27" s="87"/>
      <c r="U27" s="87"/>
      <c r="V27" s="87"/>
      <c r="W27" s="87"/>
      <c r="X27" s="87"/>
      <c r="Y27" s="88"/>
    </row>
    <row r="28" spans="1:28" ht="38.25" customHeight="1" x14ac:dyDescent="0.25">
      <c r="A28" s="164">
        <v>5575</v>
      </c>
      <c r="B28" s="164">
        <v>914</v>
      </c>
      <c r="C28" s="164">
        <v>50</v>
      </c>
      <c r="D28" s="164">
        <v>443</v>
      </c>
      <c r="E28" s="164">
        <v>472</v>
      </c>
      <c r="F28" s="164">
        <v>20</v>
      </c>
      <c r="G28" s="164">
        <v>38</v>
      </c>
      <c r="H28" s="164">
        <v>28</v>
      </c>
      <c r="I28" s="164">
        <v>113</v>
      </c>
      <c r="J28" s="164">
        <v>122</v>
      </c>
      <c r="K28" s="164">
        <v>237</v>
      </c>
      <c r="L28" s="24"/>
      <c r="M28" s="91" t="s">
        <v>63</v>
      </c>
      <c r="N28" s="92"/>
      <c r="O28" s="91" t="s">
        <v>64</v>
      </c>
      <c r="P28" s="92"/>
      <c r="Q28" s="95" t="s">
        <v>65</v>
      </c>
      <c r="R28" s="99"/>
      <c r="S28" s="96"/>
      <c r="T28" s="95" t="s">
        <v>66</v>
      </c>
      <c r="U28" s="99"/>
      <c r="V28" s="99"/>
      <c r="W28" s="99"/>
      <c r="X28" s="99"/>
      <c r="Y28" s="96"/>
    </row>
    <row r="29" spans="1:28" ht="19.5" customHeight="1" x14ac:dyDescent="0.25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27"/>
      <c r="M29" s="91">
        <v>1</v>
      </c>
      <c r="N29" s="92"/>
      <c r="O29" s="91">
        <v>0</v>
      </c>
      <c r="P29" s="92"/>
      <c r="Q29" s="91">
        <v>0</v>
      </c>
      <c r="R29" s="97"/>
      <c r="S29" s="92"/>
      <c r="T29" s="28"/>
      <c r="U29" s="86" t="s">
        <v>0</v>
      </c>
      <c r="V29" s="88"/>
      <c r="W29" s="29" t="s">
        <v>1</v>
      </c>
      <c r="X29" s="86" t="s">
        <v>67</v>
      </c>
      <c r="Y29" s="88"/>
    </row>
    <row r="30" spans="1:28" ht="18" customHeight="1" x14ac:dyDescent="0.25">
      <c r="A30" s="189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27"/>
      <c r="M30" s="93"/>
      <c r="N30" s="94"/>
      <c r="O30" s="93"/>
      <c r="P30" s="94"/>
      <c r="Q30" s="93"/>
      <c r="R30" s="98"/>
      <c r="S30" s="94"/>
      <c r="T30" s="30" t="s">
        <v>68</v>
      </c>
      <c r="U30" s="100">
        <v>0</v>
      </c>
      <c r="V30" s="100"/>
      <c r="W30" s="29">
        <v>0</v>
      </c>
      <c r="X30" s="186">
        <v>0</v>
      </c>
      <c r="Y30" s="187"/>
    </row>
    <row r="31" spans="1:28" ht="18" customHeight="1" x14ac:dyDescent="0.25">
      <c r="A31" s="189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27"/>
      <c r="M31" s="93"/>
      <c r="N31" s="94"/>
      <c r="O31" s="93"/>
      <c r="P31" s="94"/>
      <c r="Q31" s="93"/>
      <c r="R31" s="98"/>
      <c r="S31" s="94"/>
      <c r="T31" s="30" t="s">
        <v>69</v>
      </c>
      <c r="U31" s="100">
        <v>0</v>
      </c>
      <c r="V31" s="100"/>
      <c r="W31" s="29">
        <v>0</v>
      </c>
      <c r="X31" s="186">
        <v>0</v>
      </c>
      <c r="Y31" s="187"/>
    </row>
    <row r="32" spans="1:28" ht="18" customHeight="1" x14ac:dyDescent="0.25">
      <c r="A32" s="165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27"/>
      <c r="M32" s="95"/>
      <c r="N32" s="96"/>
      <c r="O32" s="95"/>
      <c r="P32" s="96"/>
      <c r="Q32" s="95"/>
      <c r="R32" s="99"/>
      <c r="S32" s="96"/>
      <c r="T32" s="30" t="s">
        <v>70</v>
      </c>
      <c r="U32" s="100">
        <v>0</v>
      </c>
      <c r="V32" s="100"/>
      <c r="W32" s="29">
        <v>0</v>
      </c>
      <c r="X32" s="186">
        <v>0</v>
      </c>
      <c r="Y32" s="187"/>
    </row>
    <row r="33" spans="1:25" ht="8.25" customHeight="1" x14ac:dyDescent="0.2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3"/>
      <c r="M33" s="32"/>
      <c r="N33" s="32"/>
      <c r="O33" s="32"/>
      <c r="P33" s="32"/>
      <c r="Q33" s="32"/>
      <c r="R33" s="34"/>
      <c r="S33" s="34"/>
      <c r="T33" s="34"/>
      <c r="U33" s="34"/>
      <c r="V33" s="34"/>
      <c r="W33" s="32"/>
      <c r="X33" s="32"/>
      <c r="Y33" s="7"/>
    </row>
    <row r="34" spans="1:25" ht="18" customHeight="1" x14ac:dyDescent="0.3">
      <c r="A34" s="18" t="s">
        <v>71</v>
      </c>
      <c r="B34" s="19"/>
      <c r="C34" s="19"/>
      <c r="D34" s="19"/>
      <c r="E34" s="19"/>
      <c r="F34" s="19"/>
      <c r="G34" s="19"/>
      <c r="H34" s="19"/>
      <c r="I34" s="19"/>
      <c r="J34" s="19"/>
      <c r="K34" s="20"/>
      <c r="L34" s="35"/>
      <c r="M34" s="18" t="s">
        <v>72</v>
      </c>
      <c r="N34" s="20"/>
      <c r="O34" s="36"/>
      <c r="P34" s="19"/>
      <c r="Q34" s="19"/>
      <c r="R34" s="19"/>
      <c r="S34" s="19"/>
      <c r="T34" s="19"/>
      <c r="U34" s="19"/>
      <c r="V34" s="19"/>
      <c r="W34" s="22"/>
      <c r="X34" s="22"/>
      <c r="Y34" s="37"/>
    </row>
    <row r="35" spans="1:25" ht="57" customHeight="1" x14ac:dyDescent="0.25">
      <c r="A35" s="71"/>
      <c r="B35" s="72"/>
      <c r="C35" s="72"/>
      <c r="D35" s="72"/>
      <c r="E35" s="73"/>
      <c r="F35" s="68" t="s">
        <v>12</v>
      </c>
      <c r="G35" s="70"/>
      <c r="H35" s="68" t="s">
        <v>13</v>
      </c>
      <c r="I35" s="70"/>
      <c r="J35" s="38" t="s">
        <v>73</v>
      </c>
      <c r="K35" s="39"/>
      <c r="L35" s="40"/>
      <c r="M35" s="77" t="s">
        <v>74</v>
      </c>
      <c r="N35" s="78"/>
      <c r="O35" s="77" t="s">
        <v>75</v>
      </c>
      <c r="P35" s="78"/>
      <c r="Q35" s="77" t="s">
        <v>76</v>
      </c>
      <c r="R35" s="78"/>
      <c r="S35" s="77" t="s">
        <v>77</v>
      </c>
      <c r="T35" s="79"/>
      <c r="U35" s="79"/>
      <c r="V35" s="78"/>
      <c r="W35" s="77" t="s">
        <v>78</v>
      </c>
      <c r="X35" s="79"/>
      <c r="Y35" s="78"/>
    </row>
    <row r="36" spans="1:25" ht="13.5" customHeight="1" x14ac:dyDescent="0.25">
      <c r="A36" s="74"/>
      <c r="B36" s="75"/>
      <c r="C36" s="75"/>
      <c r="D36" s="75"/>
      <c r="E36" s="76"/>
      <c r="F36" s="10" t="s">
        <v>79</v>
      </c>
      <c r="G36" s="10" t="s">
        <v>14</v>
      </c>
      <c r="H36" s="10" t="s">
        <v>79</v>
      </c>
      <c r="I36" s="10" t="s">
        <v>14</v>
      </c>
      <c r="J36" s="10" t="s">
        <v>79</v>
      </c>
      <c r="K36" s="10" t="s">
        <v>14</v>
      </c>
      <c r="L36" s="41"/>
      <c r="M36" s="42" t="s">
        <v>80</v>
      </c>
      <c r="N36" s="42" t="s">
        <v>81</v>
      </c>
      <c r="O36" s="42" t="s">
        <v>80</v>
      </c>
      <c r="P36" s="43" t="s">
        <v>81</v>
      </c>
      <c r="Q36" s="42" t="s">
        <v>80</v>
      </c>
      <c r="R36" s="42" t="s">
        <v>81</v>
      </c>
      <c r="S36" s="44"/>
      <c r="T36" s="42" t="s">
        <v>0</v>
      </c>
      <c r="U36" s="45" t="s">
        <v>1</v>
      </c>
      <c r="V36" s="46" t="s">
        <v>82</v>
      </c>
      <c r="W36" s="42" t="s">
        <v>0</v>
      </c>
      <c r="X36" s="45" t="s">
        <v>1</v>
      </c>
      <c r="Y36" s="46" t="s">
        <v>82</v>
      </c>
    </row>
    <row r="37" spans="1:25" ht="18" customHeight="1" x14ac:dyDescent="0.3">
      <c r="A37" s="80" t="s">
        <v>83</v>
      </c>
      <c r="B37" s="81"/>
      <c r="C37" s="81"/>
      <c r="D37" s="81"/>
      <c r="E37" s="82"/>
      <c r="F37" s="10">
        <v>105</v>
      </c>
      <c r="G37" s="10">
        <v>3</v>
      </c>
      <c r="H37" s="10">
        <v>0</v>
      </c>
      <c r="I37" s="10">
        <v>0</v>
      </c>
      <c r="J37" s="10">
        <v>0</v>
      </c>
      <c r="K37" s="10">
        <v>0</v>
      </c>
      <c r="L37" s="41"/>
      <c r="M37" s="83">
        <v>122</v>
      </c>
      <c r="N37" s="83">
        <v>420</v>
      </c>
      <c r="O37" s="83">
        <v>42</v>
      </c>
      <c r="P37" s="83">
        <v>269</v>
      </c>
      <c r="Q37" s="83">
        <v>0</v>
      </c>
      <c r="R37" s="83">
        <v>13</v>
      </c>
      <c r="S37" s="47" t="s">
        <v>68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</row>
    <row r="38" spans="1:25" ht="18" customHeight="1" x14ac:dyDescent="0.3">
      <c r="A38" s="80" t="s">
        <v>8</v>
      </c>
      <c r="B38" s="81"/>
      <c r="C38" s="81"/>
      <c r="D38" s="81"/>
      <c r="E38" s="82"/>
      <c r="F38" s="10">
        <v>12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41"/>
      <c r="M38" s="84"/>
      <c r="N38" s="84"/>
      <c r="O38" s="84"/>
      <c r="P38" s="84"/>
      <c r="Q38" s="84"/>
      <c r="R38" s="84"/>
      <c r="S38" s="47" t="s">
        <v>69</v>
      </c>
      <c r="T38" s="48">
        <v>0</v>
      </c>
      <c r="U38" s="48">
        <v>0</v>
      </c>
      <c r="V38" s="48">
        <v>0</v>
      </c>
      <c r="W38" s="48">
        <v>0</v>
      </c>
      <c r="X38" s="48">
        <v>0</v>
      </c>
      <c r="Y38" s="48">
        <v>0</v>
      </c>
    </row>
    <row r="39" spans="1:25" ht="18" customHeight="1" x14ac:dyDescent="0.25">
      <c r="A39" s="86" t="s">
        <v>84</v>
      </c>
      <c r="B39" s="87"/>
      <c r="C39" s="87"/>
      <c r="D39" s="87"/>
      <c r="E39" s="88"/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41"/>
      <c r="M39" s="84"/>
      <c r="N39" s="84"/>
      <c r="O39" s="84"/>
      <c r="P39" s="84"/>
      <c r="Q39" s="84"/>
      <c r="R39" s="84"/>
      <c r="S39" s="89" t="s">
        <v>70</v>
      </c>
      <c r="T39" s="83">
        <v>0</v>
      </c>
      <c r="U39" s="83">
        <v>0</v>
      </c>
      <c r="V39" s="83">
        <v>0</v>
      </c>
      <c r="W39" s="83">
        <v>0</v>
      </c>
      <c r="X39" s="83">
        <v>0</v>
      </c>
      <c r="Y39" s="83">
        <v>0</v>
      </c>
    </row>
    <row r="40" spans="1:25" ht="18" customHeight="1" x14ac:dyDescent="0.25">
      <c r="A40" s="68" t="s">
        <v>7</v>
      </c>
      <c r="B40" s="69"/>
      <c r="C40" s="69"/>
      <c r="D40" s="69"/>
      <c r="E40" s="70"/>
      <c r="F40" s="10">
        <v>117</v>
      </c>
      <c r="G40" s="10">
        <v>3</v>
      </c>
      <c r="H40" s="10">
        <v>0</v>
      </c>
      <c r="I40" s="10">
        <v>0</v>
      </c>
      <c r="J40" s="10">
        <v>0</v>
      </c>
      <c r="K40" s="10">
        <v>0</v>
      </c>
      <c r="L40" s="41"/>
      <c r="M40" s="85"/>
      <c r="N40" s="85"/>
      <c r="O40" s="85"/>
      <c r="P40" s="85"/>
      <c r="Q40" s="85"/>
      <c r="R40" s="85"/>
      <c r="S40" s="90"/>
      <c r="T40" s="85"/>
      <c r="U40" s="85"/>
      <c r="V40" s="85"/>
      <c r="W40" s="85"/>
      <c r="X40" s="85"/>
      <c r="Y40" s="85"/>
    </row>
    <row r="41" spans="1:25" ht="23.4" x14ac:dyDescent="0.45">
      <c r="A41" s="120" t="s">
        <v>17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</row>
    <row r="42" spans="1:25" ht="23.4" x14ac:dyDescent="0.25">
      <c r="A42" s="111" t="s">
        <v>18</v>
      </c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"/>
      <c r="U42" s="112" t="s">
        <v>19</v>
      </c>
      <c r="V42" s="112"/>
      <c r="W42" s="1"/>
      <c r="X42" s="1"/>
      <c r="Y42" s="1"/>
    </row>
    <row r="43" spans="1:25" ht="25.8" x14ac:dyDescent="0.25">
      <c r="A43" s="113" t="s">
        <v>20</v>
      </c>
      <c r="B43" s="113"/>
      <c r="C43" s="113"/>
      <c r="D43" s="113"/>
      <c r="E43" s="117" t="s">
        <v>21</v>
      </c>
      <c r="F43" s="117"/>
      <c r="G43" s="117"/>
      <c r="H43" s="116" t="s">
        <v>22</v>
      </c>
      <c r="I43" s="116"/>
      <c r="J43" s="115">
        <v>0</v>
      </c>
      <c r="K43" s="115"/>
      <c r="L43" s="116" t="s">
        <v>23</v>
      </c>
      <c r="M43" s="116"/>
      <c r="N43" s="188" t="s">
        <v>15</v>
      </c>
      <c r="O43" s="188"/>
      <c r="P43" s="188"/>
      <c r="Q43" s="118" t="s">
        <v>24</v>
      </c>
      <c r="R43" s="118"/>
      <c r="S43" s="118"/>
      <c r="T43" s="118"/>
      <c r="U43" s="119" t="s">
        <v>85</v>
      </c>
      <c r="V43" s="119"/>
      <c r="W43" s="119"/>
      <c r="X43" s="147" t="s">
        <v>93</v>
      </c>
      <c r="Y43" s="147"/>
    </row>
    <row r="44" spans="1:25" x14ac:dyDescent="0.25">
      <c r="Q44" s="118"/>
      <c r="R44" s="118"/>
      <c r="S44" s="118"/>
      <c r="T44" s="118"/>
      <c r="U44" s="119"/>
      <c r="V44" s="119"/>
      <c r="W44" s="119"/>
      <c r="X44" s="147"/>
      <c r="Y44" s="147"/>
    </row>
    <row r="45" spans="1:25" ht="15.6" x14ac:dyDescent="0.3">
      <c r="A45" s="166" t="s">
        <v>26</v>
      </c>
      <c r="B45" s="166"/>
      <c r="C45" s="166"/>
      <c r="D45" s="166"/>
      <c r="E45" s="166"/>
      <c r="F45" s="166"/>
      <c r="G45" s="167" t="s">
        <v>27</v>
      </c>
      <c r="H45" s="167"/>
      <c r="I45" s="167"/>
      <c r="J45" s="167"/>
      <c r="K45" s="167"/>
      <c r="L45" s="167"/>
      <c r="M45" s="167"/>
      <c r="N45" s="2"/>
      <c r="Q45" s="168" t="s">
        <v>28</v>
      </c>
      <c r="R45" s="168"/>
      <c r="S45" s="168"/>
      <c r="T45" s="168"/>
      <c r="U45" s="168"/>
      <c r="V45" s="148" t="s">
        <v>29</v>
      </c>
      <c r="W45" s="148"/>
      <c r="X45" s="148"/>
      <c r="Y45" s="148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" customHeight="1" x14ac:dyDescent="0.25">
      <c r="A47" s="149" t="s">
        <v>31</v>
      </c>
      <c r="B47" s="150"/>
      <c r="C47" s="150"/>
      <c r="D47" s="150"/>
      <c r="E47" s="150"/>
      <c r="F47" s="150"/>
      <c r="G47" s="150"/>
      <c r="H47" s="150"/>
      <c r="I47" s="151"/>
      <c r="J47" s="152" t="s">
        <v>32</v>
      </c>
      <c r="K47" s="153"/>
      <c r="L47" s="152" t="s">
        <v>33</v>
      </c>
      <c r="M47" s="153"/>
      <c r="N47" s="91" t="s">
        <v>34</v>
      </c>
      <c r="O47" s="92"/>
      <c r="P47" s="152" t="s">
        <v>35</v>
      </c>
      <c r="Q47" s="153"/>
      <c r="R47" s="68" t="s">
        <v>36</v>
      </c>
      <c r="S47" s="69"/>
      <c r="T47" s="69"/>
      <c r="U47" s="69"/>
      <c r="V47" s="69"/>
      <c r="W47" s="70"/>
      <c r="X47" s="152" t="s">
        <v>7</v>
      </c>
      <c r="Y47" s="153"/>
    </row>
    <row r="48" spans="1:25" ht="23.25" customHeight="1" x14ac:dyDescent="0.25">
      <c r="A48" s="158" t="s">
        <v>37</v>
      </c>
      <c r="B48" s="159"/>
      <c r="C48" s="159"/>
      <c r="D48" s="159"/>
      <c r="E48" s="159"/>
      <c r="F48" s="159"/>
      <c r="G48" s="159"/>
      <c r="H48" s="159"/>
      <c r="I48" s="160"/>
      <c r="J48" s="154"/>
      <c r="K48" s="155"/>
      <c r="L48" s="154"/>
      <c r="M48" s="155"/>
      <c r="N48" s="93"/>
      <c r="O48" s="94"/>
      <c r="P48" s="154"/>
      <c r="Q48" s="155"/>
      <c r="R48" s="164" t="s">
        <v>38</v>
      </c>
      <c r="S48" s="164"/>
      <c r="T48" s="164" t="s">
        <v>39</v>
      </c>
      <c r="U48" s="164"/>
      <c r="V48" s="164" t="s">
        <v>40</v>
      </c>
      <c r="W48" s="164"/>
      <c r="X48" s="154"/>
      <c r="Y48" s="155"/>
    </row>
    <row r="49" spans="1:28" x14ac:dyDescent="0.25">
      <c r="A49" s="161"/>
      <c r="B49" s="162"/>
      <c r="C49" s="162"/>
      <c r="D49" s="162"/>
      <c r="E49" s="162"/>
      <c r="F49" s="162"/>
      <c r="G49" s="162"/>
      <c r="H49" s="162"/>
      <c r="I49" s="163"/>
      <c r="J49" s="156"/>
      <c r="K49" s="157"/>
      <c r="L49" s="156"/>
      <c r="M49" s="157"/>
      <c r="N49" s="95"/>
      <c r="O49" s="96"/>
      <c r="P49" s="156"/>
      <c r="Q49" s="157"/>
      <c r="R49" s="165"/>
      <c r="S49" s="165"/>
      <c r="T49" s="165"/>
      <c r="U49" s="165"/>
      <c r="V49" s="165"/>
      <c r="W49" s="165"/>
      <c r="X49" s="156"/>
      <c r="Y49" s="157"/>
    </row>
    <row r="50" spans="1:28" ht="18" customHeight="1" x14ac:dyDescent="0.3">
      <c r="A50" s="106" t="s">
        <v>41</v>
      </c>
      <c r="B50" s="107"/>
      <c r="C50" s="107"/>
      <c r="D50" s="107"/>
      <c r="E50" s="107"/>
      <c r="F50" s="107"/>
      <c r="G50" s="107"/>
      <c r="H50" s="107"/>
      <c r="I50" s="108"/>
      <c r="J50" s="68">
        <v>118</v>
      </c>
      <c r="K50" s="70"/>
      <c r="L50" s="68">
        <v>14</v>
      </c>
      <c r="M50" s="70"/>
      <c r="N50" s="68">
        <v>0</v>
      </c>
      <c r="O50" s="70"/>
      <c r="P50" s="68">
        <v>132</v>
      </c>
      <c r="Q50" s="70"/>
      <c r="R50" s="68">
        <v>0</v>
      </c>
      <c r="S50" s="70"/>
      <c r="T50" s="68">
        <v>1</v>
      </c>
      <c r="U50" s="70"/>
      <c r="V50" s="68">
        <v>4</v>
      </c>
      <c r="W50" s="70"/>
      <c r="X50" s="80">
        <v>137</v>
      </c>
      <c r="Y50" s="82"/>
    </row>
    <row r="51" spans="1:28" ht="18" customHeight="1" x14ac:dyDescent="0.3">
      <c r="A51" s="106" t="s">
        <v>42</v>
      </c>
      <c r="B51" s="107"/>
      <c r="C51" s="107"/>
      <c r="D51" s="107"/>
      <c r="E51" s="107"/>
      <c r="F51" s="107"/>
      <c r="G51" s="107"/>
      <c r="H51" s="107"/>
      <c r="I51" s="108"/>
      <c r="J51" s="68">
        <v>127</v>
      </c>
      <c r="K51" s="70"/>
      <c r="L51" s="68">
        <v>13</v>
      </c>
      <c r="M51" s="70"/>
      <c r="N51" s="68">
        <v>0</v>
      </c>
      <c r="O51" s="70"/>
      <c r="P51" s="68">
        <v>140</v>
      </c>
      <c r="Q51" s="70"/>
      <c r="R51" s="68">
        <v>0</v>
      </c>
      <c r="S51" s="70"/>
      <c r="T51" s="68">
        <v>1</v>
      </c>
      <c r="U51" s="70"/>
      <c r="V51" s="68">
        <v>1</v>
      </c>
      <c r="W51" s="70"/>
      <c r="X51" s="80">
        <v>142</v>
      </c>
      <c r="Y51" s="82"/>
    </row>
    <row r="52" spans="1:28" ht="18" customHeight="1" x14ac:dyDescent="0.3">
      <c r="A52" s="106" t="s">
        <v>43</v>
      </c>
      <c r="B52" s="107"/>
      <c r="C52" s="107"/>
      <c r="D52" s="107"/>
      <c r="E52" s="107"/>
      <c r="F52" s="107"/>
      <c r="G52" s="107"/>
      <c r="H52" s="107"/>
      <c r="I52" s="108"/>
      <c r="J52" s="68">
        <v>0</v>
      </c>
      <c r="K52" s="70"/>
      <c r="L52" s="68">
        <v>0</v>
      </c>
      <c r="M52" s="70"/>
      <c r="N52" s="68">
        <v>0</v>
      </c>
      <c r="O52" s="70"/>
      <c r="P52" s="68">
        <v>0</v>
      </c>
      <c r="Q52" s="70"/>
      <c r="R52" s="68">
        <v>0</v>
      </c>
      <c r="S52" s="70"/>
      <c r="T52" s="68">
        <v>0</v>
      </c>
      <c r="U52" s="70"/>
      <c r="V52" s="68">
        <v>0</v>
      </c>
      <c r="W52" s="70"/>
      <c r="X52" s="80">
        <v>0</v>
      </c>
      <c r="Y52" s="82"/>
    </row>
    <row r="53" spans="1:28" ht="18" customHeight="1" x14ac:dyDescent="0.3">
      <c r="A53" s="106" t="s">
        <v>44</v>
      </c>
      <c r="B53" s="107"/>
      <c r="C53" s="107"/>
      <c r="D53" s="107"/>
      <c r="E53" s="107"/>
      <c r="F53" s="107"/>
      <c r="G53" s="107"/>
      <c r="H53" s="107"/>
      <c r="I53" s="108"/>
      <c r="J53" s="68">
        <v>78</v>
      </c>
      <c r="K53" s="70"/>
      <c r="L53" s="68">
        <v>4</v>
      </c>
      <c r="M53" s="70"/>
      <c r="N53" s="68">
        <v>0</v>
      </c>
      <c r="O53" s="70"/>
      <c r="P53" s="68">
        <v>82</v>
      </c>
      <c r="Q53" s="70"/>
      <c r="R53" s="68">
        <v>0</v>
      </c>
      <c r="S53" s="70"/>
      <c r="T53" s="68">
        <v>0</v>
      </c>
      <c r="U53" s="70"/>
      <c r="V53" s="68">
        <v>3</v>
      </c>
      <c r="W53" s="70"/>
      <c r="X53" s="80">
        <v>85</v>
      </c>
      <c r="Y53" s="82"/>
    </row>
    <row r="54" spans="1:28" ht="18" customHeight="1" x14ac:dyDescent="0.3">
      <c r="A54" s="106" t="s">
        <v>7</v>
      </c>
      <c r="B54" s="107"/>
      <c r="C54" s="107"/>
      <c r="D54" s="107"/>
      <c r="E54" s="107"/>
      <c r="F54" s="107"/>
      <c r="G54" s="107"/>
      <c r="H54" s="107"/>
      <c r="I54" s="108"/>
      <c r="J54" s="68">
        <v>323</v>
      </c>
      <c r="K54" s="70"/>
      <c r="L54" s="68">
        <v>31</v>
      </c>
      <c r="M54" s="70"/>
      <c r="N54" s="68">
        <v>0</v>
      </c>
      <c r="O54" s="70"/>
      <c r="P54" s="68">
        <v>354</v>
      </c>
      <c r="Q54" s="70"/>
      <c r="R54" s="68">
        <v>0</v>
      </c>
      <c r="S54" s="70"/>
      <c r="T54" s="68">
        <v>2</v>
      </c>
      <c r="U54" s="70"/>
      <c r="V54" s="68">
        <v>8</v>
      </c>
      <c r="W54" s="70"/>
      <c r="X54" s="80">
        <v>364</v>
      </c>
      <c r="Y54" s="82"/>
    </row>
    <row r="55" spans="1:28" ht="15.6" x14ac:dyDescent="0.3">
      <c r="A55" s="4" t="s">
        <v>45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6"/>
      <c r="S55" s="6"/>
      <c r="T55" s="6"/>
      <c r="U55" s="6"/>
      <c r="V55" s="6"/>
      <c r="W55" s="6"/>
      <c r="X55" s="6"/>
      <c r="Y55" s="7"/>
    </row>
    <row r="56" spans="1:28" x14ac:dyDescent="0.25">
      <c r="A56" s="71"/>
      <c r="B56" s="72"/>
      <c r="C56" s="72"/>
      <c r="D56" s="72"/>
      <c r="E56" s="72"/>
      <c r="F56" s="72"/>
      <c r="G56" s="73"/>
      <c r="H56" s="68" t="s">
        <v>0</v>
      </c>
      <c r="I56" s="69"/>
      <c r="J56" s="136" t="s">
        <v>1</v>
      </c>
      <c r="K56" s="69"/>
      <c r="L56" s="134" t="s">
        <v>2</v>
      </c>
      <c r="M56" s="69"/>
      <c r="N56" s="134" t="s">
        <v>3</v>
      </c>
      <c r="O56" s="69"/>
      <c r="P56" s="134" t="s">
        <v>4</v>
      </c>
      <c r="Q56" s="135"/>
      <c r="R56" s="134" t="s">
        <v>5</v>
      </c>
      <c r="S56" s="69"/>
      <c r="T56" s="134" t="s">
        <v>6</v>
      </c>
      <c r="U56" s="69"/>
      <c r="V56" s="134" t="s">
        <v>46</v>
      </c>
      <c r="W56" s="69"/>
      <c r="X56" s="134" t="s">
        <v>7</v>
      </c>
      <c r="Y56" s="135"/>
      <c r="Z56" s="8"/>
      <c r="AA56" s="9"/>
      <c r="AB56" s="9"/>
    </row>
    <row r="57" spans="1:28" x14ac:dyDescent="0.25">
      <c r="A57" s="74"/>
      <c r="B57" s="75"/>
      <c r="C57" s="75"/>
      <c r="D57" s="75"/>
      <c r="E57" s="75"/>
      <c r="F57" s="75"/>
      <c r="G57" s="76"/>
      <c r="H57" s="10" t="s">
        <v>10</v>
      </c>
      <c r="I57" s="10" t="s">
        <v>11</v>
      </c>
      <c r="J57" s="10" t="s">
        <v>10</v>
      </c>
      <c r="K57" s="10" t="s">
        <v>11</v>
      </c>
      <c r="L57" s="10" t="s">
        <v>10</v>
      </c>
      <c r="M57" s="10" t="s">
        <v>11</v>
      </c>
      <c r="N57" s="10" t="s">
        <v>10</v>
      </c>
      <c r="O57" s="10" t="s">
        <v>11</v>
      </c>
      <c r="P57" s="10" t="s">
        <v>10</v>
      </c>
      <c r="Q57" s="10" t="s">
        <v>11</v>
      </c>
      <c r="R57" s="10" t="s">
        <v>10</v>
      </c>
      <c r="S57" s="10" t="s">
        <v>11</v>
      </c>
      <c r="T57" s="10" t="s">
        <v>10</v>
      </c>
      <c r="U57" s="10" t="s">
        <v>11</v>
      </c>
      <c r="V57" s="10" t="s">
        <v>10</v>
      </c>
      <c r="W57" s="10" t="s">
        <v>11</v>
      </c>
      <c r="X57" s="10" t="s">
        <v>10</v>
      </c>
      <c r="Y57" s="10" t="s">
        <v>11</v>
      </c>
    </row>
    <row r="58" spans="1:28" ht="18" customHeight="1" x14ac:dyDescent="0.25">
      <c r="A58" s="106" t="s">
        <v>41</v>
      </c>
      <c r="B58" s="107"/>
      <c r="C58" s="107"/>
      <c r="D58" s="107"/>
      <c r="E58" s="107"/>
      <c r="F58" s="107"/>
      <c r="G58" s="108"/>
      <c r="H58" s="10">
        <v>0</v>
      </c>
      <c r="I58" s="10">
        <v>0</v>
      </c>
      <c r="J58" s="10">
        <v>0</v>
      </c>
      <c r="K58" s="10">
        <v>4</v>
      </c>
      <c r="L58" s="10">
        <v>15</v>
      </c>
      <c r="M58" s="10">
        <v>32</v>
      </c>
      <c r="N58" s="10">
        <v>9</v>
      </c>
      <c r="O58" s="10">
        <v>15</v>
      </c>
      <c r="P58" s="10">
        <v>10</v>
      </c>
      <c r="Q58" s="10">
        <v>8</v>
      </c>
      <c r="R58" s="10">
        <v>7</v>
      </c>
      <c r="S58" s="10">
        <v>6</v>
      </c>
      <c r="T58" s="10">
        <v>5</v>
      </c>
      <c r="U58" s="10">
        <v>6</v>
      </c>
      <c r="V58" s="10">
        <v>10</v>
      </c>
      <c r="W58" s="10">
        <v>5</v>
      </c>
      <c r="X58" s="10">
        <v>56</v>
      </c>
      <c r="Y58" s="10">
        <v>76</v>
      </c>
    </row>
    <row r="59" spans="1:28" ht="18" customHeight="1" x14ac:dyDescent="0.25">
      <c r="A59" s="106" t="s">
        <v>42</v>
      </c>
      <c r="B59" s="107"/>
      <c r="C59" s="107"/>
      <c r="D59" s="107"/>
      <c r="E59" s="107"/>
      <c r="F59" s="107"/>
      <c r="G59" s="108"/>
      <c r="H59" s="10">
        <v>0</v>
      </c>
      <c r="I59" s="10">
        <v>0</v>
      </c>
      <c r="J59" s="10">
        <v>6</v>
      </c>
      <c r="K59" s="10">
        <v>13</v>
      </c>
      <c r="L59" s="10">
        <v>11</v>
      </c>
      <c r="M59" s="10">
        <v>17</v>
      </c>
      <c r="N59" s="10">
        <v>11</v>
      </c>
      <c r="O59" s="10">
        <v>18</v>
      </c>
      <c r="P59" s="10">
        <v>9</v>
      </c>
      <c r="Q59" s="10">
        <v>10</v>
      </c>
      <c r="R59" s="10">
        <v>10</v>
      </c>
      <c r="S59" s="10">
        <v>5</v>
      </c>
      <c r="T59" s="10">
        <v>9</v>
      </c>
      <c r="U59" s="10">
        <v>7</v>
      </c>
      <c r="V59" s="10">
        <v>9</v>
      </c>
      <c r="W59" s="10">
        <v>5</v>
      </c>
      <c r="X59" s="10">
        <v>65</v>
      </c>
      <c r="Y59" s="10">
        <v>75</v>
      </c>
    </row>
    <row r="60" spans="1:28" ht="18" customHeight="1" x14ac:dyDescent="0.25">
      <c r="A60" s="106" t="s">
        <v>43</v>
      </c>
      <c r="B60" s="107"/>
      <c r="C60" s="107"/>
      <c r="D60" s="107"/>
      <c r="E60" s="107"/>
      <c r="F60" s="107"/>
      <c r="G60" s="108"/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</row>
    <row r="61" spans="1:28" ht="18" customHeight="1" x14ac:dyDescent="0.25">
      <c r="A61" s="106" t="s">
        <v>44</v>
      </c>
      <c r="B61" s="107"/>
      <c r="C61" s="107"/>
      <c r="D61" s="107"/>
      <c r="E61" s="107"/>
      <c r="F61" s="107"/>
      <c r="G61" s="108"/>
      <c r="H61" s="10">
        <v>0</v>
      </c>
      <c r="I61" s="10">
        <v>0</v>
      </c>
      <c r="J61" s="10">
        <v>4</v>
      </c>
      <c r="K61" s="10">
        <v>12</v>
      </c>
      <c r="L61" s="10">
        <v>10</v>
      </c>
      <c r="M61" s="10">
        <v>9</v>
      </c>
      <c r="N61" s="10">
        <v>11</v>
      </c>
      <c r="O61" s="10">
        <v>10</v>
      </c>
      <c r="P61" s="10">
        <v>2</v>
      </c>
      <c r="Q61" s="10">
        <v>8</v>
      </c>
      <c r="R61" s="10">
        <v>2</v>
      </c>
      <c r="S61" s="10">
        <v>2</v>
      </c>
      <c r="T61" s="10">
        <v>4</v>
      </c>
      <c r="U61" s="10">
        <v>3</v>
      </c>
      <c r="V61" s="10">
        <v>3</v>
      </c>
      <c r="W61" s="10">
        <v>2</v>
      </c>
      <c r="X61" s="10">
        <v>36</v>
      </c>
      <c r="Y61" s="10">
        <v>46</v>
      </c>
    </row>
    <row r="62" spans="1:28" ht="18" customHeight="1" x14ac:dyDescent="0.25">
      <c r="A62" s="106" t="s">
        <v>7</v>
      </c>
      <c r="B62" s="107"/>
      <c r="C62" s="107"/>
      <c r="D62" s="107"/>
      <c r="E62" s="107"/>
      <c r="F62" s="107"/>
      <c r="G62" s="108"/>
      <c r="H62" s="10">
        <v>0</v>
      </c>
      <c r="I62" s="10">
        <v>0</v>
      </c>
      <c r="J62" s="10">
        <v>10</v>
      </c>
      <c r="K62" s="10">
        <v>29</v>
      </c>
      <c r="L62" s="10">
        <v>36</v>
      </c>
      <c r="M62" s="10">
        <v>58</v>
      </c>
      <c r="N62" s="10">
        <v>31</v>
      </c>
      <c r="O62" s="10">
        <v>43</v>
      </c>
      <c r="P62" s="10">
        <v>21</v>
      </c>
      <c r="Q62" s="10">
        <v>26</v>
      </c>
      <c r="R62" s="10">
        <v>19</v>
      </c>
      <c r="S62" s="10">
        <v>13</v>
      </c>
      <c r="T62" s="10">
        <v>18</v>
      </c>
      <c r="U62" s="10">
        <v>16</v>
      </c>
      <c r="V62" s="10">
        <v>22</v>
      </c>
      <c r="W62" s="10">
        <v>12</v>
      </c>
      <c r="X62" s="10">
        <v>157</v>
      </c>
      <c r="Y62" s="10">
        <v>197</v>
      </c>
    </row>
    <row r="63" spans="1:28" ht="6.75" customHeight="1" x14ac:dyDescent="0.25">
      <c r="A63" s="11"/>
      <c r="B63" s="12"/>
      <c r="C63" s="12"/>
      <c r="D63" s="12"/>
      <c r="E63" s="12"/>
      <c r="F63" s="13"/>
      <c r="G63" s="13"/>
      <c r="H63" s="13"/>
      <c r="I63" s="13"/>
      <c r="J63" s="13"/>
      <c r="K63" s="13"/>
      <c r="L63" s="14"/>
      <c r="M63" s="13"/>
      <c r="N63" s="15"/>
      <c r="O63" s="16"/>
      <c r="P63" s="13"/>
      <c r="Q63" s="13"/>
      <c r="R63" s="13"/>
      <c r="S63" s="13"/>
      <c r="T63" s="13"/>
      <c r="U63" s="13"/>
      <c r="V63" s="13"/>
      <c r="W63" s="13"/>
      <c r="X63" s="13"/>
      <c r="Y63" s="17"/>
    </row>
    <row r="64" spans="1:28" ht="18" customHeight="1" x14ac:dyDescent="0.3">
      <c r="A64" s="18" t="s">
        <v>47</v>
      </c>
      <c r="B64" s="19"/>
      <c r="C64" s="19"/>
      <c r="D64" s="19"/>
      <c r="E64" s="19"/>
      <c r="F64" s="19"/>
      <c r="G64" s="19"/>
      <c r="H64" s="19"/>
      <c r="I64" s="19"/>
      <c r="J64" s="19"/>
      <c r="K64" s="20"/>
      <c r="L64" s="21"/>
      <c r="M64" s="18" t="s">
        <v>48</v>
      </c>
      <c r="N64" s="19"/>
      <c r="O64" s="19"/>
      <c r="P64" s="19"/>
      <c r="Q64" s="22"/>
      <c r="R64" s="22"/>
      <c r="S64" s="22"/>
      <c r="T64" s="22"/>
      <c r="U64" s="22"/>
      <c r="V64" s="22"/>
      <c r="W64" s="22"/>
      <c r="X64" s="22"/>
      <c r="Y64" s="23"/>
    </row>
    <row r="65" spans="1:25" ht="57.75" customHeight="1" x14ac:dyDescent="0.25">
      <c r="A65" s="101" t="s">
        <v>49</v>
      </c>
      <c r="B65" s="101" t="s">
        <v>50</v>
      </c>
      <c r="C65" s="101" t="s">
        <v>51</v>
      </c>
      <c r="D65" s="77" t="s">
        <v>52</v>
      </c>
      <c r="E65" s="78"/>
      <c r="F65" s="77" t="s">
        <v>53</v>
      </c>
      <c r="G65" s="79"/>
      <c r="H65" s="79"/>
      <c r="I65" s="78"/>
      <c r="J65" s="101" t="s">
        <v>54</v>
      </c>
      <c r="K65" s="101" t="s">
        <v>55</v>
      </c>
      <c r="L65" s="24"/>
      <c r="M65" s="86" t="s">
        <v>56</v>
      </c>
      <c r="N65" s="88"/>
      <c r="O65" s="86" t="s">
        <v>57</v>
      </c>
      <c r="P65" s="88"/>
      <c r="Q65" s="86" t="s">
        <v>58</v>
      </c>
      <c r="R65" s="87"/>
      <c r="S65" s="87"/>
      <c r="T65" s="87"/>
      <c r="U65" s="87"/>
      <c r="V65" s="87"/>
      <c r="W65" s="87"/>
      <c r="X65" s="87"/>
      <c r="Y65" s="88"/>
    </row>
    <row r="66" spans="1:25" ht="38.25" customHeight="1" x14ac:dyDescent="0.25">
      <c r="A66" s="102"/>
      <c r="B66" s="102"/>
      <c r="C66" s="102"/>
      <c r="D66" s="25" t="s">
        <v>59</v>
      </c>
      <c r="E66" s="25" t="s">
        <v>60</v>
      </c>
      <c r="F66" s="26" t="s">
        <v>59</v>
      </c>
      <c r="G66" s="26" t="s">
        <v>60</v>
      </c>
      <c r="H66" s="26" t="s">
        <v>61</v>
      </c>
      <c r="I66" s="26" t="s">
        <v>62</v>
      </c>
      <c r="J66" s="102"/>
      <c r="K66" s="102"/>
      <c r="L66" s="24"/>
      <c r="M66" s="91">
        <v>144</v>
      </c>
      <c r="N66" s="92"/>
      <c r="O66" s="91">
        <v>0</v>
      </c>
      <c r="P66" s="92"/>
      <c r="Q66" s="86">
        <v>0</v>
      </c>
      <c r="R66" s="87"/>
      <c r="S66" s="87"/>
      <c r="T66" s="87"/>
      <c r="U66" s="87"/>
      <c r="V66" s="87"/>
      <c r="W66" s="87"/>
      <c r="X66" s="87"/>
      <c r="Y66" s="88"/>
    </row>
    <row r="67" spans="1:25" ht="38.25" customHeight="1" x14ac:dyDescent="0.25">
      <c r="A67" s="103">
        <v>5242</v>
      </c>
      <c r="B67" s="103">
        <v>772</v>
      </c>
      <c r="C67" s="103">
        <v>65</v>
      </c>
      <c r="D67" s="103">
        <v>333</v>
      </c>
      <c r="E67" s="103">
        <v>537</v>
      </c>
      <c r="F67" s="103">
        <v>5</v>
      </c>
      <c r="G67" s="103">
        <v>59</v>
      </c>
      <c r="H67" s="103">
        <v>59</v>
      </c>
      <c r="I67" s="103">
        <v>123</v>
      </c>
      <c r="J67" s="103">
        <v>132</v>
      </c>
      <c r="K67" s="103">
        <v>172</v>
      </c>
      <c r="L67" s="24"/>
      <c r="M67" s="91" t="s">
        <v>63</v>
      </c>
      <c r="N67" s="92"/>
      <c r="O67" s="91" t="s">
        <v>64</v>
      </c>
      <c r="P67" s="92"/>
      <c r="Q67" s="95" t="s">
        <v>65</v>
      </c>
      <c r="R67" s="99"/>
      <c r="S67" s="96"/>
      <c r="T67" s="95" t="s">
        <v>66</v>
      </c>
      <c r="U67" s="99"/>
      <c r="V67" s="99"/>
      <c r="W67" s="99"/>
      <c r="X67" s="99"/>
      <c r="Y67" s="96"/>
    </row>
    <row r="68" spans="1:25" ht="19.5" customHeight="1" x14ac:dyDescent="0.25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27"/>
      <c r="M68" s="91">
        <v>0</v>
      </c>
      <c r="N68" s="92"/>
      <c r="O68" s="91">
        <v>0</v>
      </c>
      <c r="P68" s="92"/>
      <c r="Q68" s="91">
        <v>0</v>
      </c>
      <c r="R68" s="97"/>
      <c r="S68" s="92"/>
      <c r="T68" s="28"/>
      <c r="U68" s="86" t="s">
        <v>0</v>
      </c>
      <c r="V68" s="88"/>
      <c r="W68" s="29" t="s">
        <v>1</v>
      </c>
      <c r="X68" s="86" t="s">
        <v>67</v>
      </c>
      <c r="Y68" s="88"/>
    </row>
    <row r="69" spans="1:25" ht="18" customHeight="1" x14ac:dyDescent="0.25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27"/>
      <c r="M69" s="93"/>
      <c r="N69" s="94"/>
      <c r="O69" s="93"/>
      <c r="P69" s="94"/>
      <c r="Q69" s="93"/>
      <c r="R69" s="98"/>
      <c r="S69" s="94"/>
      <c r="T69" s="30" t="s">
        <v>68</v>
      </c>
      <c r="U69" s="100">
        <v>0</v>
      </c>
      <c r="V69" s="100"/>
      <c r="W69" s="29">
        <v>0</v>
      </c>
      <c r="X69" s="186">
        <v>0</v>
      </c>
      <c r="Y69" s="187"/>
    </row>
    <row r="70" spans="1:25" ht="18" customHeight="1" x14ac:dyDescent="0.25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27"/>
      <c r="M70" s="93"/>
      <c r="N70" s="94"/>
      <c r="O70" s="93"/>
      <c r="P70" s="94"/>
      <c r="Q70" s="93"/>
      <c r="R70" s="98"/>
      <c r="S70" s="94"/>
      <c r="T70" s="30" t="s">
        <v>69</v>
      </c>
      <c r="U70" s="100">
        <v>0</v>
      </c>
      <c r="V70" s="100"/>
      <c r="W70" s="29">
        <v>0</v>
      </c>
      <c r="X70" s="186">
        <v>0</v>
      </c>
      <c r="Y70" s="187"/>
    </row>
    <row r="71" spans="1:25" ht="18" customHeight="1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27"/>
      <c r="M71" s="95"/>
      <c r="N71" s="96"/>
      <c r="O71" s="95"/>
      <c r="P71" s="96"/>
      <c r="Q71" s="95"/>
      <c r="R71" s="99"/>
      <c r="S71" s="96"/>
      <c r="T71" s="30" t="s">
        <v>70</v>
      </c>
      <c r="U71" s="100">
        <v>0</v>
      </c>
      <c r="V71" s="100"/>
      <c r="W71" s="29">
        <v>0</v>
      </c>
      <c r="X71" s="186">
        <v>0</v>
      </c>
      <c r="Y71" s="187"/>
    </row>
    <row r="72" spans="1:25" ht="8.25" customHeight="1" x14ac:dyDescent="0.25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3"/>
      <c r="M72" s="32"/>
      <c r="N72" s="32"/>
      <c r="O72" s="32"/>
      <c r="P72" s="32"/>
      <c r="Q72" s="32"/>
      <c r="R72" s="34"/>
      <c r="S72" s="34"/>
      <c r="T72" s="34"/>
      <c r="U72" s="34"/>
      <c r="V72" s="34"/>
      <c r="W72" s="32"/>
      <c r="X72" s="32"/>
      <c r="Y72" s="7"/>
    </row>
    <row r="73" spans="1:25" ht="18" customHeight="1" x14ac:dyDescent="0.3">
      <c r="A73" s="18" t="s">
        <v>71</v>
      </c>
      <c r="B73" s="19"/>
      <c r="C73" s="19"/>
      <c r="D73" s="19"/>
      <c r="E73" s="19"/>
      <c r="F73" s="19"/>
      <c r="G73" s="19"/>
      <c r="H73" s="19"/>
      <c r="I73" s="19"/>
      <c r="J73" s="19"/>
      <c r="K73" s="20"/>
      <c r="L73" s="35"/>
      <c r="M73" s="18" t="s">
        <v>72</v>
      </c>
      <c r="N73" s="20"/>
      <c r="O73" s="36"/>
      <c r="P73" s="19"/>
      <c r="Q73" s="19"/>
      <c r="R73" s="19"/>
      <c r="S73" s="19"/>
      <c r="T73" s="19"/>
      <c r="U73" s="19"/>
      <c r="V73" s="19"/>
      <c r="W73" s="22"/>
      <c r="X73" s="22"/>
      <c r="Y73" s="37"/>
    </row>
    <row r="74" spans="1:25" ht="57" customHeight="1" x14ac:dyDescent="0.25">
      <c r="A74" s="71"/>
      <c r="B74" s="72"/>
      <c r="C74" s="72"/>
      <c r="D74" s="72"/>
      <c r="E74" s="73"/>
      <c r="F74" s="68" t="s">
        <v>12</v>
      </c>
      <c r="G74" s="70"/>
      <c r="H74" s="68" t="s">
        <v>13</v>
      </c>
      <c r="I74" s="70"/>
      <c r="J74" s="38" t="s">
        <v>73</v>
      </c>
      <c r="K74" s="39"/>
      <c r="L74" s="40"/>
      <c r="M74" s="77" t="s">
        <v>74</v>
      </c>
      <c r="N74" s="78"/>
      <c r="O74" s="77" t="s">
        <v>75</v>
      </c>
      <c r="P74" s="78"/>
      <c r="Q74" s="77" t="s">
        <v>76</v>
      </c>
      <c r="R74" s="78"/>
      <c r="S74" s="77" t="s">
        <v>77</v>
      </c>
      <c r="T74" s="79"/>
      <c r="U74" s="79"/>
      <c r="V74" s="78"/>
      <c r="W74" s="77" t="s">
        <v>78</v>
      </c>
      <c r="X74" s="79"/>
      <c r="Y74" s="78"/>
    </row>
    <row r="75" spans="1:25" ht="13.5" customHeight="1" x14ac:dyDescent="0.25">
      <c r="A75" s="74"/>
      <c r="B75" s="75"/>
      <c r="C75" s="75"/>
      <c r="D75" s="75"/>
      <c r="E75" s="76"/>
      <c r="F75" s="10" t="s">
        <v>79</v>
      </c>
      <c r="G75" s="10" t="s">
        <v>14</v>
      </c>
      <c r="H75" s="10" t="s">
        <v>79</v>
      </c>
      <c r="I75" s="10" t="s">
        <v>14</v>
      </c>
      <c r="J75" s="10" t="s">
        <v>79</v>
      </c>
      <c r="K75" s="10" t="s">
        <v>14</v>
      </c>
      <c r="L75" s="41"/>
      <c r="M75" s="42" t="s">
        <v>80</v>
      </c>
      <c r="N75" s="42" t="s">
        <v>81</v>
      </c>
      <c r="O75" s="42" t="s">
        <v>80</v>
      </c>
      <c r="P75" s="43" t="s">
        <v>81</v>
      </c>
      <c r="Q75" s="42" t="s">
        <v>80</v>
      </c>
      <c r="R75" s="42" t="s">
        <v>81</v>
      </c>
      <c r="S75" s="44"/>
      <c r="T75" s="42" t="s">
        <v>0</v>
      </c>
      <c r="U75" s="45" t="s">
        <v>1</v>
      </c>
      <c r="V75" s="46" t="s">
        <v>82</v>
      </c>
      <c r="W75" s="42" t="s">
        <v>0</v>
      </c>
      <c r="X75" s="45" t="s">
        <v>1</v>
      </c>
      <c r="Y75" s="46" t="s">
        <v>82</v>
      </c>
    </row>
    <row r="76" spans="1:25" ht="18" customHeight="1" x14ac:dyDescent="0.3">
      <c r="A76" s="80" t="s">
        <v>83</v>
      </c>
      <c r="B76" s="81"/>
      <c r="C76" s="81"/>
      <c r="D76" s="81"/>
      <c r="E76" s="82"/>
      <c r="F76" s="10">
        <v>117</v>
      </c>
      <c r="G76" s="10">
        <v>2</v>
      </c>
      <c r="H76" s="10">
        <v>0</v>
      </c>
      <c r="I76" s="10">
        <v>0</v>
      </c>
      <c r="J76" s="10">
        <v>0</v>
      </c>
      <c r="K76" s="10">
        <v>0</v>
      </c>
      <c r="L76" s="41"/>
      <c r="M76" s="83">
        <v>39</v>
      </c>
      <c r="N76" s="83">
        <v>737</v>
      </c>
      <c r="O76" s="83">
        <v>15</v>
      </c>
      <c r="P76" s="83">
        <v>396</v>
      </c>
      <c r="Q76" s="83">
        <v>0</v>
      </c>
      <c r="R76" s="83">
        <v>13</v>
      </c>
      <c r="S76" s="47" t="s">
        <v>68</v>
      </c>
      <c r="T76" s="48">
        <v>0</v>
      </c>
      <c r="U76" s="48">
        <v>0</v>
      </c>
      <c r="V76" s="48">
        <v>0</v>
      </c>
      <c r="W76" s="48">
        <v>0</v>
      </c>
      <c r="X76" s="48">
        <v>0</v>
      </c>
      <c r="Y76" s="48">
        <v>0</v>
      </c>
    </row>
    <row r="77" spans="1:25" ht="18" customHeight="1" x14ac:dyDescent="0.3">
      <c r="A77" s="80" t="s">
        <v>8</v>
      </c>
      <c r="B77" s="81"/>
      <c r="C77" s="81"/>
      <c r="D77" s="81"/>
      <c r="E77" s="82"/>
      <c r="F77" s="10">
        <v>13</v>
      </c>
      <c r="G77" s="10">
        <v>1</v>
      </c>
      <c r="H77" s="10">
        <v>0</v>
      </c>
      <c r="I77" s="10">
        <v>0</v>
      </c>
      <c r="J77" s="10">
        <v>0</v>
      </c>
      <c r="K77" s="10">
        <v>0</v>
      </c>
      <c r="L77" s="41"/>
      <c r="M77" s="84"/>
      <c r="N77" s="84"/>
      <c r="O77" s="84"/>
      <c r="P77" s="84"/>
      <c r="Q77" s="84"/>
      <c r="R77" s="84"/>
      <c r="S77" s="47" t="s">
        <v>69</v>
      </c>
      <c r="T77" s="48">
        <v>0</v>
      </c>
      <c r="U77" s="48">
        <v>0</v>
      </c>
      <c r="V77" s="48">
        <v>0</v>
      </c>
      <c r="W77" s="48">
        <v>0</v>
      </c>
      <c r="X77" s="48">
        <v>0</v>
      </c>
      <c r="Y77" s="48">
        <v>0</v>
      </c>
    </row>
    <row r="78" spans="1:25" ht="18" customHeight="1" x14ac:dyDescent="0.25">
      <c r="A78" s="86" t="s">
        <v>84</v>
      </c>
      <c r="B78" s="87"/>
      <c r="C78" s="87"/>
      <c r="D78" s="87"/>
      <c r="E78" s="88"/>
      <c r="F78" s="10">
        <v>4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41"/>
      <c r="M78" s="84"/>
      <c r="N78" s="84"/>
      <c r="O78" s="84"/>
      <c r="P78" s="84"/>
      <c r="Q78" s="84"/>
      <c r="R78" s="84"/>
      <c r="S78" s="89" t="s">
        <v>70</v>
      </c>
      <c r="T78" s="83">
        <v>0</v>
      </c>
      <c r="U78" s="83">
        <v>0</v>
      </c>
      <c r="V78" s="83">
        <v>0</v>
      </c>
      <c r="W78" s="83">
        <v>0</v>
      </c>
      <c r="X78" s="83">
        <v>0</v>
      </c>
      <c r="Y78" s="83">
        <v>0</v>
      </c>
    </row>
    <row r="79" spans="1:25" ht="18" customHeight="1" x14ac:dyDescent="0.25">
      <c r="A79" s="68" t="s">
        <v>7</v>
      </c>
      <c r="B79" s="69"/>
      <c r="C79" s="69"/>
      <c r="D79" s="69"/>
      <c r="E79" s="70"/>
      <c r="F79" s="10">
        <v>134</v>
      </c>
      <c r="G79" s="10">
        <v>3</v>
      </c>
      <c r="H79" s="10">
        <v>0</v>
      </c>
      <c r="I79" s="10">
        <v>0</v>
      </c>
      <c r="J79" s="10">
        <v>0</v>
      </c>
      <c r="K79" s="10">
        <v>0</v>
      </c>
      <c r="L79" s="41"/>
      <c r="M79" s="85"/>
      <c r="N79" s="85"/>
      <c r="O79" s="85"/>
      <c r="P79" s="85"/>
      <c r="Q79" s="85"/>
      <c r="R79" s="85"/>
      <c r="S79" s="90"/>
      <c r="T79" s="85"/>
      <c r="U79" s="85"/>
      <c r="V79" s="85"/>
      <c r="W79" s="85"/>
      <c r="X79" s="85"/>
      <c r="Y79" s="85"/>
    </row>
    <row r="80" spans="1:25" ht="23.4" x14ac:dyDescent="0.45">
      <c r="A80" s="120" t="s">
        <v>17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</row>
    <row r="81" spans="1:28" ht="23.4" x14ac:dyDescent="0.25">
      <c r="A81" s="111" t="s">
        <v>18</v>
      </c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"/>
      <c r="U81" s="112" t="s">
        <v>19</v>
      </c>
      <c r="V81" s="112"/>
      <c r="W81" s="1"/>
      <c r="X81" s="1"/>
      <c r="Y81" s="1"/>
    </row>
    <row r="82" spans="1:28" ht="30.9" customHeight="1" x14ac:dyDescent="0.25">
      <c r="A82" s="113" t="s">
        <v>20</v>
      </c>
      <c r="B82" s="113"/>
      <c r="C82" s="113"/>
      <c r="D82" s="113"/>
      <c r="E82" s="117" t="s">
        <v>21</v>
      </c>
      <c r="F82" s="117"/>
      <c r="G82" s="117"/>
      <c r="H82" s="116" t="s">
        <v>22</v>
      </c>
      <c r="I82" s="116"/>
      <c r="J82" s="115">
        <v>0</v>
      </c>
      <c r="K82" s="115"/>
      <c r="L82" s="116" t="s">
        <v>23</v>
      </c>
      <c r="M82" s="116"/>
      <c r="N82" s="188" t="s">
        <v>15</v>
      </c>
      <c r="O82" s="188"/>
      <c r="P82" s="188"/>
      <c r="Q82" s="118" t="s">
        <v>24</v>
      </c>
      <c r="R82" s="118"/>
      <c r="S82" s="118"/>
      <c r="T82" s="118"/>
      <c r="U82" s="119" t="s">
        <v>86</v>
      </c>
      <c r="V82" s="119"/>
      <c r="W82" s="119"/>
      <c r="X82" s="147" t="s">
        <v>93</v>
      </c>
      <c r="Y82" s="147"/>
    </row>
    <row r="83" spans="1:28" ht="15" customHeight="1" x14ac:dyDescent="0.25">
      <c r="Q83" s="118"/>
      <c r="R83" s="118"/>
      <c r="S83" s="118"/>
      <c r="T83" s="118"/>
      <c r="U83" s="119"/>
      <c r="V83" s="119"/>
      <c r="W83" s="119"/>
      <c r="X83" s="147"/>
      <c r="Y83" s="147"/>
    </row>
    <row r="84" spans="1:28" ht="15.6" x14ac:dyDescent="0.3">
      <c r="A84" s="166" t="s">
        <v>26</v>
      </c>
      <c r="B84" s="166"/>
      <c r="C84" s="166"/>
      <c r="D84" s="166"/>
      <c r="E84" s="166"/>
      <c r="F84" s="166"/>
      <c r="G84" s="167" t="s">
        <v>27</v>
      </c>
      <c r="H84" s="167"/>
      <c r="I84" s="167"/>
      <c r="J84" s="167"/>
      <c r="K84" s="167"/>
      <c r="L84" s="167"/>
      <c r="M84" s="167"/>
      <c r="N84" s="2"/>
      <c r="Q84" s="168" t="s">
        <v>28</v>
      </c>
      <c r="R84" s="168"/>
      <c r="S84" s="168"/>
      <c r="T84" s="168"/>
      <c r="U84" s="168"/>
      <c r="V84" s="148" t="s">
        <v>29</v>
      </c>
      <c r="W84" s="148"/>
      <c r="X84" s="148"/>
      <c r="Y84" s="148"/>
    </row>
    <row r="85" spans="1:2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8" ht="15" customHeight="1" x14ac:dyDescent="0.25">
      <c r="A86" s="149" t="s">
        <v>31</v>
      </c>
      <c r="B86" s="150"/>
      <c r="C86" s="150"/>
      <c r="D86" s="150"/>
      <c r="E86" s="150"/>
      <c r="F86" s="150"/>
      <c r="G86" s="150"/>
      <c r="H86" s="150"/>
      <c r="I86" s="151"/>
      <c r="J86" s="152" t="s">
        <v>32</v>
      </c>
      <c r="K86" s="153"/>
      <c r="L86" s="152" t="s">
        <v>33</v>
      </c>
      <c r="M86" s="153"/>
      <c r="N86" s="91" t="s">
        <v>34</v>
      </c>
      <c r="O86" s="92"/>
      <c r="P86" s="152" t="s">
        <v>35</v>
      </c>
      <c r="Q86" s="153"/>
      <c r="R86" s="68" t="s">
        <v>36</v>
      </c>
      <c r="S86" s="69"/>
      <c r="T86" s="69"/>
      <c r="U86" s="69"/>
      <c r="V86" s="69"/>
      <c r="W86" s="70"/>
      <c r="X86" s="152" t="s">
        <v>7</v>
      </c>
      <c r="Y86" s="153"/>
    </row>
    <row r="87" spans="1:28" ht="23.25" customHeight="1" x14ac:dyDescent="0.25">
      <c r="A87" s="158" t="s">
        <v>37</v>
      </c>
      <c r="B87" s="159"/>
      <c r="C87" s="159"/>
      <c r="D87" s="159"/>
      <c r="E87" s="159"/>
      <c r="F87" s="159"/>
      <c r="G87" s="159"/>
      <c r="H87" s="159"/>
      <c r="I87" s="160"/>
      <c r="J87" s="154"/>
      <c r="K87" s="155"/>
      <c r="L87" s="154"/>
      <c r="M87" s="155"/>
      <c r="N87" s="93"/>
      <c r="O87" s="94"/>
      <c r="P87" s="154"/>
      <c r="Q87" s="155"/>
      <c r="R87" s="164" t="s">
        <v>38</v>
      </c>
      <c r="S87" s="164"/>
      <c r="T87" s="164" t="s">
        <v>39</v>
      </c>
      <c r="U87" s="164"/>
      <c r="V87" s="164" t="s">
        <v>40</v>
      </c>
      <c r="W87" s="164"/>
      <c r="X87" s="154"/>
      <c r="Y87" s="155"/>
    </row>
    <row r="88" spans="1:28" x14ac:dyDescent="0.25">
      <c r="A88" s="161"/>
      <c r="B88" s="162"/>
      <c r="C88" s="162"/>
      <c r="D88" s="162"/>
      <c r="E88" s="162"/>
      <c r="F88" s="162"/>
      <c r="G88" s="162"/>
      <c r="H88" s="162"/>
      <c r="I88" s="163"/>
      <c r="J88" s="156"/>
      <c r="K88" s="157"/>
      <c r="L88" s="156"/>
      <c r="M88" s="157"/>
      <c r="N88" s="95"/>
      <c r="O88" s="96"/>
      <c r="P88" s="156"/>
      <c r="Q88" s="157"/>
      <c r="R88" s="165"/>
      <c r="S88" s="165"/>
      <c r="T88" s="165"/>
      <c r="U88" s="165"/>
      <c r="V88" s="165"/>
      <c r="W88" s="165"/>
      <c r="X88" s="156"/>
      <c r="Y88" s="157"/>
    </row>
    <row r="89" spans="1:28" ht="18" customHeight="1" x14ac:dyDescent="0.3">
      <c r="A89" s="106" t="s">
        <v>41</v>
      </c>
      <c r="B89" s="107"/>
      <c r="C89" s="107"/>
      <c r="D89" s="107"/>
      <c r="E89" s="107"/>
      <c r="F89" s="107"/>
      <c r="G89" s="107"/>
      <c r="H89" s="107"/>
      <c r="I89" s="108"/>
      <c r="J89" s="68">
        <v>141</v>
      </c>
      <c r="K89" s="70"/>
      <c r="L89" s="68">
        <v>12</v>
      </c>
      <c r="M89" s="70"/>
      <c r="N89" s="68">
        <v>0</v>
      </c>
      <c r="O89" s="70"/>
      <c r="P89" s="68">
        <v>153</v>
      </c>
      <c r="Q89" s="70"/>
      <c r="R89" s="68">
        <v>0</v>
      </c>
      <c r="S89" s="70"/>
      <c r="T89" s="68">
        <v>0</v>
      </c>
      <c r="U89" s="70"/>
      <c r="V89" s="68">
        <v>3</v>
      </c>
      <c r="W89" s="70"/>
      <c r="X89" s="80">
        <v>156</v>
      </c>
      <c r="Y89" s="82"/>
    </row>
    <row r="90" spans="1:28" ht="18" customHeight="1" x14ac:dyDescent="0.3">
      <c r="A90" s="106" t="s">
        <v>42</v>
      </c>
      <c r="B90" s="107"/>
      <c r="C90" s="107"/>
      <c r="D90" s="107"/>
      <c r="E90" s="107"/>
      <c r="F90" s="107"/>
      <c r="G90" s="107"/>
      <c r="H90" s="107"/>
      <c r="I90" s="108"/>
      <c r="J90" s="68">
        <v>151</v>
      </c>
      <c r="K90" s="70"/>
      <c r="L90" s="68">
        <v>15</v>
      </c>
      <c r="M90" s="70"/>
      <c r="N90" s="68">
        <v>0</v>
      </c>
      <c r="O90" s="70"/>
      <c r="P90" s="68">
        <v>166</v>
      </c>
      <c r="Q90" s="70"/>
      <c r="R90" s="68">
        <v>0</v>
      </c>
      <c r="S90" s="70"/>
      <c r="T90" s="68">
        <v>1</v>
      </c>
      <c r="U90" s="70"/>
      <c r="V90" s="68">
        <v>7</v>
      </c>
      <c r="W90" s="70"/>
      <c r="X90" s="80">
        <v>174</v>
      </c>
      <c r="Y90" s="82"/>
    </row>
    <row r="91" spans="1:28" ht="18" customHeight="1" x14ac:dyDescent="0.3">
      <c r="A91" s="106" t="s">
        <v>43</v>
      </c>
      <c r="B91" s="107"/>
      <c r="C91" s="107"/>
      <c r="D91" s="107"/>
      <c r="E91" s="107"/>
      <c r="F91" s="107"/>
      <c r="G91" s="107"/>
      <c r="H91" s="107"/>
      <c r="I91" s="108"/>
      <c r="J91" s="68">
        <v>10</v>
      </c>
      <c r="K91" s="70"/>
      <c r="L91" s="68">
        <v>1</v>
      </c>
      <c r="M91" s="70"/>
      <c r="N91" s="68">
        <v>0</v>
      </c>
      <c r="O91" s="70"/>
      <c r="P91" s="68">
        <v>11</v>
      </c>
      <c r="Q91" s="70"/>
      <c r="R91" s="68">
        <v>0</v>
      </c>
      <c r="S91" s="70"/>
      <c r="T91" s="68">
        <v>0</v>
      </c>
      <c r="U91" s="70"/>
      <c r="V91" s="68">
        <v>0</v>
      </c>
      <c r="W91" s="70"/>
      <c r="X91" s="80">
        <v>11</v>
      </c>
      <c r="Y91" s="82"/>
    </row>
    <row r="92" spans="1:28" ht="18" customHeight="1" x14ac:dyDescent="0.3">
      <c r="A92" s="106" t="s">
        <v>44</v>
      </c>
      <c r="B92" s="107"/>
      <c r="C92" s="107"/>
      <c r="D92" s="107"/>
      <c r="E92" s="107"/>
      <c r="F92" s="107"/>
      <c r="G92" s="107"/>
      <c r="H92" s="107"/>
      <c r="I92" s="108"/>
      <c r="J92" s="68">
        <v>82</v>
      </c>
      <c r="K92" s="70"/>
      <c r="L92" s="68">
        <v>1</v>
      </c>
      <c r="M92" s="70"/>
      <c r="N92" s="68">
        <v>1</v>
      </c>
      <c r="O92" s="70"/>
      <c r="P92" s="68">
        <v>84</v>
      </c>
      <c r="Q92" s="70"/>
      <c r="R92" s="68">
        <v>0</v>
      </c>
      <c r="S92" s="70"/>
      <c r="T92" s="68">
        <v>3</v>
      </c>
      <c r="U92" s="70"/>
      <c r="V92" s="68">
        <v>11</v>
      </c>
      <c r="W92" s="70"/>
      <c r="X92" s="80">
        <v>98</v>
      </c>
      <c r="Y92" s="82"/>
    </row>
    <row r="93" spans="1:28" ht="18" customHeight="1" x14ac:dyDescent="0.3">
      <c r="A93" s="106" t="s">
        <v>7</v>
      </c>
      <c r="B93" s="107"/>
      <c r="C93" s="107"/>
      <c r="D93" s="107"/>
      <c r="E93" s="107"/>
      <c r="F93" s="107"/>
      <c r="G93" s="107"/>
      <c r="H93" s="107"/>
      <c r="I93" s="108"/>
      <c r="J93" s="68">
        <v>384</v>
      </c>
      <c r="K93" s="70"/>
      <c r="L93" s="68">
        <v>29</v>
      </c>
      <c r="M93" s="70"/>
      <c r="N93" s="68">
        <v>1</v>
      </c>
      <c r="O93" s="70"/>
      <c r="P93" s="68">
        <v>414</v>
      </c>
      <c r="Q93" s="70"/>
      <c r="R93" s="68">
        <v>0</v>
      </c>
      <c r="S93" s="70"/>
      <c r="T93" s="68">
        <v>4</v>
      </c>
      <c r="U93" s="70"/>
      <c r="V93" s="68">
        <v>21</v>
      </c>
      <c r="W93" s="70"/>
      <c r="X93" s="80">
        <v>439</v>
      </c>
      <c r="Y93" s="82"/>
    </row>
    <row r="94" spans="1:28" ht="15.6" x14ac:dyDescent="0.3">
      <c r="A94" s="4" t="s">
        <v>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"/>
      <c r="S94" s="6"/>
      <c r="T94" s="6"/>
      <c r="U94" s="6"/>
      <c r="V94" s="6"/>
      <c r="W94" s="6"/>
      <c r="X94" s="6"/>
      <c r="Y94" s="7"/>
    </row>
    <row r="95" spans="1:28" x14ac:dyDescent="0.25">
      <c r="A95" s="71"/>
      <c r="B95" s="72"/>
      <c r="C95" s="72"/>
      <c r="D95" s="72"/>
      <c r="E95" s="72"/>
      <c r="F95" s="72"/>
      <c r="G95" s="73"/>
      <c r="H95" s="68" t="s">
        <v>0</v>
      </c>
      <c r="I95" s="69"/>
      <c r="J95" s="136" t="s">
        <v>1</v>
      </c>
      <c r="K95" s="69"/>
      <c r="L95" s="134" t="s">
        <v>2</v>
      </c>
      <c r="M95" s="69"/>
      <c r="N95" s="134" t="s">
        <v>3</v>
      </c>
      <c r="O95" s="69"/>
      <c r="P95" s="134" t="s">
        <v>4</v>
      </c>
      <c r="Q95" s="135"/>
      <c r="R95" s="134" t="s">
        <v>5</v>
      </c>
      <c r="S95" s="69"/>
      <c r="T95" s="134" t="s">
        <v>6</v>
      </c>
      <c r="U95" s="69"/>
      <c r="V95" s="134" t="s">
        <v>46</v>
      </c>
      <c r="W95" s="69"/>
      <c r="X95" s="134" t="s">
        <v>7</v>
      </c>
      <c r="Y95" s="135"/>
      <c r="Z95" s="8"/>
      <c r="AA95" s="9"/>
      <c r="AB95" s="9"/>
    </row>
    <row r="96" spans="1:28" x14ac:dyDescent="0.25">
      <c r="A96" s="74"/>
      <c r="B96" s="75"/>
      <c r="C96" s="75"/>
      <c r="D96" s="75"/>
      <c r="E96" s="75"/>
      <c r="F96" s="75"/>
      <c r="G96" s="76"/>
      <c r="H96" s="10" t="s">
        <v>10</v>
      </c>
      <c r="I96" s="10" t="s">
        <v>11</v>
      </c>
      <c r="J96" s="10" t="s">
        <v>10</v>
      </c>
      <c r="K96" s="10" t="s">
        <v>11</v>
      </c>
      <c r="L96" s="10" t="s">
        <v>10</v>
      </c>
      <c r="M96" s="10" t="s">
        <v>11</v>
      </c>
      <c r="N96" s="10" t="s">
        <v>10</v>
      </c>
      <c r="O96" s="10" t="s">
        <v>11</v>
      </c>
      <c r="P96" s="10" t="s">
        <v>10</v>
      </c>
      <c r="Q96" s="10" t="s">
        <v>11</v>
      </c>
      <c r="R96" s="10" t="s">
        <v>10</v>
      </c>
      <c r="S96" s="10" t="s">
        <v>11</v>
      </c>
      <c r="T96" s="10" t="s">
        <v>10</v>
      </c>
      <c r="U96" s="10" t="s">
        <v>11</v>
      </c>
      <c r="V96" s="10" t="s">
        <v>10</v>
      </c>
      <c r="W96" s="10" t="s">
        <v>11</v>
      </c>
      <c r="X96" s="10" t="s">
        <v>10</v>
      </c>
      <c r="Y96" s="10" t="s">
        <v>11</v>
      </c>
    </row>
    <row r="97" spans="1:25" ht="18" customHeight="1" x14ac:dyDescent="0.25">
      <c r="A97" s="106" t="s">
        <v>41</v>
      </c>
      <c r="B97" s="107"/>
      <c r="C97" s="107"/>
      <c r="D97" s="107"/>
      <c r="E97" s="107"/>
      <c r="F97" s="107"/>
      <c r="G97" s="108"/>
      <c r="H97" s="10">
        <v>0</v>
      </c>
      <c r="I97" s="10">
        <v>0</v>
      </c>
      <c r="J97" s="10">
        <v>0</v>
      </c>
      <c r="K97" s="10">
        <v>5</v>
      </c>
      <c r="L97" s="10">
        <v>21</v>
      </c>
      <c r="M97" s="10">
        <v>33</v>
      </c>
      <c r="N97" s="10">
        <v>16</v>
      </c>
      <c r="O97" s="10">
        <v>9</v>
      </c>
      <c r="P97" s="10">
        <v>15</v>
      </c>
      <c r="Q97" s="10">
        <v>13</v>
      </c>
      <c r="R97" s="10">
        <v>16</v>
      </c>
      <c r="S97" s="10">
        <v>8</v>
      </c>
      <c r="T97" s="10">
        <v>6</v>
      </c>
      <c r="U97" s="10">
        <v>3</v>
      </c>
      <c r="V97" s="10">
        <v>4</v>
      </c>
      <c r="W97" s="10">
        <v>4</v>
      </c>
      <c r="X97" s="10">
        <v>78</v>
      </c>
      <c r="Y97" s="10">
        <v>75</v>
      </c>
    </row>
    <row r="98" spans="1:25" ht="18" customHeight="1" x14ac:dyDescent="0.25">
      <c r="A98" s="106" t="s">
        <v>42</v>
      </c>
      <c r="B98" s="107"/>
      <c r="C98" s="107"/>
      <c r="D98" s="107"/>
      <c r="E98" s="107"/>
      <c r="F98" s="107"/>
      <c r="G98" s="108"/>
      <c r="H98" s="10">
        <v>6</v>
      </c>
      <c r="I98" s="10">
        <v>2</v>
      </c>
      <c r="J98" s="10">
        <v>9</v>
      </c>
      <c r="K98" s="10">
        <v>12</v>
      </c>
      <c r="L98" s="10">
        <v>7</v>
      </c>
      <c r="M98" s="10">
        <v>18</v>
      </c>
      <c r="N98" s="10">
        <v>17</v>
      </c>
      <c r="O98" s="10">
        <v>9</v>
      </c>
      <c r="P98" s="10">
        <v>11</v>
      </c>
      <c r="Q98" s="10">
        <v>7</v>
      </c>
      <c r="R98" s="10">
        <v>10</v>
      </c>
      <c r="S98" s="10">
        <v>10</v>
      </c>
      <c r="T98" s="10">
        <v>18</v>
      </c>
      <c r="U98" s="10">
        <v>5</v>
      </c>
      <c r="V98" s="10">
        <v>15</v>
      </c>
      <c r="W98" s="10">
        <v>10</v>
      </c>
      <c r="X98" s="10">
        <v>93</v>
      </c>
      <c r="Y98" s="10">
        <v>73</v>
      </c>
    </row>
    <row r="99" spans="1:25" ht="18" customHeight="1" x14ac:dyDescent="0.25">
      <c r="A99" s="106" t="s">
        <v>43</v>
      </c>
      <c r="B99" s="107"/>
      <c r="C99" s="107"/>
      <c r="D99" s="107"/>
      <c r="E99" s="107"/>
      <c r="F99" s="107"/>
      <c r="G99" s="108"/>
      <c r="H99" s="10">
        <v>0</v>
      </c>
      <c r="I99" s="10">
        <v>0</v>
      </c>
      <c r="J99" s="10">
        <v>0</v>
      </c>
      <c r="K99" s="10">
        <v>0</v>
      </c>
      <c r="L99" s="10">
        <v>1</v>
      </c>
      <c r="M99" s="10">
        <v>1</v>
      </c>
      <c r="N99" s="10">
        <v>2</v>
      </c>
      <c r="O99" s="10">
        <v>1</v>
      </c>
      <c r="P99" s="10">
        <v>0</v>
      </c>
      <c r="Q99" s="10">
        <v>1</v>
      </c>
      <c r="R99" s="10">
        <v>1</v>
      </c>
      <c r="S99" s="10">
        <v>1</v>
      </c>
      <c r="T99" s="10">
        <v>1</v>
      </c>
      <c r="U99" s="10">
        <v>1</v>
      </c>
      <c r="V99" s="10">
        <v>0</v>
      </c>
      <c r="W99" s="10">
        <v>1</v>
      </c>
      <c r="X99" s="10">
        <v>5</v>
      </c>
      <c r="Y99" s="10">
        <v>6</v>
      </c>
    </row>
    <row r="100" spans="1:25" ht="18" customHeight="1" x14ac:dyDescent="0.25">
      <c r="A100" s="106" t="s">
        <v>44</v>
      </c>
      <c r="B100" s="107"/>
      <c r="C100" s="107"/>
      <c r="D100" s="107"/>
      <c r="E100" s="107"/>
      <c r="F100" s="107"/>
      <c r="G100" s="108"/>
      <c r="H100" s="10">
        <v>0</v>
      </c>
      <c r="I100" s="10">
        <v>1</v>
      </c>
      <c r="J100" s="10">
        <v>5</v>
      </c>
      <c r="K100" s="10">
        <v>6</v>
      </c>
      <c r="L100" s="10">
        <v>12</v>
      </c>
      <c r="M100" s="10">
        <v>11</v>
      </c>
      <c r="N100" s="10">
        <v>4</v>
      </c>
      <c r="O100" s="10">
        <v>9</v>
      </c>
      <c r="P100" s="10">
        <v>6</v>
      </c>
      <c r="Q100" s="10">
        <v>10</v>
      </c>
      <c r="R100" s="10">
        <v>7</v>
      </c>
      <c r="S100" s="10">
        <v>3</v>
      </c>
      <c r="T100" s="10">
        <v>5</v>
      </c>
      <c r="U100" s="10">
        <v>1</v>
      </c>
      <c r="V100" s="10">
        <v>3</v>
      </c>
      <c r="W100" s="10">
        <v>1</v>
      </c>
      <c r="X100" s="10">
        <v>42</v>
      </c>
      <c r="Y100" s="10">
        <v>42</v>
      </c>
    </row>
    <row r="101" spans="1:25" ht="18" customHeight="1" x14ac:dyDescent="0.25">
      <c r="A101" s="106" t="s">
        <v>7</v>
      </c>
      <c r="B101" s="107"/>
      <c r="C101" s="107"/>
      <c r="D101" s="107"/>
      <c r="E101" s="107"/>
      <c r="F101" s="107"/>
      <c r="G101" s="108"/>
      <c r="H101" s="10">
        <v>6</v>
      </c>
      <c r="I101" s="10">
        <v>3</v>
      </c>
      <c r="J101" s="10">
        <v>14</v>
      </c>
      <c r="K101" s="10">
        <v>23</v>
      </c>
      <c r="L101" s="10">
        <v>41</v>
      </c>
      <c r="M101" s="10">
        <v>63</v>
      </c>
      <c r="N101" s="10">
        <v>39</v>
      </c>
      <c r="O101" s="10">
        <v>28</v>
      </c>
      <c r="P101" s="10">
        <v>32</v>
      </c>
      <c r="Q101" s="10">
        <v>31</v>
      </c>
      <c r="R101" s="10">
        <v>34</v>
      </c>
      <c r="S101" s="10">
        <v>22</v>
      </c>
      <c r="T101" s="10">
        <v>30</v>
      </c>
      <c r="U101" s="10">
        <v>10</v>
      </c>
      <c r="V101" s="10">
        <v>22</v>
      </c>
      <c r="W101" s="10">
        <v>16</v>
      </c>
      <c r="X101" s="10">
        <v>218</v>
      </c>
      <c r="Y101" s="10">
        <v>196</v>
      </c>
    </row>
    <row r="102" spans="1:25" ht="6.75" customHeight="1" x14ac:dyDescent="0.25">
      <c r="A102" s="11"/>
      <c r="B102" s="12"/>
      <c r="C102" s="12"/>
      <c r="D102" s="12"/>
      <c r="E102" s="12"/>
      <c r="F102" s="13"/>
      <c r="G102" s="13"/>
      <c r="H102" s="13"/>
      <c r="I102" s="13"/>
      <c r="J102" s="13"/>
      <c r="K102" s="13"/>
      <c r="L102" s="14"/>
      <c r="M102" s="13"/>
      <c r="N102" s="15"/>
      <c r="O102" s="16"/>
      <c r="P102" s="13"/>
      <c r="Q102" s="13"/>
      <c r="R102" s="13"/>
      <c r="S102" s="13"/>
      <c r="T102" s="13"/>
      <c r="U102" s="13"/>
      <c r="V102" s="13"/>
      <c r="W102" s="13"/>
      <c r="X102" s="13"/>
      <c r="Y102" s="17"/>
    </row>
    <row r="103" spans="1:25" ht="18" customHeight="1" x14ac:dyDescent="0.3">
      <c r="A103" s="18" t="s">
        <v>47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20"/>
      <c r="L103" s="21"/>
      <c r="M103" s="18" t="s">
        <v>48</v>
      </c>
      <c r="N103" s="19"/>
      <c r="O103" s="19"/>
      <c r="P103" s="19"/>
      <c r="Q103" s="22"/>
      <c r="R103" s="22"/>
      <c r="S103" s="22"/>
      <c r="T103" s="22"/>
      <c r="U103" s="22"/>
      <c r="V103" s="22"/>
      <c r="W103" s="22"/>
      <c r="X103" s="22"/>
      <c r="Y103" s="23"/>
    </row>
    <row r="104" spans="1:25" ht="57.75" customHeight="1" x14ac:dyDescent="0.25">
      <c r="A104" s="101" t="s">
        <v>49</v>
      </c>
      <c r="B104" s="101" t="s">
        <v>50</v>
      </c>
      <c r="C104" s="101" t="s">
        <v>51</v>
      </c>
      <c r="D104" s="77" t="s">
        <v>52</v>
      </c>
      <c r="E104" s="78"/>
      <c r="F104" s="77" t="s">
        <v>53</v>
      </c>
      <c r="G104" s="79"/>
      <c r="H104" s="79"/>
      <c r="I104" s="78"/>
      <c r="J104" s="101" t="s">
        <v>54</v>
      </c>
      <c r="K104" s="101" t="s">
        <v>55</v>
      </c>
      <c r="L104" s="24"/>
      <c r="M104" s="86" t="s">
        <v>56</v>
      </c>
      <c r="N104" s="88"/>
      <c r="O104" s="86" t="s">
        <v>57</v>
      </c>
      <c r="P104" s="88"/>
      <c r="Q104" s="86" t="s">
        <v>58</v>
      </c>
      <c r="R104" s="87"/>
      <c r="S104" s="87"/>
      <c r="T104" s="87"/>
      <c r="U104" s="87"/>
      <c r="V104" s="87"/>
      <c r="W104" s="87"/>
      <c r="X104" s="87"/>
      <c r="Y104" s="88"/>
    </row>
    <row r="105" spans="1:25" ht="38.25" customHeight="1" x14ac:dyDescent="0.25">
      <c r="A105" s="102"/>
      <c r="B105" s="102"/>
      <c r="C105" s="102"/>
      <c r="D105" s="25" t="s">
        <v>59</v>
      </c>
      <c r="E105" s="25" t="s">
        <v>60</v>
      </c>
      <c r="F105" s="26" t="s">
        <v>59</v>
      </c>
      <c r="G105" s="26" t="s">
        <v>60</v>
      </c>
      <c r="H105" s="26" t="s">
        <v>61</v>
      </c>
      <c r="I105" s="26" t="s">
        <v>62</v>
      </c>
      <c r="J105" s="102"/>
      <c r="K105" s="102"/>
      <c r="L105" s="24"/>
      <c r="M105" s="91">
        <v>213</v>
      </c>
      <c r="N105" s="92"/>
      <c r="O105" s="91">
        <v>0</v>
      </c>
      <c r="P105" s="92"/>
      <c r="Q105" s="86">
        <v>0</v>
      </c>
      <c r="R105" s="87"/>
      <c r="S105" s="87"/>
      <c r="T105" s="87"/>
      <c r="U105" s="87"/>
      <c r="V105" s="87"/>
      <c r="W105" s="87"/>
      <c r="X105" s="87"/>
      <c r="Y105" s="88"/>
    </row>
    <row r="106" spans="1:25" ht="38.25" customHeight="1" x14ac:dyDescent="0.25">
      <c r="A106" s="164">
        <v>7821</v>
      </c>
      <c r="B106" s="164">
        <v>710</v>
      </c>
      <c r="C106" s="164">
        <v>42</v>
      </c>
      <c r="D106" s="164">
        <v>415</v>
      </c>
      <c r="E106" s="164">
        <v>553</v>
      </c>
      <c r="F106" s="164">
        <v>6</v>
      </c>
      <c r="G106" s="164">
        <v>71</v>
      </c>
      <c r="H106" s="164">
        <v>55</v>
      </c>
      <c r="I106" s="164">
        <v>132</v>
      </c>
      <c r="J106" s="164">
        <v>137</v>
      </c>
      <c r="K106" s="164">
        <v>185</v>
      </c>
      <c r="L106" s="24"/>
      <c r="M106" s="91" t="s">
        <v>63</v>
      </c>
      <c r="N106" s="92"/>
      <c r="O106" s="91" t="s">
        <v>64</v>
      </c>
      <c r="P106" s="92"/>
      <c r="Q106" s="95" t="s">
        <v>65</v>
      </c>
      <c r="R106" s="99"/>
      <c r="S106" s="96"/>
      <c r="T106" s="95" t="s">
        <v>66</v>
      </c>
      <c r="U106" s="99"/>
      <c r="V106" s="99"/>
      <c r="W106" s="99"/>
      <c r="X106" s="99"/>
      <c r="Y106" s="96"/>
    </row>
    <row r="107" spans="1:25" ht="19.5" customHeight="1" x14ac:dyDescent="0.25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27"/>
      <c r="M107" s="91">
        <v>0</v>
      </c>
      <c r="N107" s="92"/>
      <c r="O107" s="91">
        <v>0</v>
      </c>
      <c r="P107" s="92"/>
      <c r="Q107" s="91">
        <v>0</v>
      </c>
      <c r="R107" s="97"/>
      <c r="S107" s="92"/>
      <c r="T107" s="28"/>
      <c r="U107" s="86" t="s">
        <v>0</v>
      </c>
      <c r="V107" s="88"/>
      <c r="W107" s="29" t="s">
        <v>1</v>
      </c>
      <c r="X107" s="86" t="s">
        <v>67</v>
      </c>
      <c r="Y107" s="88"/>
    </row>
    <row r="108" spans="1:25" ht="18" customHeight="1" x14ac:dyDescent="0.25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27"/>
      <c r="M108" s="93"/>
      <c r="N108" s="94"/>
      <c r="O108" s="93"/>
      <c r="P108" s="94"/>
      <c r="Q108" s="93"/>
      <c r="R108" s="98"/>
      <c r="S108" s="94"/>
      <c r="T108" s="30" t="s">
        <v>68</v>
      </c>
      <c r="U108" s="100">
        <v>0</v>
      </c>
      <c r="V108" s="100"/>
      <c r="W108" s="29">
        <v>0</v>
      </c>
      <c r="X108" s="186">
        <v>0</v>
      </c>
      <c r="Y108" s="187"/>
    </row>
    <row r="109" spans="1:25" ht="18" customHeight="1" x14ac:dyDescent="0.25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27"/>
      <c r="M109" s="93"/>
      <c r="N109" s="94"/>
      <c r="O109" s="93"/>
      <c r="P109" s="94"/>
      <c r="Q109" s="93"/>
      <c r="R109" s="98"/>
      <c r="S109" s="94"/>
      <c r="T109" s="30" t="s">
        <v>69</v>
      </c>
      <c r="U109" s="100">
        <v>0</v>
      </c>
      <c r="V109" s="100"/>
      <c r="W109" s="29">
        <v>0</v>
      </c>
      <c r="X109" s="186">
        <v>0</v>
      </c>
      <c r="Y109" s="187"/>
    </row>
    <row r="110" spans="1:25" ht="18" customHeight="1" x14ac:dyDescent="0.25">
      <c r="A110" s="165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27"/>
      <c r="M110" s="95"/>
      <c r="N110" s="96"/>
      <c r="O110" s="95"/>
      <c r="P110" s="96"/>
      <c r="Q110" s="95"/>
      <c r="R110" s="99"/>
      <c r="S110" s="96"/>
      <c r="T110" s="30" t="s">
        <v>70</v>
      </c>
      <c r="U110" s="100">
        <v>0</v>
      </c>
      <c r="V110" s="100"/>
      <c r="W110" s="29">
        <v>0</v>
      </c>
      <c r="X110" s="186">
        <v>0</v>
      </c>
      <c r="Y110" s="187"/>
    </row>
    <row r="111" spans="1:25" ht="8.25" customHeight="1" x14ac:dyDescent="0.25">
      <c r="A111" s="31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3"/>
      <c r="M111" s="32"/>
      <c r="N111" s="32"/>
      <c r="O111" s="32"/>
      <c r="P111" s="32"/>
      <c r="Q111" s="32"/>
      <c r="R111" s="34"/>
      <c r="S111" s="34"/>
      <c r="T111" s="34"/>
      <c r="U111" s="34"/>
      <c r="V111" s="34"/>
      <c r="W111" s="32"/>
      <c r="X111" s="32"/>
      <c r="Y111" s="7"/>
    </row>
    <row r="112" spans="1:25" ht="18" customHeight="1" x14ac:dyDescent="0.3">
      <c r="A112" s="18" t="s">
        <v>71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20"/>
      <c r="L112" s="35"/>
      <c r="M112" s="18" t="s">
        <v>72</v>
      </c>
      <c r="N112" s="20"/>
      <c r="O112" s="36"/>
      <c r="P112" s="19"/>
      <c r="Q112" s="19"/>
      <c r="R112" s="19"/>
      <c r="S112" s="19"/>
      <c r="T112" s="19"/>
      <c r="U112" s="19"/>
      <c r="V112" s="19"/>
      <c r="W112" s="22"/>
      <c r="X112" s="22"/>
      <c r="Y112" s="37"/>
    </row>
    <row r="113" spans="1:25" ht="57" customHeight="1" x14ac:dyDescent="0.25">
      <c r="A113" s="71"/>
      <c r="B113" s="72"/>
      <c r="C113" s="72"/>
      <c r="D113" s="72"/>
      <c r="E113" s="73"/>
      <c r="F113" s="68" t="s">
        <v>12</v>
      </c>
      <c r="G113" s="70"/>
      <c r="H113" s="68" t="s">
        <v>13</v>
      </c>
      <c r="I113" s="70"/>
      <c r="J113" s="38" t="s">
        <v>73</v>
      </c>
      <c r="K113" s="39"/>
      <c r="L113" s="40"/>
      <c r="M113" s="77" t="s">
        <v>74</v>
      </c>
      <c r="N113" s="78"/>
      <c r="O113" s="77" t="s">
        <v>75</v>
      </c>
      <c r="P113" s="78"/>
      <c r="Q113" s="77" t="s">
        <v>76</v>
      </c>
      <c r="R113" s="78"/>
      <c r="S113" s="77" t="s">
        <v>77</v>
      </c>
      <c r="T113" s="79"/>
      <c r="U113" s="79"/>
      <c r="V113" s="78"/>
      <c r="W113" s="77" t="s">
        <v>78</v>
      </c>
      <c r="X113" s="79"/>
      <c r="Y113" s="78"/>
    </row>
    <row r="114" spans="1:25" ht="13.5" customHeight="1" x14ac:dyDescent="0.25">
      <c r="A114" s="74"/>
      <c r="B114" s="75"/>
      <c r="C114" s="75"/>
      <c r="D114" s="75"/>
      <c r="E114" s="76"/>
      <c r="F114" s="10" t="s">
        <v>79</v>
      </c>
      <c r="G114" s="10" t="s">
        <v>14</v>
      </c>
      <c r="H114" s="10" t="s">
        <v>79</v>
      </c>
      <c r="I114" s="10" t="s">
        <v>14</v>
      </c>
      <c r="J114" s="10" t="s">
        <v>79</v>
      </c>
      <c r="K114" s="10" t="s">
        <v>14</v>
      </c>
      <c r="L114" s="41"/>
      <c r="M114" s="42" t="s">
        <v>80</v>
      </c>
      <c r="N114" s="42" t="s">
        <v>81</v>
      </c>
      <c r="O114" s="42" t="s">
        <v>80</v>
      </c>
      <c r="P114" s="43" t="s">
        <v>81</v>
      </c>
      <c r="Q114" s="42" t="s">
        <v>80</v>
      </c>
      <c r="R114" s="42" t="s">
        <v>81</v>
      </c>
      <c r="S114" s="44"/>
      <c r="T114" s="42" t="s">
        <v>0</v>
      </c>
      <c r="U114" s="45" t="s">
        <v>1</v>
      </c>
      <c r="V114" s="46" t="s">
        <v>82</v>
      </c>
      <c r="W114" s="42" t="s">
        <v>0</v>
      </c>
      <c r="X114" s="45" t="s">
        <v>1</v>
      </c>
      <c r="Y114" s="46" t="s">
        <v>82</v>
      </c>
    </row>
    <row r="115" spans="1:25" ht="18" customHeight="1" x14ac:dyDescent="0.3">
      <c r="A115" s="80" t="s">
        <v>83</v>
      </c>
      <c r="B115" s="81"/>
      <c r="C115" s="81"/>
      <c r="D115" s="81"/>
      <c r="E115" s="82"/>
      <c r="F115" s="10">
        <v>134</v>
      </c>
      <c r="G115" s="10">
        <v>1</v>
      </c>
      <c r="H115" s="10">
        <v>0</v>
      </c>
      <c r="I115" s="10">
        <v>0</v>
      </c>
      <c r="J115" s="10">
        <v>0</v>
      </c>
      <c r="K115" s="10">
        <v>0</v>
      </c>
      <c r="L115" s="41"/>
      <c r="M115" s="83">
        <v>140</v>
      </c>
      <c r="N115" s="83">
        <v>778</v>
      </c>
      <c r="O115" s="83">
        <v>53</v>
      </c>
      <c r="P115" s="83">
        <v>337</v>
      </c>
      <c r="Q115" s="83">
        <v>2</v>
      </c>
      <c r="R115" s="83">
        <v>14</v>
      </c>
      <c r="S115" s="47" t="s">
        <v>68</v>
      </c>
      <c r="T115" s="48">
        <v>0</v>
      </c>
      <c r="U115" s="48">
        <v>0</v>
      </c>
      <c r="V115" s="48">
        <v>0</v>
      </c>
      <c r="W115" s="48">
        <v>0</v>
      </c>
      <c r="X115" s="48">
        <v>0</v>
      </c>
      <c r="Y115" s="48">
        <v>0</v>
      </c>
    </row>
    <row r="116" spans="1:25" ht="18" customHeight="1" x14ac:dyDescent="0.3">
      <c r="A116" s="80" t="s">
        <v>8</v>
      </c>
      <c r="B116" s="81"/>
      <c r="C116" s="81"/>
      <c r="D116" s="81"/>
      <c r="E116" s="82"/>
      <c r="F116" s="10">
        <v>12</v>
      </c>
      <c r="G116" s="10">
        <v>1</v>
      </c>
      <c r="H116" s="10">
        <v>0</v>
      </c>
      <c r="I116" s="10">
        <v>0</v>
      </c>
      <c r="J116" s="10">
        <v>0</v>
      </c>
      <c r="K116" s="10">
        <v>0</v>
      </c>
      <c r="L116" s="41"/>
      <c r="M116" s="84"/>
      <c r="N116" s="84"/>
      <c r="O116" s="84"/>
      <c r="P116" s="84"/>
      <c r="Q116" s="84"/>
      <c r="R116" s="84"/>
      <c r="S116" s="47" t="s">
        <v>69</v>
      </c>
      <c r="T116" s="48">
        <v>0</v>
      </c>
      <c r="U116" s="48">
        <v>0</v>
      </c>
      <c r="V116" s="48">
        <v>0</v>
      </c>
      <c r="W116" s="48">
        <v>0</v>
      </c>
      <c r="X116" s="48">
        <v>0</v>
      </c>
      <c r="Y116" s="48">
        <v>0</v>
      </c>
    </row>
    <row r="117" spans="1:25" ht="18" customHeight="1" x14ac:dyDescent="0.25">
      <c r="A117" s="86" t="s">
        <v>84</v>
      </c>
      <c r="B117" s="87"/>
      <c r="C117" s="87"/>
      <c r="D117" s="87"/>
      <c r="E117" s="88"/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41"/>
      <c r="M117" s="84"/>
      <c r="N117" s="84"/>
      <c r="O117" s="84"/>
      <c r="P117" s="84"/>
      <c r="Q117" s="84"/>
      <c r="R117" s="84"/>
      <c r="S117" s="89" t="s">
        <v>70</v>
      </c>
      <c r="T117" s="83">
        <v>0</v>
      </c>
      <c r="U117" s="83">
        <v>0</v>
      </c>
      <c r="V117" s="83">
        <v>0</v>
      </c>
      <c r="W117" s="83">
        <v>0</v>
      </c>
      <c r="X117" s="83">
        <v>0</v>
      </c>
      <c r="Y117" s="83">
        <v>0</v>
      </c>
    </row>
    <row r="118" spans="1:25" ht="18" customHeight="1" x14ac:dyDescent="0.25">
      <c r="A118" s="68" t="s">
        <v>7</v>
      </c>
      <c r="B118" s="69"/>
      <c r="C118" s="69"/>
      <c r="D118" s="69"/>
      <c r="E118" s="70"/>
      <c r="F118" s="10">
        <v>146</v>
      </c>
      <c r="G118" s="10">
        <v>2</v>
      </c>
      <c r="H118" s="10">
        <v>0</v>
      </c>
      <c r="I118" s="10">
        <v>0</v>
      </c>
      <c r="J118" s="10">
        <v>0</v>
      </c>
      <c r="K118" s="10">
        <v>0</v>
      </c>
      <c r="L118" s="41"/>
      <c r="M118" s="85"/>
      <c r="N118" s="85"/>
      <c r="O118" s="85"/>
      <c r="P118" s="85"/>
      <c r="Q118" s="85"/>
      <c r="R118" s="85"/>
      <c r="S118" s="90"/>
      <c r="T118" s="85"/>
      <c r="U118" s="85"/>
      <c r="V118" s="85"/>
      <c r="W118" s="85"/>
      <c r="X118" s="85"/>
      <c r="Y118" s="85"/>
    </row>
    <row r="119" spans="1:25" ht="23.4" x14ac:dyDescent="0.45">
      <c r="A119" s="120" t="s">
        <v>17</v>
      </c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</row>
    <row r="120" spans="1:25" ht="23.4" x14ac:dyDescent="0.25">
      <c r="A120" s="111" t="s">
        <v>18</v>
      </c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"/>
      <c r="U120" s="112" t="s">
        <v>19</v>
      </c>
      <c r="V120" s="112"/>
      <c r="W120" s="1"/>
      <c r="X120" s="1"/>
      <c r="Y120" s="1"/>
    </row>
    <row r="121" spans="1:25" ht="30.9" customHeight="1" x14ac:dyDescent="0.25">
      <c r="A121" s="113" t="s">
        <v>20</v>
      </c>
      <c r="B121" s="113"/>
      <c r="C121" s="113"/>
      <c r="D121" s="113"/>
      <c r="E121" s="117" t="s">
        <v>21</v>
      </c>
      <c r="F121" s="117"/>
      <c r="G121" s="117"/>
      <c r="H121" s="116" t="s">
        <v>22</v>
      </c>
      <c r="I121" s="116"/>
      <c r="J121" s="115">
        <v>0</v>
      </c>
      <c r="K121" s="115"/>
      <c r="L121" s="116" t="s">
        <v>23</v>
      </c>
      <c r="M121" s="116"/>
      <c r="N121" s="188" t="s">
        <v>15</v>
      </c>
      <c r="O121" s="188"/>
      <c r="P121" s="188"/>
      <c r="Q121" s="118" t="s">
        <v>24</v>
      </c>
      <c r="R121" s="118"/>
      <c r="S121" s="118"/>
      <c r="T121" s="118"/>
      <c r="U121" s="119" t="s">
        <v>87</v>
      </c>
      <c r="V121" s="119"/>
      <c r="W121" s="119"/>
      <c r="X121" s="147" t="s">
        <v>93</v>
      </c>
      <c r="Y121" s="147"/>
    </row>
    <row r="122" spans="1:25" ht="15" customHeight="1" x14ac:dyDescent="0.25">
      <c r="Q122" s="118"/>
      <c r="R122" s="118"/>
      <c r="S122" s="118"/>
      <c r="T122" s="118"/>
      <c r="U122" s="119"/>
      <c r="V122" s="119"/>
      <c r="W122" s="119"/>
      <c r="X122" s="147"/>
      <c r="Y122" s="147"/>
    </row>
    <row r="123" spans="1:25" ht="15.6" x14ac:dyDescent="0.3">
      <c r="A123" s="166" t="s">
        <v>26</v>
      </c>
      <c r="B123" s="166"/>
      <c r="C123" s="166"/>
      <c r="D123" s="166"/>
      <c r="E123" s="166"/>
      <c r="F123" s="166"/>
      <c r="G123" s="167" t="s">
        <v>27</v>
      </c>
      <c r="H123" s="167"/>
      <c r="I123" s="167"/>
      <c r="J123" s="167"/>
      <c r="K123" s="167"/>
      <c r="L123" s="167"/>
      <c r="M123" s="167"/>
      <c r="N123" s="2"/>
      <c r="Q123" s="168" t="s">
        <v>28</v>
      </c>
      <c r="R123" s="168"/>
      <c r="S123" s="168"/>
      <c r="T123" s="168"/>
      <c r="U123" s="168"/>
      <c r="V123" s="148" t="s">
        <v>29</v>
      </c>
      <c r="W123" s="148"/>
      <c r="X123" s="148"/>
      <c r="Y123" s="148"/>
    </row>
    <row r="124" spans="1:2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 customHeight="1" x14ac:dyDescent="0.25">
      <c r="A125" s="149" t="s">
        <v>31</v>
      </c>
      <c r="B125" s="150"/>
      <c r="C125" s="150"/>
      <c r="D125" s="150"/>
      <c r="E125" s="150"/>
      <c r="F125" s="150"/>
      <c r="G125" s="150"/>
      <c r="H125" s="150"/>
      <c r="I125" s="151"/>
      <c r="J125" s="152" t="s">
        <v>32</v>
      </c>
      <c r="K125" s="153"/>
      <c r="L125" s="152" t="s">
        <v>33</v>
      </c>
      <c r="M125" s="153"/>
      <c r="N125" s="91" t="s">
        <v>34</v>
      </c>
      <c r="O125" s="92"/>
      <c r="P125" s="152" t="s">
        <v>35</v>
      </c>
      <c r="Q125" s="153"/>
      <c r="R125" s="68" t="s">
        <v>36</v>
      </c>
      <c r="S125" s="69"/>
      <c r="T125" s="69"/>
      <c r="U125" s="69"/>
      <c r="V125" s="69"/>
      <c r="W125" s="70"/>
      <c r="X125" s="152" t="s">
        <v>7</v>
      </c>
      <c r="Y125" s="153"/>
    </row>
    <row r="126" spans="1:25" ht="23.25" customHeight="1" x14ac:dyDescent="0.25">
      <c r="A126" s="158" t="s">
        <v>37</v>
      </c>
      <c r="B126" s="159"/>
      <c r="C126" s="159"/>
      <c r="D126" s="159"/>
      <c r="E126" s="159"/>
      <c r="F126" s="159"/>
      <c r="G126" s="159"/>
      <c r="H126" s="159"/>
      <c r="I126" s="160"/>
      <c r="J126" s="154"/>
      <c r="K126" s="155"/>
      <c r="L126" s="154"/>
      <c r="M126" s="155"/>
      <c r="N126" s="93"/>
      <c r="O126" s="94"/>
      <c r="P126" s="154"/>
      <c r="Q126" s="155"/>
      <c r="R126" s="164" t="s">
        <v>38</v>
      </c>
      <c r="S126" s="164"/>
      <c r="T126" s="164" t="s">
        <v>39</v>
      </c>
      <c r="U126" s="164"/>
      <c r="V126" s="164" t="s">
        <v>40</v>
      </c>
      <c r="W126" s="164"/>
      <c r="X126" s="154"/>
      <c r="Y126" s="155"/>
    </row>
    <row r="127" spans="1:25" x14ac:dyDescent="0.25">
      <c r="A127" s="161"/>
      <c r="B127" s="162"/>
      <c r="C127" s="162"/>
      <c r="D127" s="162"/>
      <c r="E127" s="162"/>
      <c r="F127" s="162"/>
      <c r="G127" s="162"/>
      <c r="H127" s="162"/>
      <c r="I127" s="163"/>
      <c r="J127" s="156"/>
      <c r="K127" s="157"/>
      <c r="L127" s="156"/>
      <c r="M127" s="157"/>
      <c r="N127" s="95"/>
      <c r="O127" s="96"/>
      <c r="P127" s="156"/>
      <c r="Q127" s="157"/>
      <c r="R127" s="165"/>
      <c r="S127" s="165"/>
      <c r="T127" s="165"/>
      <c r="U127" s="165"/>
      <c r="V127" s="165"/>
      <c r="W127" s="165"/>
      <c r="X127" s="156"/>
      <c r="Y127" s="157"/>
    </row>
    <row r="128" spans="1:25" ht="18" customHeight="1" x14ac:dyDescent="0.3">
      <c r="A128" s="106" t="s">
        <v>41</v>
      </c>
      <c r="B128" s="107"/>
      <c r="C128" s="107"/>
      <c r="D128" s="107"/>
      <c r="E128" s="107"/>
      <c r="F128" s="107"/>
      <c r="G128" s="107"/>
      <c r="H128" s="107"/>
      <c r="I128" s="108"/>
      <c r="J128" s="170">
        <v>134</v>
      </c>
      <c r="K128" s="171"/>
      <c r="L128" s="170">
        <v>25</v>
      </c>
      <c r="M128" s="171"/>
      <c r="N128" s="170">
        <v>0</v>
      </c>
      <c r="O128" s="171"/>
      <c r="P128" s="170">
        <v>159</v>
      </c>
      <c r="Q128" s="171"/>
      <c r="R128" s="170">
        <v>0</v>
      </c>
      <c r="S128" s="171"/>
      <c r="T128" s="170">
        <v>0</v>
      </c>
      <c r="U128" s="171"/>
      <c r="V128" s="170">
        <v>2</v>
      </c>
      <c r="W128" s="171"/>
      <c r="X128" s="172">
        <v>161</v>
      </c>
      <c r="Y128" s="173"/>
    </row>
    <row r="129" spans="1:28" ht="18" customHeight="1" x14ac:dyDescent="0.3">
      <c r="A129" s="106" t="s">
        <v>42</v>
      </c>
      <c r="B129" s="107"/>
      <c r="C129" s="107"/>
      <c r="D129" s="107"/>
      <c r="E129" s="107"/>
      <c r="F129" s="107"/>
      <c r="G129" s="107"/>
      <c r="H129" s="107"/>
      <c r="I129" s="108"/>
      <c r="J129" s="170">
        <v>146</v>
      </c>
      <c r="K129" s="171"/>
      <c r="L129" s="170">
        <v>24</v>
      </c>
      <c r="M129" s="171"/>
      <c r="N129" s="170">
        <v>1</v>
      </c>
      <c r="O129" s="171"/>
      <c r="P129" s="170">
        <v>171</v>
      </c>
      <c r="Q129" s="171"/>
      <c r="R129" s="170">
        <v>0</v>
      </c>
      <c r="S129" s="171"/>
      <c r="T129" s="170">
        <v>0</v>
      </c>
      <c r="U129" s="171"/>
      <c r="V129" s="170">
        <v>1</v>
      </c>
      <c r="W129" s="171"/>
      <c r="X129" s="172">
        <v>172</v>
      </c>
      <c r="Y129" s="173"/>
    </row>
    <row r="130" spans="1:28" ht="18" customHeight="1" x14ac:dyDescent="0.3">
      <c r="A130" s="106" t="s">
        <v>43</v>
      </c>
      <c r="B130" s="107"/>
      <c r="C130" s="107"/>
      <c r="D130" s="107"/>
      <c r="E130" s="107"/>
      <c r="F130" s="107"/>
      <c r="G130" s="107"/>
      <c r="H130" s="107"/>
      <c r="I130" s="108"/>
      <c r="J130" s="170">
        <v>2</v>
      </c>
      <c r="K130" s="171"/>
      <c r="L130" s="170">
        <v>0</v>
      </c>
      <c r="M130" s="171"/>
      <c r="N130" s="170">
        <v>0</v>
      </c>
      <c r="O130" s="171"/>
      <c r="P130" s="170">
        <v>2</v>
      </c>
      <c r="Q130" s="171"/>
      <c r="R130" s="170">
        <v>0</v>
      </c>
      <c r="S130" s="171"/>
      <c r="T130" s="170">
        <v>0</v>
      </c>
      <c r="U130" s="171"/>
      <c r="V130" s="170">
        <v>0</v>
      </c>
      <c r="W130" s="171"/>
      <c r="X130" s="172">
        <v>2</v>
      </c>
      <c r="Y130" s="173"/>
    </row>
    <row r="131" spans="1:28" ht="18" customHeight="1" x14ac:dyDescent="0.3">
      <c r="A131" s="106" t="s">
        <v>44</v>
      </c>
      <c r="B131" s="107"/>
      <c r="C131" s="107"/>
      <c r="D131" s="107"/>
      <c r="E131" s="107"/>
      <c r="F131" s="107"/>
      <c r="G131" s="107"/>
      <c r="H131" s="107"/>
      <c r="I131" s="108"/>
      <c r="J131" s="170">
        <v>88</v>
      </c>
      <c r="K131" s="171"/>
      <c r="L131" s="170">
        <v>6</v>
      </c>
      <c r="M131" s="171"/>
      <c r="N131" s="170">
        <v>0</v>
      </c>
      <c r="O131" s="171"/>
      <c r="P131" s="170">
        <v>94</v>
      </c>
      <c r="Q131" s="171"/>
      <c r="R131" s="170">
        <v>0</v>
      </c>
      <c r="S131" s="171"/>
      <c r="T131" s="170">
        <v>0</v>
      </c>
      <c r="U131" s="171"/>
      <c r="V131" s="170">
        <v>13</v>
      </c>
      <c r="W131" s="171"/>
      <c r="X131" s="172">
        <v>107</v>
      </c>
      <c r="Y131" s="173"/>
    </row>
    <row r="132" spans="1:28" ht="18" customHeight="1" x14ac:dyDescent="0.3">
      <c r="A132" s="106" t="s">
        <v>7</v>
      </c>
      <c r="B132" s="107"/>
      <c r="C132" s="107"/>
      <c r="D132" s="107"/>
      <c r="E132" s="107"/>
      <c r="F132" s="107"/>
      <c r="G132" s="107"/>
      <c r="H132" s="107"/>
      <c r="I132" s="108"/>
      <c r="J132" s="170">
        <v>370</v>
      </c>
      <c r="K132" s="171"/>
      <c r="L132" s="170">
        <v>55</v>
      </c>
      <c r="M132" s="171"/>
      <c r="N132" s="170">
        <v>1</v>
      </c>
      <c r="O132" s="171"/>
      <c r="P132" s="170">
        <v>426</v>
      </c>
      <c r="Q132" s="171"/>
      <c r="R132" s="170">
        <v>0</v>
      </c>
      <c r="S132" s="171"/>
      <c r="T132" s="170">
        <v>0</v>
      </c>
      <c r="U132" s="171"/>
      <c r="V132" s="170">
        <v>16</v>
      </c>
      <c r="W132" s="171"/>
      <c r="X132" s="172">
        <v>442</v>
      </c>
      <c r="Y132" s="173"/>
    </row>
    <row r="133" spans="1:28" ht="15.6" x14ac:dyDescent="0.3">
      <c r="A133" s="4" t="s">
        <v>45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"/>
      <c r="S133" s="6"/>
      <c r="T133" s="6"/>
      <c r="U133" s="6"/>
      <c r="V133" s="6"/>
      <c r="W133" s="6"/>
      <c r="X133" s="6"/>
      <c r="Y133" s="7"/>
    </row>
    <row r="134" spans="1:28" x14ac:dyDescent="0.25">
      <c r="A134" s="71"/>
      <c r="B134" s="72"/>
      <c r="C134" s="72"/>
      <c r="D134" s="72"/>
      <c r="E134" s="72"/>
      <c r="F134" s="72"/>
      <c r="G134" s="73"/>
      <c r="H134" s="68" t="s">
        <v>0</v>
      </c>
      <c r="I134" s="69"/>
      <c r="J134" s="136" t="s">
        <v>1</v>
      </c>
      <c r="K134" s="69"/>
      <c r="L134" s="134" t="s">
        <v>2</v>
      </c>
      <c r="M134" s="69"/>
      <c r="N134" s="134" t="s">
        <v>3</v>
      </c>
      <c r="O134" s="69"/>
      <c r="P134" s="134" t="s">
        <v>4</v>
      </c>
      <c r="Q134" s="135"/>
      <c r="R134" s="134" t="s">
        <v>5</v>
      </c>
      <c r="S134" s="69"/>
      <c r="T134" s="134" t="s">
        <v>6</v>
      </c>
      <c r="U134" s="69"/>
      <c r="V134" s="134" t="s">
        <v>46</v>
      </c>
      <c r="W134" s="69"/>
      <c r="X134" s="134" t="s">
        <v>7</v>
      </c>
      <c r="Y134" s="135"/>
      <c r="Z134" s="8"/>
      <c r="AA134" s="9"/>
      <c r="AB134" s="9"/>
    </row>
    <row r="135" spans="1:28" x14ac:dyDescent="0.25">
      <c r="A135" s="74"/>
      <c r="B135" s="75"/>
      <c r="C135" s="75"/>
      <c r="D135" s="75"/>
      <c r="E135" s="75"/>
      <c r="F135" s="75"/>
      <c r="G135" s="76"/>
      <c r="H135" s="10" t="s">
        <v>10</v>
      </c>
      <c r="I135" s="10" t="s">
        <v>11</v>
      </c>
      <c r="J135" s="10" t="s">
        <v>10</v>
      </c>
      <c r="K135" s="10" t="s">
        <v>11</v>
      </c>
      <c r="L135" s="10" t="s">
        <v>10</v>
      </c>
      <c r="M135" s="10" t="s">
        <v>11</v>
      </c>
      <c r="N135" s="10" t="s">
        <v>10</v>
      </c>
      <c r="O135" s="10" t="s">
        <v>11</v>
      </c>
      <c r="P135" s="10" t="s">
        <v>10</v>
      </c>
      <c r="Q135" s="10" t="s">
        <v>11</v>
      </c>
      <c r="R135" s="10" t="s">
        <v>10</v>
      </c>
      <c r="S135" s="10" t="s">
        <v>11</v>
      </c>
      <c r="T135" s="10" t="s">
        <v>10</v>
      </c>
      <c r="U135" s="10" t="s">
        <v>11</v>
      </c>
      <c r="V135" s="10" t="s">
        <v>10</v>
      </c>
      <c r="W135" s="10" t="s">
        <v>11</v>
      </c>
      <c r="X135" s="10" t="s">
        <v>10</v>
      </c>
      <c r="Y135" s="10" t="s">
        <v>11</v>
      </c>
    </row>
    <row r="136" spans="1:28" ht="18" customHeight="1" x14ac:dyDescent="0.25">
      <c r="A136" s="106" t="s">
        <v>41</v>
      </c>
      <c r="B136" s="107"/>
      <c r="C136" s="107"/>
      <c r="D136" s="107"/>
      <c r="E136" s="107"/>
      <c r="F136" s="107"/>
      <c r="G136" s="108"/>
      <c r="H136" s="10">
        <v>0</v>
      </c>
      <c r="I136" s="10">
        <v>0</v>
      </c>
      <c r="J136" s="10">
        <v>3</v>
      </c>
      <c r="K136" s="10">
        <v>4</v>
      </c>
      <c r="L136" s="10">
        <v>8</v>
      </c>
      <c r="M136" s="10">
        <v>34</v>
      </c>
      <c r="N136" s="10">
        <v>17</v>
      </c>
      <c r="O136" s="10">
        <v>13</v>
      </c>
      <c r="P136" s="10">
        <v>9</v>
      </c>
      <c r="Q136" s="10">
        <v>12</v>
      </c>
      <c r="R136" s="10">
        <v>11</v>
      </c>
      <c r="S136" s="10">
        <v>10</v>
      </c>
      <c r="T136" s="10">
        <v>16</v>
      </c>
      <c r="U136" s="10">
        <v>10</v>
      </c>
      <c r="V136" s="10">
        <v>11</v>
      </c>
      <c r="W136" s="10">
        <v>1</v>
      </c>
      <c r="X136" s="10">
        <v>75</v>
      </c>
      <c r="Y136" s="10">
        <v>84</v>
      </c>
    </row>
    <row r="137" spans="1:28" ht="18" customHeight="1" x14ac:dyDescent="0.25">
      <c r="A137" s="106" t="s">
        <v>42</v>
      </c>
      <c r="B137" s="107"/>
      <c r="C137" s="107"/>
      <c r="D137" s="107"/>
      <c r="E137" s="107"/>
      <c r="F137" s="107"/>
      <c r="G137" s="108"/>
      <c r="H137" s="10">
        <v>2</v>
      </c>
      <c r="I137" s="10">
        <v>2</v>
      </c>
      <c r="J137" s="10">
        <v>2</v>
      </c>
      <c r="K137" s="10">
        <v>5</v>
      </c>
      <c r="L137" s="10">
        <v>14</v>
      </c>
      <c r="M137" s="10">
        <v>16</v>
      </c>
      <c r="N137" s="10">
        <v>9</v>
      </c>
      <c r="O137" s="10">
        <v>20</v>
      </c>
      <c r="P137" s="10">
        <v>15</v>
      </c>
      <c r="Q137" s="10">
        <v>16</v>
      </c>
      <c r="R137" s="10">
        <v>12</v>
      </c>
      <c r="S137" s="10">
        <v>10</v>
      </c>
      <c r="T137" s="10">
        <v>14</v>
      </c>
      <c r="U137" s="10">
        <v>14</v>
      </c>
      <c r="V137" s="10">
        <v>15</v>
      </c>
      <c r="W137" s="10">
        <v>5</v>
      </c>
      <c r="X137" s="10">
        <v>83</v>
      </c>
      <c r="Y137" s="10">
        <v>88</v>
      </c>
    </row>
    <row r="138" spans="1:28" ht="18" customHeight="1" x14ac:dyDescent="0.25">
      <c r="A138" s="106" t="s">
        <v>43</v>
      </c>
      <c r="B138" s="107"/>
      <c r="C138" s="107"/>
      <c r="D138" s="107"/>
      <c r="E138" s="107"/>
      <c r="F138" s="107"/>
      <c r="G138" s="108"/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1</v>
      </c>
      <c r="Q138" s="10">
        <v>0</v>
      </c>
      <c r="R138" s="10">
        <v>0</v>
      </c>
      <c r="S138" s="10">
        <v>0</v>
      </c>
      <c r="T138" s="10">
        <v>1</v>
      </c>
      <c r="U138" s="10">
        <v>0</v>
      </c>
      <c r="V138" s="10">
        <v>0</v>
      </c>
      <c r="W138" s="10">
        <v>0</v>
      </c>
      <c r="X138" s="10">
        <v>2</v>
      </c>
      <c r="Y138" s="10">
        <v>0</v>
      </c>
    </row>
    <row r="139" spans="1:28" ht="18" customHeight="1" x14ac:dyDescent="0.25">
      <c r="A139" s="106" t="s">
        <v>44</v>
      </c>
      <c r="B139" s="107"/>
      <c r="C139" s="107"/>
      <c r="D139" s="107"/>
      <c r="E139" s="107"/>
      <c r="F139" s="107"/>
      <c r="G139" s="108"/>
      <c r="H139" s="10">
        <v>1</v>
      </c>
      <c r="I139" s="10">
        <v>2</v>
      </c>
      <c r="J139" s="10">
        <v>5</v>
      </c>
      <c r="K139" s="10">
        <v>9</v>
      </c>
      <c r="L139" s="10">
        <v>6</v>
      </c>
      <c r="M139" s="10">
        <v>16</v>
      </c>
      <c r="N139" s="10">
        <v>5</v>
      </c>
      <c r="O139" s="10">
        <v>11</v>
      </c>
      <c r="P139" s="10">
        <v>6</v>
      </c>
      <c r="Q139" s="10">
        <v>3</v>
      </c>
      <c r="R139" s="10">
        <v>10</v>
      </c>
      <c r="S139" s="10">
        <v>4</v>
      </c>
      <c r="T139" s="10">
        <v>5</v>
      </c>
      <c r="U139" s="10">
        <v>7</v>
      </c>
      <c r="V139" s="10">
        <v>2</v>
      </c>
      <c r="W139" s="10">
        <v>2</v>
      </c>
      <c r="X139" s="10">
        <v>40</v>
      </c>
      <c r="Y139" s="10">
        <v>54</v>
      </c>
    </row>
    <row r="140" spans="1:28" ht="18" customHeight="1" x14ac:dyDescent="0.25">
      <c r="A140" s="106" t="s">
        <v>7</v>
      </c>
      <c r="B140" s="107"/>
      <c r="C140" s="107"/>
      <c r="D140" s="107"/>
      <c r="E140" s="107"/>
      <c r="F140" s="107"/>
      <c r="G140" s="108"/>
      <c r="H140" s="10">
        <v>3</v>
      </c>
      <c r="I140" s="10">
        <v>4</v>
      </c>
      <c r="J140" s="10">
        <v>10</v>
      </c>
      <c r="K140" s="10">
        <v>18</v>
      </c>
      <c r="L140" s="10">
        <v>28</v>
      </c>
      <c r="M140" s="10">
        <v>66</v>
      </c>
      <c r="N140" s="10">
        <v>31</v>
      </c>
      <c r="O140" s="10">
        <v>44</v>
      </c>
      <c r="P140" s="10">
        <v>31</v>
      </c>
      <c r="Q140" s="10">
        <v>31</v>
      </c>
      <c r="R140" s="10">
        <v>33</v>
      </c>
      <c r="S140" s="10">
        <v>24</v>
      </c>
      <c r="T140" s="10">
        <v>36</v>
      </c>
      <c r="U140" s="10">
        <v>31</v>
      </c>
      <c r="V140" s="10">
        <v>28</v>
      </c>
      <c r="W140" s="10">
        <v>8</v>
      </c>
      <c r="X140" s="10">
        <v>200</v>
      </c>
      <c r="Y140" s="10">
        <v>226</v>
      </c>
    </row>
    <row r="141" spans="1:28" ht="6.75" customHeight="1" x14ac:dyDescent="0.25">
      <c r="A141" s="11"/>
      <c r="B141" s="12"/>
      <c r="C141" s="12"/>
      <c r="D141" s="12"/>
      <c r="E141" s="12"/>
      <c r="F141" s="13"/>
      <c r="G141" s="13"/>
      <c r="H141" s="13"/>
      <c r="I141" s="13"/>
      <c r="J141" s="13"/>
      <c r="K141" s="13"/>
      <c r="L141" s="14"/>
      <c r="M141" s="13"/>
      <c r="N141" s="15"/>
      <c r="O141" s="16"/>
      <c r="P141" s="13"/>
      <c r="Q141" s="13"/>
      <c r="R141" s="13"/>
      <c r="S141" s="13"/>
      <c r="T141" s="13"/>
      <c r="U141" s="13"/>
      <c r="V141" s="13"/>
      <c r="W141" s="13"/>
      <c r="X141" s="13"/>
      <c r="Y141" s="17"/>
    </row>
    <row r="142" spans="1:28" ht="18" customHeight="1" x14ac:dyDescent="0.3">
      <c r="A142" s="18" t="s">
        <v>47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20"/>
      <c r="L142" s="21"/>
      <c r="M142" s="18" t="s">
        <v>48</v>
      </c>
      <c r="N142" s="19"/>
      <c r="O142" s="19"/>
      <c r="P142" s="19"/>
      <c r="Q142" s="22"/>
      <c r="R142" s="22"/>
      <c r="S142" s="22"/>
      <c r="T142" s="22"/>
      <c r="U142" s="22"/>
      <c r="V142" s="22"/>
      <c r="W142" s="22"/>
      <c r="X142" s="22"/>
      <c r="Y142" s="23"/>
    </row>
    <row r="143" spans="1:28" ht="57.75" customHeight="1" x14ac:dyDescent="0.25">
      <c r="A143" s="101" t="s">
        <v>49</v>
      </c>
      <c r="B143" s="101" t="s">
        <v>50</v>
      </c>
      <c r="C143" s="101" t="s">
        <v>51</v>
      </c>
      <c r="D143" s="77" t="s">
        <v>52</v>
      </c>
      <c r="E143" s="78"/>
      <c r="F143" s="77" t="s">
        <v>53</v>
      </c>
      <c r="G143" s="79"/>
      <c r="H143" s="79"/>
      <c r="I143" s="78"/>
      <c r="J143" s="101" t="s">
        <v>54</v>
      </c>
      <c r="K143" s="101" t="s">
        <v>55</v>
      </c>
      <c r="L143" s="24"/>
      <c r="M143" s="86" t="s">
        <v>56</v>
      </c>
      <c r="N143" s="88"/>
      <c r="O143" s="86" t="s">
        <v>57</v>
      </c>
      <c r="P143" s="88"/>
      <c r="Q143" s="86" t="s">
        <v>58</v>
      </c>
      <c r="R143" s="87"/>
      <c r="S143" s="87"/>
      <c r="T143" s="87"/>
      <c r="U143" s="87"/>
      <c r="V143" s="87"/>
      <c r="W143" s="87"/>
      <c r="X143" s="87"/>
      <c r="Y143" s="88"/>
    </row>
    <row r="144" spans="1:28" ht="38.25" customHeight="1" x14ac:dyDescent="0.25">
      <c r="A144" s="102"/>
      <c r="B144" s="102"/>
      <c r="C144" s="102"/>
      <c r="D144" s="25" t="s">
        <v>59</v>
      </c>
      <c r="E144" s="25" t="s">
        <v>60</v>
      </c>
      <c r="F144" s="26" t="s">
        <v>59</v>
      </c>
      <c r="G144" s="26" t="s">
        <v>60</v>
      </c>
      <c r="H144" s="26" t="s">
        <v>61</v>
      </c>
      <c r="I144" s="26" t="s">
        <v>62</v>
      </c>
      <c r="J144" s="102"/>
      <c r="K144" s="102"/>
      <c r="L144" s="24"/>
      <c r="M144" s="91">
        <v>211</v>
      </c>
      <c r="N144" s="92"/>
      <c r="O144" s="91">
        <v>0</v>
      </c>
      <c r="P144" s="92"/>
      <c r="Q144" s="86">
        <v>0</v>
      </c>
      <c r="R144" s="87"/>
      <c r="S144" s="87"/>
      <c r="T144" s="87"/>
      <c r="U144" s="87"/>
      <c r="V144" s="87"/>
      <c r="W144" s="87"/>
      <c r="X144" s="87"/>
      <c r="Y144" s="88"/>
    </row>
    <row r="145" spans="1:25" ht="38.25" customHeight="1" x14ac:dyDescent="0.25">
      <c r="A145" s="103">
        <v>8281</v>
      </c>
      <c r="B145" s="103">
        <v>902</v>
      </c>
      <c r="C145" s="103">
        <v>40</v>
      </c>
      <c r="D145" s="103">
        <v>542</v>
      </c>
      <c r="E145" s="103">
        <v>719</v>
      </c>
      <c r="F145" s="103">
        <v>7</v>
      </c>
      <c r="G145" s="103">
        <v>66</v>
      </c>
      <c r="H145" s="103">
        <v>54</v>
      </c>
      <c r="I145" s="103">
        <v>127</v>
      </c>
      <c r="J145" s="103">
        <v>123</v>
      </c>
      <c r="K145" s="103">
        <v>141</v>
      </c>
      <c r="L145" s="24"/>
      <c r="M145" s="91" t="s">
        <v>63</v>
      </c>
      <c r="N145" s="92"/>
      <c r="O145" s="91" t="s">
        <v>64</v>
      </c>
      <c r="P145" s="92"/>
      <c r="Q145" s="95" t="s">
        <v>65</v>
      </c>
      <c r="R145" s="99"/>
      <c r="S145" s="96"/>
      <c r="T145" s="95" t="s">
        <v>66</v>
      </c>
      <c r="U145" s="99"/>
      <c r="V145" s="99"/>
      <c r="W145" s="99"/>
      <c r="X145" s="99"/>
      <c r="Y145" s="96"/>
    </row>
    <row r="146" spans="1:25" ht="19.5" customHeight="1" x14ac:dyDescent="0.25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27"/>
      <c r="M146" s="91">
        <v>0</v>
      </c>
      <c r="N146" s="92"/>
      <c r="O146" s="91">
        <v>0</v>
      </c>
      <c r="P146" s="92"/>
      <c r="Q146" s="91">
        <v>0</v>
      </c>
      <c r="R146" s="97"/>
      <c r="S146" s="92"/>
      <c r="T146" s="28"/>
      <c r="U146" s="86" t="s">
        <v>0</v>
      </c>
      <c r="V146" s="88"/>
      <c r="W146" s="29" t="s">
        <v>1</v>
      </c>
      <c r="X146" s="86" t="s">
        <v>67</v>
      </c>
      <c r="Y146" s="88"/>
    </row>
    <row r="147" spans="1:25" ht="18" customHeight="1" x14ac:dyDescent="0.25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27"/>
      <c r="M147" s="93"/>
      <c r="N147" s="94"/>
      <c r="O147" s="93"/>
      <c r="P147" s="94"/>
      <c r="Q147" s="93"/>
      <c r="R147" s="98"/>
      <c r="S147" s="94"/>
      <c r="T147" s="30" t="s">
        <v>68</v>
      </c>
      <c r="U147" s="100">
        <v>0</v>
      </c>
      <c r="V147" s="100"/>
      <c r="W147" s="29">
        <v>0</v>
      </c>
      <c r="X147" s="186">
        <v>0</v>
      </c>
      <c r="Y147" s="187"/>
    </row>
    <row r="148" spans="1:25" ht="18" customHeight="1" x14ac:dyDescent="0.25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27"/>
      <c r="M148" s="93"/>
      <c r="N148" s="94"/>
      <c r="O148" s="93"/>
      <c r="P148" s="94"/>
      <c r="Q148" s="93"/>
      <c r="R148" s="98"/>
      <c r="S148" s="94"/>
      <c r="T148" s="30" t="s">
        <v>69</v>
      </c>
      <c r="U148" s="100">
        <v>0</v>
      </c>
      <c r="V148" s="100"/>
      <c r="W148" s="29">
        <v>0</v>
      </c>
      <c r="X148" s="186">
        <v>0</v>
      </c>
      <c r="Y148" s="187"/>
    </row>
    <row r="149" spans="1:25" ht="18" customHeight="1" x14ac:dyDescent="0.2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27"/>
      <c r="M149" s="95"/>
      <c r="N149" s="96"/>
      <c r="O149" s="95"/>
      <c r="P149" s="96"/>
      <c r="Q149" s="95"/>
      <c r="R149" s="99"/>
      <c r="S149" s="96"/>
      <c r="T149" s="30" t="s">
        <v>70</v>
      </c>
      <c r="U149" s="100">
        <v>0</v>
      </c>
      <c r="V149" s="100"/>
      <c r="W149" s="29">
        <v>0</v>
      </c>
      <c r="X149" s="186">
        <v>0</v>
      </c>
      <c r="Y149" s="187"/>
    </row>
    <row r="150" spans="1:25" ht="8.25" customHeight="1" x14ac:dyDescent="0.25">
      <c r="A150" s="31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3"/>
      <c r="M150" s="32"/>
      <c r="N150" s="32"/>
      <c r="O150" s="32"/>
      <c r="P150" s="32"/>
      <c r="Q150" s="32"/>
      <c r="R150" s="34"/>
      <c r="S150" s="34"/>
      <c r="T150" s="34"/>
      <c r="U150" s="34"/>
      <c r="V150" s="34"/>
      <c r="W150" s="32"/>
      <c r="X150" s="32"/>
      <c r="Y150" s="7"/>
    </row>
    <row r="151" spans="1:25" ht="18" customHeight="1" x14ac:dyDescent="0.3">
      <c r="A151" s="18" t="s">
        <v>71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20"/>
      <c r="L151" s="35"/>
      <c r="M151" s="18" t="s">
        <v>72</v>
      </c>
      <c r="N151" s="20"/>
      <c r="O151" s="36"/>
      <c r="P151" s="19"/>
      <c r="Q151" s="19"/>
      <c r="R151" s="19"/>
      <c r="S151" s="19"/>
      <c r="T151" s="19"/>
      <c r="U151" s="19"/>
      <c r="V151" s="19"/>
      <c r="W151" s="22"/>
      <c r="X151" s="22"/>
      <c r="Y151" s="37"/>
    </row>
    <row r="152" spans="1:25" ht="57" customHeight="1" x14ac:dyDescent="0.25">
      <c r="A152" s="71"/>
      <c r="B152" s="72"/>
      <c r="C152" s="72"/>
      <c r="D152" s="72"/>
      <c r="E152" s="73"/>
      <c r="F152" s="68" t="s">
        <v>12</v>
      </c>
      <c r="G152" s="70"/>
      <c r="H152" s="68" t="s">
        <v>13</v>
      </c>
      <c r="I152" s="70"/>
      <c r="J152" s="38" t="s">
        <v>73</v>
      </c>
      <c r="K152" s="39"/>
      <c r="L152" s="40"/>
      <c r="M152" s="77" t="s">
        <v>74</v>
      </c>
      <c r="N152" s="78"/>
      <c r="O152" s="77" t="s">
        <v>75</v>
      </c>
      <c r="P152" s="78"/>
      <c r="Q152" s="77" t="s">
        <v>76</v>
      </c>
      <c r="R152" s="78"/>
      <c r="S152" s="77" t="s">
        <v>77</v>
      </c>
      <c r="T152" s="79"/>
      <c r="U152" s="79"/>
      <c r="V152" s="78"/>
      <c r="W152" s="77" t="s">
        <v>78</v>
      </c>
      <c r="X152" s="79"/>
      <c r="Y152" s="78"/>
    </row>
    <row r="153" spans="1:25" ht="13.5" customHeight="1" x14ac:dyDescent="0.25">
      <c r="A153" s="74"/>
      <c r="B153" s="75"/>
      <c r="C153" s="75"/>
      <c r="D153" s="75"/>
      <c r="E153" s="76"/>
      <c r="F153" s="10" t="s">
        <v>79</v>
      </c>
      <c r="G153" s="10" t="s">
        <v>14</v>
      </c>
      <c r="H153" s="10" t="s">
        <v>79</v>
      </c>
      <c r="I153" s="10" t="s">
        <v>14</v>
      </c>
      <c r="J153" s="10" t="s">
        <v>79</v>
      </c>
      <c r="K153" s="10" t="s">
        <v>14</v>
      </c>
      <c r="L153" s="41"/>
      <c r="M153" s="42" t="s">
        <v>80</v>
      </c>
      <c r="N153" s="42" t="s">
        <v>81</v>
      </c>
      <c r="O153" s="42" t="s">
        <v>80</v>
      </c>
      <c r="P153" s="43" t="s">
        <v>81</v>
      </c>
      <c r="Q153" s="42" t="s">
        <v>80</v>
      </c>
      <c r="R153" s="42" t="s">
        <v>81</v>
      </c>
      <c r="S153" s="44"/>
      <c r="T153" s="42" t="s">
        <v>0</v>
      </c>
      <c r="U153" s="45" t="s">
        <v>1</v>
      </c>
      <c r="V153" s="46" t="s">
        <v>82</v>
      </c>
      <c r="W153" s="42" t="s">
        <v>0</v>
      </c>
      <c r="X153" s="45" t="s">
        <v>1</v>
      </c>
      <c r="Y153" s="46" t="s">
        <v>82</v>
      </c>
    </row>
    <row r="154" spans="1:25" ht="18" customHeight="1" x14ac:dyDescent="0.3">
      <c r="A154" s="80" t="s">
        <v>83</v>
      </c>
      <c r="B154" s="81"/>
      <c r="C154" s="81"/>
      <c r="D154" s="81"/>
      <c r="E154" s="82"/>
      <c r="F154" s="10">
        <v>133</v>
      </c>
      <c r="G154" s="10">
        <v>1</v>
      </c>
      <c r="H154" s="10">
        <v>0</v>
      </c>
      <c r="I154" s="10">
        <v>0</v>
      </c>
      <c r="J154" s="10">
        <v>0</v>
      </c>
      <c r="K154" s="10">
        <v>0</v>
      </c>
      <c r="L154" s="41"/>
      <c r="M154" s="83">
        <v>81</v>
      </c>
      <c r="N154" s="83">
        <v>811</v>
      </c>
      <c r="O154" s="83">
        <v>31</v>
      </c>
      <c r="P154" s="83">
        <v>234</v>
      </c>
      <c r="Q154" s="83">
        <v>1</v>
      </c>
      <c r="R154" s="83">
        <v>21</v>
      </c>
      <c r="S154" s="47" t="s">
        <v>68</v>
      </c>
      <c r="T154" s="48">
        <v>0</v>
      </c>
      <c r="U154" s="48">
        <v>0</v>
      </c>
      <c r="V154" s="48">
        <v>0</v>
      </c>
      <c r="W154" s="48">
        <v>0</v>
      </c>
      <c r="X154" s="48">
        <v>0</v>
      </c>
      <c r="Y154" s="48">
        <v>0</v>
      </c>
    </row>
    <row r="155" spans="1:25" ht="18" customHeight="1" x14ac:dyDescent="0.3">
      <c r="A155" s="80" t="s">
        <v>8</v>
      </c>
      <c r="B155" s="81"/>
      <c r="C155" s="81"/>
      <c r="D155" s="81"/>
      <c r="E155" s="82"/>
      <c r="F155" s="10">
        <v>25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41"/>
      <c r="M155" s="84"/>
      <c r="N155" s="84"/>
      <c r="O155" s="84"/>
      <c r="P155" s="84"/>
      <c r="Q155" s="84"/>
      <c r="R155" s="84"/>
      <c r="S155" s="47" t="s">
        <v>69</v>
      </c>
      <c r="T155" s="48">
        <v>0</v>
      </c>
      <c r="U155" s="48">
        <v>0</v>
      </c>
      <c r="V155" s="48">
        <v>0</v>
      </c>
      <c r="W155" s="48">
        <v>0</v>
      </c>
      <c r="X155" s="48">
        <v>0</v>
      </c>
      <c r="Y155" s="48">
        <v>0</v>
      </c>
    </row>
    <row r="156" spans="1:25" ht="18" customHeight="1" x14ac:dyDescent="0.25">
      <c r="A156" s="86" t="s">
        <v>84</v>
      </c>
      <c r="B156" s="87"/>
      <c r="C156" s="87"/>
      <c r="D156" s="87"/>
      <c r="E156" s="88"/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41"/>
      <c r="M156" s="84"/>
      <c r="N156" s="84"/>
      <c r="O156" s="84"/>
      <c r="P156" s="84"/>
      <c r="Q156" s="84"/>
      <c r="R156" s="84"/>
      <c r="S156" s="89" t="s">
        <v>70</v>
      </c>
      <c r="T156" s="83">
        <v>0</v>
      </c>
      <c r="U156" s="83">
        <v>0</v>
      </c>
      <c r="V156" s="83">
        <v>0</v>
      </c>
      <c r="W156" s="83">
        <v>0</v>
      </c>
      <c r="X156" s="83">
        <v>0</v>
      </c>
      <c r="Y156" s="83">
        <v>0</v>
      </c>
    </row>
    <row r="157" spans="1:25" ht="18" customHeight="1" x14ac:dyDescent="0.25">
      <c r="A157" s="68" t="s">
        <v>7</v>
      </c>
      <c r="B157" s="69"/>
      <c r="C157" s="69"/>
      <c r="D157" s="69"/>
      <c r="E157" s="70"/>
      <c r="F157" s="10">
        <v>158</v>
      </c>
      <c r="G157" s="10">
        <v>1</v>
      </c>
      <c r="H157" s="10">
        <v>0</v>
      </c>
      <c r="I157" s="10">
        <v>0</v>
      </c>
      <c r="J157" s="10">
        <v>0</v>
      </c>
      <c r="K157" s="10">
        <v>0</v>
      </c>
      <c r="L157" s="41"/>
      <c r="M157" s="85"/>
      <c r="N157" s="85"/>
      <c r="O157" s="85"/>
      <c r="P157" s="85"/>
      <c r="Q157" s="85"/>
      <c r="R157" s="85"/>
      <c r="S157" s="90"/>
      <c r="T157" s="85"/>
      <c r="U157" s="85"/>
      <c r="V157" s="85"/>
      <c r="W157" s="85"/>
      <c r="X157" s="85"/>
      <c r="Y157" s="85"/>
    </row>
    <row r="158" spans="1:25" ht="23.4" x14ac:dyDescent="0.45">
      <c r="A158" s="120" t="s">
        <v>17</v>
      </c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</row>
    <row r="159" spans="1:25" ht="23.4" x14ac:dyDescent="0.25">
      <c r="A159" s="111" t="s">
        <v>18</v>
      </c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"/>
      <c r="U159" s="112" t="s">
        <v>19</v>
      </c>
      <c r="V159" s="112"/>
      <c r="W159" s="1"/>
      <c r="X159" s="1"/>
      <c r="Y159" s="1"/>
    </row>
    <row r="160" spans="1:25" ht="30.9" customHeight="1" x14ac:dyDescent="0.25">
      <c r="A160" s="179" t="s">
        <v>20</v>
      </c>
      <c r="B160" s="179"/>
      <c r="C160" s="179"/>
      <c r="D160" s="179"/>
      <c r="E160" s="180" t="s">
        <v>21</v>
      </c>
      <c r="F160" s="180"/>
      <c r="G160" s="180"/>
      <c r="H160" s="178" t="s">
        <v>22</v>
      </c>
      <c r="I160" s="178"/>
      <c r="J160" s="181">
        <v>0</v>
      </c>
      <c r="K160" s="181"/>
      <c r="L160" s="178" t="s">
        <v>23</v>
      </c>
      <c r="M160" s="178"/>
      <c r="N160" s="182" t="s">
        <v>15</v>
      </c>
      <c r="O160" s="182"/>
      <c r="P160" s="182"/>
      <c r="Q160" s="183" t="s">
        <v>24</v>
      </c>
      <c r="R160" s="183"/>
      <c r="S160" s="183"/>
      <c r="T160" s="183"/>
      <c r="U160" s="184" t="s">
        <v>88</v>
      </c>
      <c r="V160" s="184"/>
      <c r="W160" s="184"/>
      <c r="X160" s="185" t="s">
        <v>93</v>
      </c>
      <c r="Y160" s="185"/>
    </row>
    <row r="161" spans="1:28" ht="15" customHeight="1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183"/>
      <c r="R161" s="183"/>
      <c r="S161" s="183"/>
      <c r="T161" s="183"/>
      <c r="U161" s="184"/>
      <c r="V161" s="184"/>
      <c r="W161" s="184"/>
      <c r="X161" s="185"/>
      <c r="Y161" s="185"/>
    </row>
    <row r="162" spans="1:28" ht="15.6" x14ac:dyDescent="0.3">
      <c r="A162" s="174" t="s">
        <v>26</v>
      </c>
      <c r="B162" s="174"/>
      <c r="C162" s="174"/>
      <c r="D162" s="174"/>
      <c r="E162" s="174"/>
      <c r="F162" s="174"/>
      <c r="G162" s="175" t="s">
        <v>27</v>
      </c>
      <c r="H162" s="175"/>
      <c r="I162" s="175"/>
      <c r="J162" s="175"/>
      <c r="K162" s="175"/>
      <c r="L162" s="175"/>
      <c r="M162" s="175"/>
      <c r="N162" s="50"/>
      <c r="O162" s="49"/>
      <c r="P162" s="49"/>
      <c r="Q162" s="176" t="s">
        <v>28</v>
      </c>
      <c r="R162" s="176"/>
      <c r="S162" s="176"/>
      <c r="T162" s="176"/>
      <c r="U162" s="176"/>
      <c r="V162" s="177" t="s">
        <v>29</v>
      </c>
      <c r="W162" s="177"/>
      <c r="X162" s="177"/>
      <c r="Y162" s="177"/>
    </row>
    <row r="163" spans="1:28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8" ht="15" customHeight="1" x14ac:dyDescent="0.25">
      <c r="A164" s="149" t="s">
        <v>31</v>
      </c>
      <c r="B164" s="150"/>
      <c r="C164" s="150"/>
      <c r="D164" s="150"/>
      <c r="E164" s="150"/>
      <c r="F164" s="150"/>
      <c r="G164" s="150"/>
      <c r="H164" s="150"/>
      <c r="I164" s="151"/>
      <c r="J164" s="152" t="s">
        <v>32</v>
      </c>
      <c r="K164" s="153"/>
      <c r="L164" s="152" t="s">
        <v>33</v>
      </c>
      <c r="M164" s="153"/>
      <c r="N164" s="91" t="s">
        <v>34</v>
      </c>
      <c r="O164" s="92"/>
      <c r="P164" s="152" t="s">
        <v>35</v>
      </c>
      <c r="Q164" s="153"/>
      <c r="R164" s="68" t="s">
        <v>36</v>
      </c>
      <c r="S164" s="69"/>
      <c r="T164" s="69"/>
      <c r="U164" s="69"/>
      <c r="V164" s="69"/>
      <c r="W164" s="70"/>
      <c r="X164" s="152" t="s">
        <v>7</v>
      </c>
      <c r="Y164" s="153"/>
    </row>
    <row r="165" spans="1:28" ht="23.25" customHeight="1" x14ac:dyDescent="0.25">
      <c r="A165" s="158" t="s">
        <v>37</v>
      </c>
      <c r="B165" s="159"/>
      <c r="C165" s="159"/>
      <c r="D165" s="159"/>
      <c r="E165" s="159"/>
      <c r="F165" s="159"/>
      <c r="G165" s="159"/>
      <c r="H165" s="159"/>
      <c r="I165" s="160"/>
      <c r="J165" s="154"/>
      <c r="K165" s="155"/>
      <c r="L165" s="154"/>
      <c r="M165" s="155"/>
      <c r="N165" s="93"/>
      <c r="O165" s="94"/>
      <c r="P165" s="154"/>
      <c r="Q165" s="155"/>
      <c r="R165" s="164" t="s">
        <v>38</v>
      </c>
      <c r="S165" s="164"/>
      <c r="T165" s="164" t="s">
        <v>39</v>
      </c>
      <c r="U165" s="164"/>
      <c r="V165" s="164" t="s">
        <v>40</v>
      </c>
      <c r="W165" s="164"/>
      <c r="X165" s="154"/>
      <c r="Y165" s="155"/>
    </row>
    <row r="166" spans="1:28" x14ac:dyDescent="0.25">
      <c r="A166" s="161"/>
      <c r="B166" s="162"/>
      <c r="C166" s="162"/>
      <c r="D166" s="162"/>
      <c r="E166" s="162"/>
      <c r="F166" s="162"/>
      <c r="G166" s="162"/>
      <c r="H166" s="162"/>
      <c r="I166" s="163"/>
      <c r="J166" s="156"/>
      <c r="K166" s="157"/>
      <c r="L166" s="156"/>
      <c r="M166" s="157"/>
      <c r="N166" s="95"/>
      <c r="O166" s="96"/>
      <c r="P166" s="156"/>
      <c r="Q166" s="157"/>
      <c r="R166" s="165"/>
      <c r="S166" s="165"/>
      <c r="T166" s="165"/>
      <c r="U166" s="165"/>
      <c r="V166" s="165"/>
      <c r="W166" s="165"/>
      <c r="X166" s="156"/>
      <c r="Y166" s="157"/>
    </row>
    <row r="167" spans="1:28" ht="18" customHeight="1" x14ac:dyDescent="0.3">
      <c r="A167" s="106" t="s">
        <v>41</v>
      </c>
      <c r="B167" s="107"/>
      <c r="C167" s="107"/>
      <c r="D167" s="107"/>
      <c r="E167" s="107"/>
      <c r="F167" s="107"/>
      <c r="G167" s="107"/>
      <c r="H167" s="107"/>
      <c r="I167" s="108"/>
      <c r="J167" s="170">
        <v>503</v>
      </c>
      <c r="K167" s="171"/>
      <c r="L167" s="170">
        <v>65</v>
      </c>
      <c r="M167" s="171"/>
      <c r="N167" s="170">
        <v>0</v>
      </c>
      <c r="O167" s="171"/>
      <c r="P167" s="170">
        <v>568</v>
      </c>
      <c r="Q167" s="171"/>
      <c r="R167" s="170">
        <v>0</v>
      </c>
      <c r="S167" s="171"/>
      <c r="T167" s="170">
        <v>1</v>
      </c>
      <c r="U167" s="171"/>
      <c r="V167" s="170">
        <v>11</v>
      </c>
      <c r="W167" s="171"/>
      <c r="X167" s="172">
        <v>580</v>
      </c>
      <c r="Y167" s="173"/>
    </row>
    <row r="168" spans="1:28" ht="18" customHeight="1" x14ac:dyDescent="0.3">
      <c r="A168" s="106" t="s">
        <v>42</v>
      </c>
      <c r="B168" s="107"/>
      <c r="C168" s="107"/>
      <c r="D168" s="107"/>
      <c r="E168" s="107"/>
      <c r="F168" s="107"/>
      <c r="G168" s="107"/>
      <c r="H168" s="107"/>
      <c r="I168" s="108"/>
      <c r="J168" s="170">
        <v>521</v>
      </c>
      <c r="K168" s="171"/>
      <c r="L168" s="170">
        <v>71</v>
      </c>
      <c r="M168" s="171"/>
      <c r="N168" s="170">
        <v>2</v>
      </c>
      <c r="O168" s="171"/>
      <c r="P168" s="170">
        <v>594</v>
      </c>
      <c r="Q168" s="171"/>
      <c r="R168" s="170">
        <v>0</v>
      </c>
      <c r="S168" s="171"/>
      <c r="T168" s="170">
        <v>3</v>
      </c>
      <c r="U168" s="171"/>
      <c r="V168" s="170">
        <v>11</v>
      </c>
      <c r="W168" s="171"/>
      <c r="X168" s="172">
        <v>608</v>
      </c>
      <c r="Y168" s="173"/>
    </row>
    <row r="169" spans="1:28" ht="18" customHeight="1" x14ac:dyDescent="0.3">
      <c r="A169" s="106" t="s">
        <v>43</v>
      </c>
      <c r="B169" s="107"/>
      <c r="C169" s="107"/>
      <c r="D169" s="107"/>
      <c r="E169" s="107"/>
      <c r="F169" s="107"/>
      <c r="G169" s="107"/>
      <c r="H169" s="107"/>
      <c r="I169" s="108"/>
      <c r="J169" s="170">
        <v>12</v>
      </c>
      <c r="K169" s="171"/>
      <c r="L169" s="170">
        <v>1</v>
      </c>
      <c r="M169" s="171"/>
      <c r="N169" s="170">
        <v>0</v>
      </c>
      <c r="O169" s="171"/>
      <c r="P169" s="170">
        <v>13</v>
      </c>
      <c r="Q169" s="171"/>
      <c r="R169" s="170">
        <v>0</v>
      </c>
      <c r="S169" s="171"/>
      <c r="T169" s="170">
        <v>0</v>
      </c>
      <c r="U169" s="171"/>
      <c r="V169" s="170">
        <v>0</v>
      </c>
      <c r="W169" s="171"/>
      <c r="X169" s="172">
        <v>13</v>
      </c>
      <c r="Y169" s="173"/>
    </row>
    <row r="170" spans="1:28" ht="18" customHeight="1" x14ac:dyDescent="0.3">
      <c r="A170" s="106" t="s">
        <v>44</v>
      </c>
      <c r="B170" s="107"/>
      <c r="C170" s="107"/>
      <c r="D170" s="107"/>
      <c r="E170" s="107"/>
      <c r="F170" s="107"/>
      <c r="G170" s="107"/>
      <c r="H170" s="107"/>
      <c r="I170" s="108"/>
      <c r="J170" s="170">
        <v>306</v>
      </c>
      <c r="K170" s="171"/>
      <c r="L170" s="170">
        <v>15</v>
      </c>
      <c r="M170" s="171"/>
      <c r="N170" s="170">
        <v>1</v>
      </c>
      <c r="O170" s="171"/>
      <c r="P170" s="170">
        <v>322</v>
      </c>
      <c r="Q170" s="171"/>
      <c r="R170" s="170">
        <v>0</v>
      </c>
      <c r="S170" s="171"/>
      <c r="T170" s="170">
        <v>3</v>
      </c>
      <c r="U170" s="171"/>
      <c r="V170" s="170">
        <v>32</v>
      </c>
      <c r="W170" s="171"/>
      <c r="X170" s="172">
        <v>357</v>
      </c>
      <c r="Y170" s="173"/>
    </row>
    <row r="171" spans="1:28" ht="18" customHeight="1" x14ac:dyDescent="0.3">
      <c r="A171" s="106" t="s">
        <v>7</v>
      </c>
      <c r="B171" s="107"/>
      <c r="C171" s="107"/>
      <c r="D171" s="107"/>
      <c r="E171" s="107"/>
      <c r="F171" s="107"/>
      <c r="G171" s="107"/>
      <c r="H171" s="107"/>
      <c r="I171" s="108"/>
      <c r="J171" s="170">
        <v>1342</v>
      </c>
      <c r="K171" s="171"/>
      <c r="L171" s="170">
        <v>152</v>
      </c>
      <c r="M171" s="171"/>
      <c r="N171" s="170">
        <v>3</v>
      </c>
      <c r="O171" s="171"/>
      <c r="P171" s="170">
        <v>1497</v>
      </c>
      <c r="Q171" s="171"/>
      <c r="R171" s="170">
        <v>0</v>
      </c>
      <c r="S171" s="171"/>
      <c r="T171" s="170">
        <v>7</v>
      </c>
      <c r="U171" s="171"/>
      <c r="V171" s="170">
        <v>54</v>
      </c>
      <c r="W171" s="171"/>
      <c r="X171" s="172">
        <v>1558</v>
      </c>
      <c r="Y171" s="173"/>
    </row>
    <row r="172" spans="1:28" ht="15.6" x14ac:dyDescent="0.3">
      <c r="A172" s="4" t="s">
        <v>45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"/>
      <c r="S172" s="6"/>
      <c r="T172" s="6"/>
      <c r="U172" s="6"/>
      <c r="V172" s="6"/>
      <c r="W172" s="6"/>
      <c r="X172" s="6"/>
      <c r="Y172" s="7"/>
    </row>
    <row r="173" spans="1:28" x14ac:dyDescent="0.25">
      <c r="A173" s="71"/>
      <c r="B173" s="72"/>
      <c r="C173" s="72"/>
      <c r="D173" s="72"/>
      <c r="E173" s="72"/>
      <c r="F173" s="72"/>
      <c r="G173" s="73"/>
      <c r="H173" s="68" t="s">
        <v>0</v>
      </c>
      <c r="I173" s="69"/>
      <c r="J173" s="136" t="s">
        <v>1</v>
      </c>
      <c r="K173" s="69"/>
      <c r="L173" s="134" t="s">
        <v>2</v>
      </c>
      <c r="M173" s="69"/>
      <c r="N173" s="134" t="s">
        <v>3</v>
      </c>
      <c r="O173" s="69"/>
      <c r="P173" s="134" t="s">
        <v>4</v>
      </c>
      <c r="Q173" s="135"/>
      <c r="R173" s="134" t="s">
        <v>5</v>
      </c>
      <c r="S173" s="69"/>
      <c r="T173" s="134" t="s">
        <v>6</v>
      </c>
      <c r="U173" s="69"/>
      <c r="V173" s="134" t="s">
        <v>46</v>
      </c>
      <c r="W173" s="69"/>
      <c r="X173" s="134" t="s">
        <v>7</v>
      </c>
      <c r="Y173" s="135"/>
      <c r="Z173" s="8"/>
      <c r="AA173" s="9"/>
      <c r="AB173" s="9"/>
    </row>
    <row r="174" spans="1:28" x14ac:dyDescent="0.25">
      <c r="A174" s="74"/>
      <c r="B174" s="75"/>
      <c r="C174" s="75"/>
      <c r="D174" s="75"/>
      <c r="E174" s="75"/>
      <c r="F174" s="75"/>
      <c r="G174" s="76"/>
      <c r="H174" s="10" t="s">
        <v>10</v>
      </c>
      <c r="I174" s="10" t="s">
        <v>11</v>
      </c>
      <c r="J174" s="10" t="s">
        <v>10</v>
      </c>
      <c r="K174" s="10" t="s">
        <v>11</v>
      </c>
      <c r="L174" s="10" t="s">
        <v>10</v>
      </c>
      <c r="M174" s="10" t="s">
        <v>11</v>
      </c>
      <c r="N174" s="10" t="s">
        <v>10</v>
      </c>
      <c r="O174" s="10" t="s">
        <v>11</v>
      </c>
      <c r="P174" s="10" t="s">
        <v>10</v>
      </c>
      <c r="Q174" s="10" t="s">
        <v>11</v>
      </c>
      <c r="R174" s="10" t="s">
        <v>10</v>
      </c>
      <c r="S174" s="10" t="s">
        <v>11</v>
      </c>
      <c r="T174" s="10" t="s">
        <v>10</v>
      </c>
      <c r="U174" s="10" t="s">
        <v>11</v>
      </c>
      <c r="V174" s="10" t="s">
        <v>10</v>
      </c>
      <c r="W174" s="10" t="s">
        <v>11</v>
      </c>
      <c r="X174" s="10" t="s">
        <v>10</v>
      </c>
      <c r="Y174" s="10" t="s">
        <v>11</v>
      </c>
    </row>
    <row r="175" spans="1:28" ht="18" customHeight="1" x14ac:dyDescent="0.25">
      <c r="A175" s="106" t="s">
        <v>41</v>
      </c>
      <c r="B175" s="107"/>
      <c r="C175" s="107"/>
      <c r="D175" s="107"/>
      <c r="E175" s="107"/>
      <c r="F175" s="107"/>
      <c r="G175" s="108"/>
      <c r="H175" s="51">
        <v>0</v>
      </c>
      <c r="I175" s="51">
        <v>0</v>
      </c>
      <c r="J175" s="51">
        <v>3</v>
      </c>
      <c r="K175" s="51">
        <v>17</v>
      </c>
      <c r="L175" s="51">
        <v>59</v>
      </c>
      <c r="M175" s="51">
        <v>127</v>
      </c>
      <c r="N175" s="51">
        <v>55</v>
      </c>
      <c r="O175" s="51">
        <v>49</v>
      </c>
      <c r="P175" s="51">
        <v>46</v>
      </c>
      <c r="Q175" s="51">
        <v>39</v>
      </c>
      <c r="R175" s="51">
        <v>43</v>
      </c>
      <c r="S175" s="51">
        <v>29</v>
      </c>
      <c r="T175" s="51">
        <v>36</v>
      </c>
      <c r="U175" s="51">
        <v>21</v>
      </c>
      <c r="V175" s="51">
        <v>32</v>
      </c>
      <c r="W175" s="51">
        <v>12</v>
      </c>
      <c r="X175" s="51">
        <v>274</v>
      </c>
      <c r="Y175" s="51">
        <v>294</v>
      </c>
    </row>
    <row r="176" spans="1:28" ht="18" customHeight="1" x14ac:dyDescent="0.25">
      <c r="A176" s="106" t="s">
        <v>42</v>
      </c>
      <c r="B176" s="107"/>
      <c r="C176" s="107"/>
      <c r="D176" s="107"/>
      <c r="E176" s="107"/>
      <c r="F176" s="107"/>
      <c r="G176" s="108"/>
      <c r="H176" s="51">
        <v>8</v>
      </c>
      <c r="I176" s="51">
        <v>4</v>
      </c>
      <c r="J176" s="51">
        <v>19</v>
      </c>
      <c r="K176" s="51">
        <v>32</v>
      </c>
      <c r="L176" s="51">
        <v>43</v>
      </c>
      <c r="M176" s="51">
        <v>66</v>
      </c>
      <c r="N176" s="51">
        <v>47</v>
      </c>
      <c r="O176" s="51">
        <v>56</v>
      </c>
      <c r="P176" s="51">
        <v>42</v>
      </c>
      <c r="Q176" s="51">
        <v>43</v>
      </c>
      <c r="R176" s="51">
        <v>43</v>
      </c>
      <c r="S176" s="51">
        <v>35</v>
      </c>
      <c r="T176" s="51">
        <v>50</v>
      </c>
      <c r="U176" s="51">
        <v>34</v>
      </c>
      <c r="V176" s="51">
        <v>49</v>
      </c>
      <c r="W176" s="51">
        <v>23</v>
      </c>
      <c r="X176" s="51">
        <v>301</v>
      </c>
      <c r="Y176" s="51">
        <v>293</v>
      </c>
    </row>
    <row r="177" spans="1:27" ht="18" customHeight="1" x14ac:dyDescent="0.25">
      <c r="A177" s="106" t="s">
        <v>43</v>
      </c>
      <c r="B177" s="107"/>
      <c r="C177" s="107"/>
      <c r="D177" s="107"/>
      <c r="E177" s="107"/>
      <c r="F177" s="107"/>
      <c r="G177" s="108"/>
      <c r="H177" s="51">
        <v>0</v>
      </c>
      <c r="I177" s="51">
        <v>0</v>
      </c>
      <c r="J177" s="51">
        <v>0</v>
      </c>
      <c r="K177" s="51">
        <v>0</v>
      </c>
      <c r="L177" s="51">
        <v>1</v>
      </c>
      <c r="M177" s="51">
        <v>1</v>
      </c>
      <c r="N177" s="51">
        <v>2</v>
      </c>
      <c r="O177" s="51">
        <v>1</v>
      </c>
      <c r="P177" s="51">
        <v>1</v>
      </c>
      <c r="Q177" s="51">
        <v>1</v>
      </c>
      <c r="R177" s="51">
        <v>1</v>
      </c>
      <c r="S177" s="51">
        <v>1</v>
      </c>
      <c r="T177" s="51">
        <v>2</v>
      </c>
      <c r="U177" s="51">
        <v>1</v>
      </c>
      <c r="V177" s="51">
        <v>0</v>
      </c>
      <c r="W177" s="51">
        <v>1</v>
      </c>
      <c r="X177" s="51">
        <v>7</v>
      </c>
      <c r="Y177" s="51">
        <v>6</v>
      </c>
    </row>
    <row r="178" spans="1:27" ht="18" customHeight="1" x14ac:dyDescent="0.25">
      <c r="A178" s="106" t="s">
        <v>44</v>
      </c>
      <c r="B178" s="107"/>
      <c r="C178" s="107"/>
      <c r="D178" s="107"/>
      <c r="E178" s="107"/>
      <c r="F178" s="107"/>
      <c r="G178" s="108"/>
      <c r="H178" s="51">
        <v>1</v>
      </c>
      <c r="I178" s="51">
        <v>4</v>
      </c>
      <c r="J178" s="51">
        <v>18</v>
      </c>
      <c r="K178" s="51">
        <v>30</v>
      </c>
      <c r="L178" s="51">
        <v>36</v>
      </c>
      <c r="M178" s="51">
        <v>48</v>
      </c>
      <c r="N178" s="51">
        <v>25</v>
      </c>
      <c r="O178" s="51">
        <v>37</v>
      </c>
      <c r="P178" s="51">
        <v>19</v>
      </c>
      <c r="Q178" s="51">
        <v>28</v>
      </c>
      <c r="R178" s="51">
        <v>21</v>
      </c>
      <c r="S178" s="51">
        <v>10</v>
      </c>
      <c r="T178" s="51">
        <v>15</v>
      </c>
      <c r="U178" s="51">
        <v>13</v>
      </c>
      <c r="V178" s="51">
        <v>11</v>
      </c>
      <c r="W178" s="51">
        <v>6</v>
      </c>
      <c r="X178" s="51">
        <v>146</v>
      </c>
      <c r="Y178" s="51">
        <v>176</v>
      </c>
    </row>
    <row r="179" spans="1:27" ht="18" customHeight="1" x14ac:dyDescent="0.25">
      <c r="A179" s="106" t="s">
        <v>7</v>
      </c>
      <c r="B179" s="107"/>
      <c r="C179" s="107"/>
      <c r="D179" s="107"/>
      <c r="E179" s="107"/>
      <c r="F179" s="107"/>
      <c r="G179" s="108"/>
      <c r="H179" s="51">
        <v>9</v>
      </c>
      <c r="I179" s="51">
        <v>8</v>
      </c>
      <c r="J179" s="51">
        <v>40</v>
      </c>
      <c r="K179" s="51">
        <v>79</v>
      </c>
      <c r="L179" s="51">
        <v>139</v>
      </c>
      <c r="M179" s="51">
        <v>242</v>
      </c>
      <c r="N179" s="51">
        <v>129</v>
      </c>
      <c r="O179" s="51">
        <v>143</v>
      </c>
      <c r="P179" s="51">
        <v>108</v>
      </c>
      <c r="Q179" s="51">
        <v>111</v>
      </c>
      <c r="R179" s="51">
        <v>108</v>
      </c>
      <c r="S179" s="51">
        <v>75</v>
      </c>
      <c r="T179" s="51">
        <v>103</v>
      </c>
      <c r="U179" s="51">
        <v>69</v>
      </c>
      <c r="V179" s="51">
        <v>92</v>
      </c>
      <c r="W179" s="51">
        <v>42</v>
      </c>
      <c r="X179" s="51">
        <v>728</v>
      </c>
      <c r="Y179" s="51">
        <v>769</v>
      </c>
      <c r="Z179" s="67">
        <v>1497</v>
      </c>
      <c r="AA179" s="67">
        <v>61</v>
      </c>
    </row>
    <row r="180" spans="1:27" ht="6.75" customHeight="1" x14ac:dyDescent="0.25">
      <c r="A180" s="11"/>
      <c r="B180" s="12"/>
      <c r="C180" s="12"/>
      <c r="D180" s="12"/>
      <c r="E180" s="12"/>
      <c r="F180" s="13"/>
      <c r="G180" s="13"/>
      <c r="H180" s="13"/>
      <c r="I180" s="13"/>
      <c r="J180" s="13"/>
      <c r="K180" s="13"/>
      <c r="L180" s="14"/>
      <c r="M180" s="13"/>
      <c r="N180" s="15"/>
      <c r="O180" s="16"/>
      <c r="P180" s="13"/>
      <c r="Q180" s="13"/>
      <c r="R180" s="13"/>
      <c r="S180" s="13"/>
      <c r="T180" s="13"/>
      <c r="U180" s="13"/>
      <c r="V180" s="13"/>
      <c r="W180" s="13"/>
      <c r="X180" s="13"/>
      <c r="Y180" s="17"/>
    </row>
    <row r="181" spans="1:27" ht="18" customHeight="1" x14ac:dyDescent="0.3">
      <c r="A181" s="18" t="s">
        <v>47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20"/>
      <c r="L181" s="21"/>
      <c r="M181" s="18" t="s">
        <v>48</v>
      </c>
      <c r="N181" s="19"/>
      <c r="O181" s="19"/>
      <c r="P181" s="19"/>
      <c r="Q181" s="22"/>
      <c r="R181" s="22"/>
      <c r="S181" s="22"/>
      <c r="T181" s="22"/>
      <c r="U181" s="22"/>
      <c r="V181" s="22"/>
      <c r="W181" s="22"/>
      <c r="X181" s="22"/>
      <c r="Y181" s="23"/>
    </row>
    <row r="182" spans="1:27" ht="57.75" customHeight="1" x14ac:dyDescent="0.25">
      <c r="A182" s="101" t="s">
        <v>49</v>
      </c>
      <c r="B182" s="101" t="s">
        <v>50</v>
      </c>
      <c r="C182" s="101" t="s">
        <v>51</v>
      </c>
      <c r="D182" s="77" t="s">
        <v>52</v>
      </c>
      <c r="E182" s="78"/>
      <c r="F182" s="77" t="s">
        <v>53</v>
      </c>
      <c r="G182" s="79"/>
      <c r="H182" s="79"/>
      <c r="I182" s="78"/>
      <c r="J182" s="101" t="s">
        <v>54</v>
      </c>
      <c r="K182" s="101" t="s">
        <v>55</v>
      </c>
      <c r="L182" s="24"/>
      <c r="M182" s="86" t="s">
        <v>56</v>
      </c>
      <c r="N182" s="88"/>
      <c r="O182" s="86" t="s">
        <v>57</v>
      </c>
      <c r="P182" s="88"/>
      <c r="Q182" s="86" t="s">
        <v>58</v>
      </c>
      <c r="R182" s="87"/>
      <c r="S182" s="87"/>
      <c r="T182" s="87"/>
      <c r="U182" s="87"/>
      <c r="V182" s="87"/>
      <c r="W182" s="87"/>
      <c r="X182" s="87"/>
      <c r="Y182" s="88"/>
    </row>
    <row r="183" spans="1:27" ht="38.25" customHeight="1" x14ac:dyDescent="0.25">
      <c r="A183" s="102"/>
      <c r="B183" s="102"/>
      <c r="C183" s="102"/>
      <c r="D183" s="25" t="s">
        <v>59</v>
      </c>
      <c r="E183" s="25" t="s">
        <v>60</v>
      </c>
      <c r="F183" s="26" t="s">
        <v>59</v>
      </c>
      <c r="G183" s="26" t="s">
        <v>60</v>
      </c>
      <c r="H183" s="26" t="s">
        <v>61</v>
      </c>
      <c r="I183" s="26" t="s">
        <v>62</v>
      </c>
      <c r="J183" s="102"/>
      <c r="K183" s="102"/>
      <c r="L183" s="24"/>
      <c r="M183" s="91">
        <v>636</v>
      </c>
      <c r="N183" s="92"/>
      <c r="O183" s="91">
        <v>0</v>
      </c>
      <c r="P183" s="92"/>
      <c r="Q183" s="86">
        <v>0</v>
      </c>
      <c r="R183" s="87"/>
      <c r="S183" s="87"/>
      <c r="T183" s="87"/>
      <c r="U183" s="87"/>
      <c r="V183" s="87"/>
      <c r="W183" s="87"/>
      <c r="X183" s="87"/>
      <c r="Y183" s="88"/>
    </row>
    <row r="184" spans="1:27" ht="38.25" customHeight="1" x14ac:dyDescent="0.25">
      <c r="A184" s="103">
        <v>26919</v>
      </c>
      <c r="B184" s="103">
        <v>3298</v>
      </c>
      <c r="C184" s="103">
        <v>197</v>
      </c>
      <c r="D184" s="103">
        <v>1733</v>
      </c>
      <c r="E184" s="103">
        <v>2281</v>
      </c>
      <c r="F184" s="103">
        <v>38</v>
      </c>
      <c r="G184" s="103">
        <v>234</v>
      </c>
      <c r="H184" s="103">
        <v>196</v>
      </c>
      <c r="I184" s="103">
        <v>495</v>
      </c>
      <c r="J184" s="103">
        <v>514</v>
      </c>
      <c r="K184" s="103">
        <v>735</v>
      </c>
      <c r="L184" s="24"/>
      <c r="M184" s="91" t="s">
        <v>63</v>
      </c>
      <c r="N184" s="92"/>
      <c r="O184" s="91" t="s">
        <v>64</v>
      </c>
      <c r="P184" s="92"/>
      <c r="Q184" s="95" t="s">
        <v>65</v>
      </c>
      <c r="R184" s="99"/>
      <c r="S184" s="96"/>
      <c r="T184" s="95" t="s">
        <v>66</v>
      </c>
      <c r="U184" s="99"/>
      <c r="V184" s="99"/>
      <c r="W184" s="99"/>
      <c r="X184" s="99"/>
      <c r="Y184" s="96"/>
    </row>
    <row r="185" spans="1:27" ht="19.5" customHeight="1" x14ac:dyDescent="0.2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27"/>
      <c r="M185" s="91">
        <v>1</v>
      </c>
      <c r="N185" s="92"/>
      <c r="O185" s="91">
        <v>0</v>
      </c>
      <c r="P185" s="92"/>
      <c r="Q185" s="91">
        <v>0</v>
      </c>
      <c r="R185" s="97"/>
      <c r="S185" s="92"/>
      <c r="T185" s="28"/>
      <c r="U185" s="86" t="s">
        <v>0</v>
      </c>
      <c r="V185" s="88"/>
      <c r="W185" s="29" t="s">
        <v>1</v>
      </c>
      <c r="X185" s="86" t="s">
        <v>67</v>
      </c>
      <c r="Y185" s="88"/>
    </row>
    <row r="186" spans="1:27" ht="18" customHeight="1" x14ac:dyDescent="0.25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27"/>
      <c r="M186" s="93"/>
      <c r="N186" s="94"/>
      <c r="O186" s="93"/>
      <c r="P186" s="94"/>
      <c r="Q186" s="93"/>
      <c r="R186" s="98"/>
      <c r="S186" s="94"/>
      <c r="T186" s="30" t="s">
        <v>68</v>
      </c>
      <c r="U186" s="100">
        <v>0</v>
      </c>
      <c r="V186" s="100"/>
      <c r="W186" s="29">
        <v>0</v>
      </c>
      <c r="X186" s="100">
        <v>0</v>
      </c>
      <c r="Y186" s="100"/>
    </row>
    <row r="187" spans="1:27" ht="18" customHeight="1" x14ac:dyDescent="0.25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27"/>
      <c r="M187" s="93"/>
      <c r="N187" s="94"/>
      <c r="O187" s="93"/>
      <c r="P187" s="94"/>
      <c r="Q187" s="93"/>
      <c r="R187" s="98"/>
      <c r="S187" s="94"/>
      <c r="T187" s="30" t="s">
        <v>69</v>
      </c>
      <c r="U187" s="100">
        <v>0</v>
      </c>
      <c r="V187" s="100"/>
      <c r="W187" s="29">
        <v>0</v>
      </c>
      <c r="X187" s="100">
        <v>0</v>
      </c>
      <c r="Y187" s="100"/>
    </row>
    <row r="188" spans="1:27" ht="18" customHeight="1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27"/>
      <c r="M188" s="95"/>
      <c r="N188" s="96"/>
      <c r="O188" s="95"/>
      <c r="P188" s="96"/>
      <c r="Q188" s="95"/>
      <c r="R188" s="99"/>
      <c r="S188" s="96"/>
      <c r="T188" s="30" t="s">
        <v>70</v>
      </c>
      <c r="U188" s="100">
        <v>0</v>
      </c>
      <c r="V188" s="100"/>
      <c r="W188" s="29">
        <v>0</v>
      </c>
      <c r="X188" s="100">
        <v>0</v>
      </c>
      <c r="Y188" s="100"/>
    </row>
    <row r="189" spans="1:27" ht="8.25" customHeight="1" x14ac:dyDescent="0.25">
      <c r="A189" s="31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3"/>
      <c r="M189" s="32"/>
      <c r="N189" s="32"/>
      <c r="O189" s="32"/>
      <c r="P189" s="32"/>
      <c r="Q189" s="32"/>
      <c r="R189" s="34"/>
      <c r="S189" s="34"/>
      <c r="T189" s="34"/>
      <c r="U189" s="34"/>
      <c r="V189" s="34"/>
      <c r="W189" s="32"/>
      <c r="X189" s="32"/>
      <c r="Y189" s="7"/>
    </row>
    <row r="190" spans="1:27" ht="18" customHeight="1" x14ac:dyDescent="0.3">
      <c r="A190" s="18" t="s">
        <v>71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20"/>
      <c r="L190" s="35"/>
      <c r="M190" s="18" t="s">
        <v>72</v>
      </c>
      <c r="N190" s="20"/>
      <c r="O190" s="36"/>
      <c r="P190" s="19"/>
      <c r="Q190" s="19"/>
      <c r="R190" s="19"/>
      <c r="S190" s="19"/>
      <c r="T190" s="19"/>
      <c r="U190" s="19"/>
      <c r="V190" s="19"/>
      <c r="W190" s="22"/>
      <c r="X190" s="22"/>
      <c r="Y190" s="37"/>
    </row>
    <row r="191" spans="1:27" ht="57" customHeight="1" x14ac:dyDescent="0.25">
      <c r="A191" s="71"/>
      <c r="B191" s="72"/>
      <c r="C191" s="72"/>
      <c r="D191" s="72"/>
      <c r="E191" s="73"/>
      <c r="F191" s="68" t="s">
        <v>12</v>
      </c>
      <c r="G191" s="70"/>
      <c r="H191" s="68" t="s">
        <v>13</v>
      </c>
      <c r="I191" s="70"/>
      <c r="J191" s="38" t="s">
        <v>73</v>
      </c>
      <c r="K191" s="39"/>
      <c r="L191" s="40"/>
      <c r="M191" s="77" t="s">
        <v>74</v>
      </c>
      <c r="N191" s="78"/>
      <c r="O191" s="77" t="s">
        <v>75</v>
      </c>
      <c r="P191" s="78"/>
      <c r="Q191" s="77" t="s">
        <v>76</v>
      </c>
      <c r="R191" s="78"/>
      <c r="S191" s="77" t="s">
        <v>77</v>
      </c>
      <c r="T191" s="79"/>
      <c r="U191" s="79"/>
      <c r="V191" s="78"/>
      <c r="W191" s="77" t="s">
        <v>78</v>
      </c>
      <c r="X191" s="79"/>
      <c r="Y191" s="78"/>
    </row>
    <row r="192" spans="1:27" ht="13.5" customHeight="1" x14ac:dyDescent="0.25">
      <c r="A192" s="74"/>
      <c r="B192" s="75"/>
      <c r="C192" s="75"/>
      <c r="D192" s="75"/>
      <c r="E192" s="76"/>
      <c r="F192" s="10" t="s">
        <v>79</v>
      </c>
      <c r="G192" s="10" t="s">
        <v>14</v>
      </c>
      <c r="H192" s="10" t="s">
        <v>79</v>
      </c>
      <c r="I192" s="10" t="s">
        <v>14</v>
      </c>
      <c r="J192" s="10" t="s">
        <v>79</v>
      </c>
      <c r="K192" s="10" t="s">
        <v>14</v>
      </c>
      <c r="L192" s="41"/>
      <c r="M192" s="42" t="s">
        <v>80</v>
      </c>
      <c r="N192" s="42" t="s">
        <v>81</v>
      </c>
      <c r="O192" s="42" t="s">
        <v>80</v>
      </c>
      <c r="P192" s="43" t="s">
        <v>81</v>
      </c>
      <c r="Q192" s="42" t="s">
        <v>80</v>
      </c>
      <c r="R192" s="42" t="s">
        <v>81</v>
      </c>
      <c r="S192" s="44"/>
      <c r="T192" s="42" t="s">
        <v>0</v>
      </c>
      <c r="U192" s="45" t="s">
        <v>1</v>
      </c>
      <c r="V192" s="46" t="s">
        <v>82</v>
      </c>
      <c r="W192" s="42" t="s">
        <v>0</v>
      </c>
      <c r="X192" s="45" t="s">
        <v>1</v>
      </c>
      <c r="Y192" s="46" t="s">
        <v>82</v>
      </c>
    </row>
    <row r="193" spans="1:25" ht="14.4" x14ac:dyDescent="0.3">
      <c r="A193" s="80" t="s">
        <v>83</v>
      </c>
      <c r="B193" s="81"/>
      <c r="C193" s="81"/>
      <c r="D193" s="81"/>
      <c r="E193" s="82"/>
      <c r="F193" s="10">
        <v>489</v>
      </c>
      <c r="G193" s="10">
        <v>7</v>
      </c>
      <c r="H193" s="10">
        <v>0</v>
      </c>
      <c r="I193" s="10">
        <v>0</v>
      </c>
      <c r="J193" s="10">
        <v>0</v>
      </c>
      <c r="K193" s="10">
        <v>0</v>
      </c>
      <c r="L193" s="41"/>
      <c r="M193" s="83">
        <v>382</v>
      </c>
      <c r="N193" s="83">
        <v>2746</v>
      </c>
      <c r="O193" s="83">
        <v>141</v>
      </c>
      <c r="P193" s="83">
        <v>1236</v>
      </c>
      <c r="Q193" s="83">
        <v>3</v>
      </c>
      <c r="R193" s="83">
        <v>61</v>
      </c>
      <c r="S193" s="47" t="s">
        <v>68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</row>
    <row r="194" spans="1:25" ht="14.4" x14ac:dyDescent="0.3">
      <c r="A194" s="80" t="s">
        <v>8</v>
      </c>
      <c r="B194" s="81"/>
      <c r="C194" s="81"/>
      <c r="D194" s="81"/>
      <c r="E194" s="82"/>
      <c r="F194" s="10">
        <v>62</v>
      </c>
      <c r="G194" s="10">
        <v>2</v>
      </c>
      <c r="H194" s="10">
        <v>0</v>
      </c>
      <c r="I194" s="10">
        <v>0</v>
      </c>
      <c r="J194" s="10">
        <v>0</v>
      </c>
      <c r="K194" s="10">
        <v>0</v>
      </c>
      <c r="L194" s="41"/>
      <c r="M194" s="84"/>
      <c r="N194" s="84"/>
      <c r="O194" s="84"/>
      <c r="P194" s="84"/>
      <c r="Q194" s="84"/>
      <c r="R194" s="84"/>
      <c r="S194" s="47" t="s">
        <v>69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</row>
    <row r="195" spans="1:25" x14ac:dyDescent="0.25">
      <c r="A195" s="86" t="s">
        <v>84</v>
      </c>
      <c r="B195" s="87"/>
      <c r="C195" s="87"/>
      <c r="D195" s="87"/>
      <c r="E195" s="88"/>
      <c r="F195" s="10">
        <v>4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41"/>
      <c r="M195" s="84"/>
      <c r="N195" s="84"/>
      <c r="O195" s="84"/>
      <c r="P195" s="84"/>
      <c r="Q195" s="84"/>
      <c r="R195" s="84"/>
      <c r="S195" s="89" t="s">
        <v>70</v>
      </c>
      <c r="T195" s="83">
        <v>0</v>
      </c>
      <c r="U195" s="83">
        <v>0</v>
      </c>
      <c r="V195" s="83">
        <v>0</v>
      </c>
      <c r="W195" s="83">
        <v>0</v>
      </c>
      <c r="X195" s="83">
        <v>0</v>
      </c>
      <c r="Y195" s="83">
        <v>0</v>
      </c>
    </row>
    <row r="196" spans="1:25" x14ac:dyDescent="0.25">
      <c r="A196" s="68" t="s">
        <v>7</v>
      </c>
      <c r="B196" s="69"/>
      <c r="C196" s="69"/>
      <c r="D196" s="69"/>
      <c r="E196" s="70"/>
      <c r="F196" s="10">
        <v>555</v>
      </c>
      <c r="G196" s="10">
        <v>9</v>
      </c>
      <c r="H196" s="10">
        <v>0</v>
      </c>
      <c r="I196" s="10">
        <v>0</v>
      </c>
      <c r="J196" s="10">
        <v>0</v>
      </c>
      <c r="K196" s="10">
        <v>0</v>
      </c>
      <c r="L196" s="41"/>
      <c r="M196" s="85"/>
      <c r="N196" s="85"/>
      <c r="O196" s="85"/>
      <c r="P196" s="85"/>
      <c r="Q196" s="85"/>
      <c r="R196" s="85"/>
      <c r="S196" s="90"/>
      <c r="T196" s="85"/>
      <c r="U196" s="85"/>
      <c r="V196" s="85"/>
      <c r="W196" s="85"/>
      <c r="X196" s="85"/>
      <c r="Y196" s="85"/>
    </row>
  </sheetData>
  <mergeCells count="755">
    <mergeCell ref="V52:W52"/>
    <mergeCell ref="A54:I54"/>
    <mergeCell ref="L54:M54"/>
    <mergeCell ref="P54:Q54"/>
    <mergeCell ref="R54:S54"/>
    <mergeCell ref="T54:U54"/>
    <mergeCell ref="V54:W54"/>
    <mergeCell ref="U68:V68"/>
    <mergeCell ref="J92:K92"/>
    <mergeCell ref="N92:O92"/>
    <mergeCell ref="L91:M91"/>
    <mergeCell ref="P91:Q91"/>
    <mergeCell ref="R91:S91"/>
    <mergeCell ref="T91:U91"/>
    <mergeCell ref="V91:W91"/>
    <mergeCell ref="A89:I89"/>
    <mergeCell ref="L89:M89"/>
    <mergeCell ref="P89:Q89"/>
    <mergeCell ref="R89:S89"/>
    <mergeCell ref="T89:U89"/>
    <mergeCell ref="V89:W89"/>
    <mergeCell ref="A58:G58"/>
    <mergeCell ref="A59:G59"/>
    <mergeCell ref="A60:G60"/>
    <mergeCell ref="N12:O12"/>
    <mergeCell ref="P12:Q12"/>
    <mergeCell ref="R12:S12"/>
    <mergeCell ref="T12:U12"/>
    <mergeCell ref="A11:I11"/>
    <mergeCell ref="J11:K11"/>
    <mergeCell ref="L11:M11"/>
    <mergeCell ref="V11:W11"/>
    <mergeCell ref="X11:Y11"/>
    <mergeCell ref="A12:I12"/>
    <mergeCell ref="J12:K12"/>
    <mergeCell ref="L12:M12"/>
    <mergeCell ref="V12:W12"/>
    <mergeCell ref="X12:Y12"/>
    <mergeCell ref="N11:O11"/>
    <mergeCell ref="P11:Q11"/>
    <mergeCell ref="R11:S11"/>
    <mergeCell ref="T11:U11"/>
    <mergeCell ref="R17:S17"/>
    <mergeCell ref="T17:U17"/>
    <mergeCell ref="V17:W17"/>
    <mergeCell ref="X17:Y17"/>
    <mergeCell ref="A19:G19"/>
    <mergeCell ref="A20:G20"/>
    <mergeCell ref="N14:O14"/>
    <mergeCell ref="P14:Q14"/>
    <mergeCell ref="R14:S14"/>
    <mergeCell ref="T14:U14"/>
    <mergeCell ref="A21:G21"/>
    <mergeCell ref="A22:G22"/>
    <mergeCell ref="A23:G23"/>
    <mergeCell ref="J17:K17"/>
    <mergeCell ref="N17:O17"/>
    <mergeCell ref="A17:G18"/>
    <mergeCell ref="H17:I17"/>
    <mergeCell ref="L17:M17"/>
    <mergeCell ref="P17:Q17"/>
    <mergeCell ref="A35:E36"/>
    <mergeCell ref="F35:G35"/>
    <mergeCell ref="H35:I35"/>
    <mergeCell ref="M35:N35"/>
    <mergeCell ref="O35:P35"/>
    <mergeCell ref="Q35:R35"/>
    <mergeCell ref="S35:V35"/>
    <mergeCell ref="W35:Y35"/>
    <mergeCell ref="Q26:Y26"/>
    <mergeCell ref="Q27:Y27"/>
    <mergeCell ref="U32:V32"/>
    <mergeCell ref="A28:A32"/>
    <mergeCell ref="B28:B32"/>
    <mergeCell ref="C28:C32"/>
    <mergeCell ref="D28:D32"/>
    <mergeCell ref="E28:E32"/>
    <mergeCell ref="F28:F32"/>
    <mergeCell ref="G28:G32"/>
    <mergeCell ref="H28:H32"/>
    <mergeCell ref="I28:I32"/>
    <mergeCell ref="J28:J32"/>
    <mergeCell ref="K28:K32"/>
    <mergeCell ref="M28:N28"/>
    <mergeCell ref="A26:A27"/>
    <mergeCell ref="A37:E37"/>
    <mergeCell ref="M37:M40"/>
    <mergeCell ref="N37:N40"/>
    <mergeCell ref="O37:O40"/>
    <mergeCell ref="P37:P40"/>
    <mergeCell ref="Q37:Q40"/>
    <mergeCell ref="R37:R40"/>
    <mergeCell ref="A38:E38"/>
    <mergeCell ref="A39:E39"/>
    <mergeCell ref="X82:Y83"/>
    <mergeCell ref="G84:M84"/>
    <mergeCell ref="O68:P71"/>
    <mergeCell ref="J53:K53"/>
    <mergeCell ref="N53:O53"/>
    <mergeCell ref="J54:K54"/>
    <mergeCell ref="N54:O54"/>
    <mergeCell ref="A52:I52"/>
    <mergeCell ref="J52:K52"/>
    <mergeCell ref="L52:M52"/>
    <mergeCell ref="N52:O52"/>
    <mergeCell ref="X52:Y52"/>
    <mergeCell ref="A53:I53"/>
    <mergeCell ref="L53:M53"/>
    <mergeCell ref="P53:Q53"/>
    <mergeCell ref="R53:S53"/>
    <mergeCell ref="T53:U53"/>
    <mergeCell ref="V53:W53"/>
    <mergeCell ref="X53:Y53"/>
    <mergeCell ref="J56:K56"/>
    <mergeCell ref="N56:O56"/>
    <mergeCell ref="P52:Q52"/>
    <mergeCell ref="R52:S52"/>
    <mergeCell ref="T52:U52"/>
    <mergeCell ref="X89:Y89"/>
    <mergeCell ref="A90:I90"/>
    <mergeCell ref="L90:M90"/>
    <mergeCell ref="P90:Q90"/>
    <mergeCell ref="R90:S90"/>
    <mergeCell ref="T90:U90"/>
    <mergeCell ref="V90:W90"/>
    <mergeCell ref="X90:Y90"/>
    <mergeCell ref="P95:Q95"/>
    <mergeCell ref="R95:S95"/>
    <mergeCell ref="T95:U95"/>
    <mergeCell ref="V95:W95"/>
    <mergeCell ref="X95:Y95"/>
    <mergeCell ref="J89:K89"/>
    <mergeCell ref="N89:O89"/>
    <mergeCell ref="J90:K90"/>
    <mergeCell ref="N90:O90"/>
    <mergeCell ref="J91:K91"/>
    <mergeCell ref="N91:O91"/>
    <mergeCell ref="X91:Y91"/>
    <mergeCell ref="A92:I92"/>
    <mergeCell ref="L92:M92"/>
    <mergeCell ref="P92:Q92"/>
    <mergeCell ref="R92:S92"/>
    <mergeCell ref="A95:G96"/>
    <mergeCell ref="H95:I95"/>
    <mergeCell ref="J95:K95"/>
    <mergeCell ref="L95:M95"/>
    <mergeCell ref="N95:O95"/>
    <mergeCell ref="A119:Y119"/>
    <mergeCell ref="M107:N110"/>
    <mergeCell ref="O107:P110"/>
    <mergeCell ref="Q107:S110"/>
    <mergeCell ref="U107:V107"/>
    <mergeCell ref="X107:Y107"/>
    <mergeCell ref="U108:V108"/>
    <mergeCell ref="X108:Y108"/>
    <mergeCell ref="U109:V109"/>
    <mergeCell ref="X109:Y109"/>
    <mergeCell ref="U110:V110"/>
    <mergeCell ref="X110:Y110"/>
    <mergeCell ref="A113:E114"/>
    <mergeCell ref="F113:G113"/>
    <mergeCell ref="H113:I113"/>
    <mergeCell ref="M113:N113"/>
    <mergeCell ref="A97:G97"/>
    <mergeCell ref="O113:P113"/>
    <mergeCell ref="Q113:R113"/>
    <mergeCell ref="A120:S120"/>
    <mergeCell ref="U120:V120"/>
    <mergeCell ref="A118:E118"/>
    <mergeCell ref="A104:A105"/>
    <mergeCell ref="B104:B105"/>
    <mergeCell ref="C104:C105"/>
    <mergeCell ref="A99:G99"/>
    <mergeCell ref="A100:G100"/>
    <mergeCell ref="A101:G101"/>
    <mergeCell ref="A106:A110"/>
    <mergeCell ref="B106:B110"/>
    <mergeCell ref="C106:C110"/>
    <mergeCell ref="D106:D110"/>
    <mergeCell ref="E106:E110"/>
    <mergeCell ref="F106:F110"/>
    <mergeCell ref="G106:G110"/>
    <mergeCell ref="H106:H110"/>
    <mergeCell ref="I106:I110"/>
    <mergeCell ref="J106:J110"/>
    <mergeCell ref="K106:K110"/>
    <mergeCell ref="M106:N106"/>
    <mergeCell ref="O106:P106"/>
    <mergeCell ref="Q106:S106"/>
    <mergeCell ref="T106:Y106"/>
    <mergeCell ref="X132:Y132"/>
    <mergeCell ref="J128:K128"/>
    <mergeCell ref="N128:O128"/>
    <mergeCell ref="A128:I128"/>
    <mergeCell ref="L128:M128"/>
    <mergeCell ref="P128:Q128"/>
    <mergeCell ref="R128:S128"/>
    <mergeCell ref="T128:U128"/>
    <mergeCell ref="V128:W128"/>
    <mergeCell ref="X128:Y128"/>
    <mergeCell ref="J129:K129"/>
    <mergeCell ref="N129:O129"/>
    <mergeCell ref="J130:K130"/>
    <mergeCell ref="N130:O130"/>
    <mergeCell ref="A129:I129"/>
    <mergeCell ref="L129:M129"/>
    <mergeCell ref="P129:Q129"/>
    <mergeCell ref="R129:S129"/>
    <mergeCell ref="T129:U129"/>
    <mergeCell ref="V129:W129"/>
    <mergeCell ref="X129:Y129"/>
    <mergeCell ref="A130:I130"/>
    <mergeCell ref="L130:M130"/>
    <mergeCell ref="P130:Q130"/>
    <mergeCell ref="P134:Q134"/>
    <mergeCell ref="R134:S134"/>
    <mergeCell ref="T134:U134"/>
    <mergeCell ref="V134:W134"/>
    <mergeCell ref="A132:I132"/>
    <mergeCell ref="J132:K132"/>
    <mergeCell ref="L132:M132"/>
    <mergeCell ref="N132:O132"/>
    <mergeCell ref="P132:Q132"/>
    <mergeCell ref="R132:S132"/>
    <mergeCell ref="T132:U132"/>
    <mergeCell ref="V132:W132"/>
    <mergeCell ref="K145:K149"/>
    <mergeCell ref="M145:N145"/>
    <mergeCell ref="O145:P145"/>
    <mergeCell ref="Q145:S145"/>
    <mergeCell ref="T145:Y145"/>
    <mergeCell ref="M146:N149"/>
    <mergeCell ref="U148:V148"/>
    <mergeCell ref="X148:Y148"/>
    <mergeCell ref="U149:V149"/>
    <mergeCell ref="X149:Y149"/>
    <mergeCell ref="X173:Y173"/>
    <mergeCell ref="A175:G175"/>
    <mergeCell ref="J170:K170"/>
    <mergeCell ref="J171:K171"/>
    <mergeCell ref="A171:I171"/>
    <mergeCell ref="L171:M171"/>
    <mergeCell ref="N171:O171"/>
    <mergeCell ref="P171:Q171"/>
    <mergeCell ref="R171:S171"/>
    <mergeCell ref="T171:U171"/>
    <mergeCell ref="V171:W171"/>
    <mergeCell ref="X171:Y171"/>
    <mergeCell ref="A173:G174"/>
    <mergeCell ref="H173:I173"/>
    <mergeCell ref="J173:K173"/>
    <mergeCell ref="L173:M173"/>
    <mergeCell ref="N173:O173"/>
    <mergeCell ref="P173:Q173"/>
    <mergeCell ref="R173:S173"/>
    <mergeCell ref="T173:U173"/>
    <mergeCell ref="V173:W173"/>
    <mergeCell ref="A2:Y2"/>
    <mergeCell ref="A3:S3"/>
    <mergeCell ref="U3:V3"/>
    <mergeCell ref="A4:D4"/>
    <mergeCell ref="E4:G4"/>
    <mergeCell ref="H4:I4"/>
    <mergeCell ref="J4:K4"/>
    <mergeCell ref="L4:M4"/>
    <mergeCell ref="N4:P4"/>
    <mergeCell ref="Q4:T5"/>
    <mergeCell ref="U4:W5"/>
    <mergeCell ref="X4:Y5"/>
    <mergeCell ref="A6:F6"/>
    <mergeCell ref="G6:M6"/>
    <mergeCell ref="Q6:U6"/>
    <mergeCell ref="V6:Y6"/>
    <mergeCell ref="A8:I8"/>
    <mergeCell ref="J8:K10"/>
    <mergeCell ref="L8:M10"/>
    <mergeCell ref="N8:O10"/>
    <mergeCell ref="P8:Q10"/>
    <mergeCell ref="R8:W8"/>
    <mergeCell ref="X8:Y10"/>
    <mergeCell ref="A9:I10"/>
    <mergeCell ref="R9:S10"/>
    <mergeCell ref="T9:U10"/>
    <mergeCell ref="V9:W10"/>
    <mergeCell ref="L13:M13"/>
    <mergeCell ref="V13:W13"/>
    <mergeCell ref="X13:Y13"/>
    <mergeCell ref="A14:I14"/>
    <mergeCell ref="J14:K14"/>
    <mergeCell ref="L14:M14"/>
    <mergeCell ref="V14:W14"/>
    <mergeCell ref="X14:Y14"/>
    <mergeCell ref="A15:I15"/>
    <mergeCell ref="J15:K15"/>
    <mergeCell ref="L15:M15"/>
    <mergeCell ref="N15:O15"/>
    <mergeCell ref="P15:Q15"/>
    <mergeCell ref="R15:S15"/>
    <mergeCell ref="T15:U15"/>
    <mergeCell ref="V15:W15"/>
    <mergeCell ref="X15:Y15"/>
    <mergeCell ref="N13:O13"/>
    <mergeCell ref="P13:Q13"/>
    <mergeCell ref="R13:S13"/>
    <mergeCell ref="T13:U13"/>
    <mergeCell ref="A13:I13"/>
    <mergeCell ref="J13:K13"/>
    <mergeCell ref="B26:B27"/>
    <mergeCell ref="C26:C27"/>
    <mergeCell ref="D26:E26"/>
    <mergeCell ref="F26:I26"/>
    <mergeCell ref="J26:J27"/>
    <mergeCell ref="K26:K27"/>
    <mergeCell ref="M26:N26"/>
    <mergeCell ref="O26:P26"/>
    <mergeCell ref="M27:N27"/>
    <mergeCell ref="O27:P27"/>
    <mergeCell ref="O28:P28"/>
    <mergeCell ref="Q28:S28"/>
    <mergeCell ref="T28:Y28"/>
    <mergeCell ref="M29:N32"/>
    <mergeCell ref="O29:P32"/>
    <mergeCell ref="Q29:S32"/>
    <mergeCell ref="U29:V29"/>
    <mergeCell ref="X29:Y29"/>
    <mergeCell ref="U30:V30"/>
    <mergeCell ref="X30:Y30"/>
    <mergeCell ref="U31:V31"/>
    <mergeCell ref="X31:Y31"/>
    <mergeCell ref="X32:Y32"/>
    <mergeCell ref="S39:S40"/>
    <mergeCell ref="T39:T40"/>
    <mergeCell ref="U39:U40"/>
    <mergeCell ref="V39:V40"/>
    <mergeCell ref="W39:W40"/>
    <mergeCell ref="X39:X40"/>
    <mergeCell ref="Y39:Y40"/>
    <mergeCell ref="A40:E40"/>
    <mergeCell ref="A41:Y41"/>
    <mergeCell ref="A42:S42"/>
    <mergeCell ref="U42:V42"/>
    <mergeCell ref="A43:D43"/>
    <mergeCell ref="E43:G43"/>
    <mergeCell ref="H43:I43"/>
    <mergeCell ref="J43:K43"/>
    <mergeCell ref="L43:M43"/>
    <mergeCell ref="N43:P43"/>
    <mergeCell ref="Q43:T44"/>
    <mergeCell ref="U43:W44"/>
    <mergeCell ref="X43:Y44"/>
    <mergeCell ref="A45:F45"/>
    <mergeCell ref="G45:M45"/>
    <mergeCell ref="Q45:U45"/>
    <mergeCell ref="V45:Y45"/>
    <mergeCell ref="A47:I47"/>
    <mergeCell ref="J47:K49"/>
    <mergeCell ref="L47:M49"/>
    <mergeCell ref="N47:O49"/>
    <mergeCell ref="P47:Q49"/>
    <mergeCell ref="R47:W47"/>
    <mergeCell ref="X47:Y49"/>
    <mergeCell ref="A48:I49"/>
    <mergeCell ref="R48:S49"/>
    <mergeCell ref="T48:U49"/>
    <mergeCell ref="V48:W49"/>
    <mergeCell ref="L50:M50"/>
    <mergeCell ref="V50:W50"/>
    <mergeCell ref="X50:Y50"/>
    <mergeCell ref="A51:I51"/>
    <mergeCell ref="J51:K51"/>
    <mergeCell ref="L51:M51"/>
    <mergeCell ref="N51:O51"/>
    <mergeCell ref="P51:Q51"/>
    <mergeCell ref="R51:S51"/>
    <mergeCell ref="T51:U51"/>
    <mergeCell ref="V51:W51"/>
    <mergeCell ref="X51:Y51"/>
    <mergeCell ref="N50:O50"/>
    <mergeCell ref="P50:Q50"/>
    <mergeCell ref="R50:S50"/>
    <mergeCell ref="T50:U50"/>
    <mergeCell ref="A50:I50"/>
    <mergeCell ref="J50:K50"/>
    <mergeCell ref="X54:Y54"/>
    <mergeCell ref="A56:G57"/>
    <mergeCell ref="H56:I56"/>
    <mergeCell ref="L56:M56"/>
    <mergeCell ref="P56:Q56"/>
    <mergeCell ref="R56:S56"/>
    <mergeCell ref="T56:U56"/>
    <mergeCell ref="V56:W56"/>
    <mergeCell ref="X56:Y56"/>
    <mergeCell ref="A61:G61"/>
    <mergeCell ref="A62:G62"/>
    <mergeCell ref="A65:A66"/>
    <mergeCell ref="B65:B66"/>
    <mergeCell ref="C65:C66"/>
    <mergeCell ref="D65:E65"/>
    <mergeCell ref="F65:I65"/>
    <mergeCell ref="J65:J66"/>
    <mergeCell ref="K65:K66"/>
    <mergeCell ref="M65:N65"/>
    <mergeCell ref="O65:P65"/>
    <mergeCell ref="Q65:Y65"/>
    <mergeCell ref="M66:N66"/>
    <mergeCell ref="O66:P66"/>
    <mergeCell ref="Q66:Y66"/>
    <mergeCell ref="A67:A71"/>
    <mergeCell ref="B67:B71"/>
    <mergeCell ref="C67:C71"/>
    <mergeCell ref="D67:D71"/>
    <mergeCell ref="E67:E71"/>
    <mergeCell ref="F67:F71"/>
    <mergeCell ref="G67:G71"/>
    <mergeCell ref="H67:H71"/>
    <mergeCell ref="I67:I71"/>
    <mergeCell ref="J67:J71"/>
    <mergeCell ref="K67:K71"/>
    <mergeCell ref="M67:N67"/>
    <mergeCell ref="O67:P67"/>
    <mergeCell ref="Q67:S67"/>
    <mergeCell ref="T67:Y67"/>
    <mergeCell ref="M68:N71"/>
    <mergeCell ref="Q68:S71"/>
    <mergeCell ref="X68:Y68"/>
    <mergeCell ref="U69:V69"/>
    <mergeCell ref="X69:Y69"/>
    <mergeCell ref="U70:V70"/>
    <mergeCell ref="X70:Y70"/>
    <mergeCell ref="U71:V71"/>
    <mergeCell ref="X71:Y71"/>
    <mergeCell ref="A74:E75"/>
    <mergeCell ref="F74:G74"/>
    <mergeCell ref="H74:I74"/>
    <mergeCell ref="M74:N74"/>
    <mergeCell ref="O74:P74"/>
    <mergeCell ref="Q74:R74"/>
    <mergeCell ref="S74:V74"/>
    <mergeCell ref="W74:Y74"/>
    <mergeCell ref="A76:E76"/>
    <mergeCell ref="M76:M79"/>
    <mergeCell ref="N76:N79"/>
    <mergeCell ref="O76:O79"/>
    <mergeCell ref="P76:P79"/>
    <mergeCell ref="Q76:Q79"/>
    <mergeCell ref="R76:R79"/>
    <mergeCell ref="A77:E77"/>
    <mergeCell ref="A78:E78"/>
    <mergeCell ref="S78:S79"/>
    <mergeCell ref="T78:T79"/>
    <mergeCell ref="U78:U79"/>
    <mergeCell ref="V78:V79"/>
    <mergeCell ref="W78:W79"/>
    <mergeCell ref="X78:X79"/>
    <mergeCell ref="Y78:Y79"/>
    <mergeCell ref="A79:E79"/>
    <mergeCell ref="A80:Y80"/>
    <mergeCell ref="A81:S81"/>
    <mergeCell ref="U81:V81"/>
    <mergeCell ref="A82:D82"/>
    <mergeCell ref="E82:G82"/>
    <mergeCell ref="H82:I82"/>
    <mergeCell ref="J82:K82"/>
    <mergeCell ref="L82:M82"/>
    <mergeCell ref="N82:P82"/>
    <mergeCell ref="Q82:T83"/>
    <mergeCell ref="U82:W83"/>
    <mergeCell ref="Q84:U84"/>
    <mergeCell ref="V84:Y84"/>
    <mergeCell ref="A86:I86"/>
    <mergeCell ref="J86:K88"/>
    <mergeCell ref="L86:M88"/>
    <mergeCell ref="N86:O88"/>
    <mergeCell ref="P86:Q88"/>
    <mergeCell ref="R86:W86"/>
    <mergeCell ref="X86:Y88"/>
    <mergeCell ref="A87:I88"/>
    <mergeCell ref="R87:S88"/>
    <mergeCell ref="T87:U88"/>
    <mergeCell ref="V87:W88"/>
    <mergeCell ref="A84:F84"/>
    <mergeCell ref="A91:I91"/>
    <mergeCell ref="D104:E104"/>
    <mergeCell ref="F104:I104"/>
    <mergeCell ref="J104:J105"/>
    <mergeCell ref="K104:K105"/>
    <mergeCell ref="M104:N104"/>
    <mergeCell ref="O104:P104"/>
    <mergeCell ref="Q104:Y104"/>
    <mergeCell ref="M105:N105"/>
    <mergeCell ref="O105:P105"/>
    <mergeCell ref="Q105:Y105"/>
    <mergeCell ref="T92:U92"/>
    <mergeCell ref="V92:W92"/>
    <mergeCell ref="X92:Y92"/>
    <mergeCell ref="A93:I93"/>
    <mergeCell ref="L93:M93"/>
    <mergeCell ref="P93:Q93"/>
    <mergeCell ref="R93:S93"/>
    <mergeCell ref="T93:U93"/>
    <mergeCell ref="V93:W93"/>
    <mergeCell ref="X93:Y93"/>
    <mergeCell ref="A98:G98"/>
    <mergeCell ref="J93:K93"/>
    <mergeCell ref="N93:O93"/>
    <mergeCell ref="S113:V113"/>
    <mergeCell ref="W113:Y113"/>
    <mergeCell ref="A115:E115"/>
    <mergeCell ref="M115:M118"/>
    <mergeCell ref="N115:N118"/>
    <mergeCell ref="O115:O118"/>
    <mergeCell ref="P115:P118"/>
    <mergeCell ref="Q115:Q118"/>
    <mergeCell ref="R115:R118"/>
    <mergeCell ref="A116:E116"/>
    <mergeCell ref="A117:E117"/>
    <mergeCell ref="S117:S118"/>
    <mergeCell ref="T117:T118"/>
    <mergeCell ref="U117:U118"/>
    <mergeCell ref="V117:V118"/>
    <mergeCell ref="W117:W118"/>
    <mergeCell ref="X117:X118"/>
    <mergeCell ref="Y117:Y118"/>
    <mergeCell ref="Q121:T122"/>
    <mergeCell ref="U121:W122"/>
    <mergeCell ref="X121:Y122"/>
    <mergeCell ref="A123:F123"/>
    <mergeCell ref="G123:M123"/>
    <mergeCell ref="Q123:U123"/>
    <mergeCell ref="V123:Y123"/>
    <mergeCell ref="A125:I125"/>
    <mergeCell ref="J125:K127"/>
    <mergeCell ref="L125:M127"/>
    <mergeCell ref="N125:O127"/>
    <mergeCell ref="P125:Q127"/>
    <mergeCell ref="R125:W125"/>
    <mergeCell ref="X125:Y127"/>
    <mergeCell ref="A126:I127"/>
    <mergeCell ref="R126:S127"/>
    <mergeCell ref="T126:U127"/>
    <mergeCell ref="V126:W127"/>
    <mergeCell ref="A121:D121"/>
    <mergeCell ref="E121:G121"/>
    <mergeCell ref="H121:I121"/>
    <mergeCell ref="J121:K121"/>
    <mergeCell ref="L121:M121"/>
    <mergeCell ref="N121:P121"/>
    <mergeCell ref="R130:S130"/>
    <mergeCell ref="T130:U130"/>
    <mergeCell ref="V130:W130"/>
    <mergeCell ref="X130:Y130"/>
    <mergeCell ref="A131:I13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X134:Y134"/>
    <mergeCell ref="A136:G136"/>
    <mergeCell ref="A137:G137"/>
    <mergeCell ref="A138:G138"/>
    <mergeCell ref="A139:G139"/>
    <mergeCell ref="A140:G140"/>
    <mergeCell ref="A143:A144"/>
    <mergeCell ref="B143:B144"/>
    <mergeCell ref="C143:C144"/>
    <mergeCell ref="D143:E143"/>
    <mergeCell ref="F143:I143"/>
    <mergeCell ref="J143:J144"/>
    <mergeCell ref="K143:K144"/>
    <mergeCell ref="M143:N143"/>
    <mergeCell ref="O143:P143"/>
    <mergeCell ref="Q143:Y143"/>
    <mergeCell ref="M144:N144"/>
    <mergeCell ref="O144:P144"/>
    <mergeCell ref="Q144:Y144"/>
    <mergeCell ref="J134:K134"/>
    <mergeCell ref="A134:G135"/>
    <mergeCell ref="H134:I134"/>
    <mergeCell ref="L134:M134"/>
    <mergeCell ref="N134:O134"/>
    <mergeCell ref="A152:E153"/>
    <mergeCell ref="F152:G152"/>
    <mergeCell ref="H152:I152"/>
    <mergeCell ref="M152:N152"/>
    <mergeCell ref="O152:P152"/>
    <mergeCell ref="Q152:R152"/>
    <mergeCell ref="S152:V152"/>
    <mergeCell ref="W152:Y152"/>
    <mergeCell ref="O146:P149"/>
    <mergeCell ref="Q146:S149"/>
    <mergeCell ref="U146:V146"/>
    <mergeCell ref="X146:Y146"/>
    <mergeCell ref="U147:V147"/>
    <mergeCell ref="X147:Y147"/>
    <mergeCell ref="A145:A149"/>
    <mergeCell ref="B145:B149"/>
    <mergeCell ref="C145:C149"/>
    <mergeCell ref="D145:D149"/>
    <mergeCell ref="E145:E149"/>
    <mergeCell ref="F145:F149"/>
    <mergeCell ref="G145:G149"/>
    <mergeCell ref="H145:H149"/>
    <mergeCell ref="I145:I149"/>
    <mergeCell ref="J145:J149"/>
    <mergeCell ref="X164:Y166"/>
    <mergeCell ref="A165:I166"/>
    <mergeCell ref="R165:S166"/>
    <mergeCell ref="A160:D160"/>
    <mergeCell ref="E160:G160"/>
    <mergeCell ref="J160:K160"/>
    <mergeCell ref="L160:M160"/>
    <mergeCell ref="N160:P160"/>
    <mergeCell ref="Q160:T161"/>
    <mergeCell ref="U160:W161"/>
    <mergeCell ref="X160:Y161"/>
    <mergeCell ref="J164:K166"/>
    <mergeCell ref="L164:M166"/>
    <mergeCell ref="N164:O166"/>
    <mergeCell ref="P164:Q166"/>
    <mergeCell ref="R164:W164"/>
    <mergeCell ref="A164:I164"/>
    <mergeCell ref="T165:U166"/>
    <mergeCell ref="V165:W166"/>
    <mergeCell ref="A154:E154"/>
    <mergeCell ref="M154:M157"/>
    <mergeCell ref="N154:N157"/>
    <mergeCell ref="O154:O157"/>
    <mergeCell ref="P154:P157"/>
    <mergeCell ref="Q154:Q157"/>
    <mergeCell ref="R154:R157"/>
    <mergeCell ref="A155:E155"/>
    <mergeCell ref="A156:E156"/>
    <mergeCell ref="S156:S157"/>
    <mergeCell ref="T156:T157"/>
    <mergeCell ref="U156:U157"/>
    <mergeCell ref="V156:V157"/>
    <mergeCell ref="W156:W157"/>
    <mergeCell ref="A159:S159"/>
    <mergeCell ref="U159:V159"/>
    <mergeCell ref="A162:F162"/>
    <mergeCell ref="G162:M162"/>
    <mergeCell ref="Q162:U162"/>
    <mergeCell ref="V162:Y162"/>
    <mergeCell ref="H160:I160"/>
    <mergeCell ref="A157:E157"/>
    <mergeCell ref="A158:Y158"/>
    <mergeCell ref="X156:X157"/>
    <mergeCell ref="Y156:Y157"/>
    <mergeCell ref="X167:Y167"/>
    <mergeCell ref="A168:I168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A167:I167"/>
    <mergeCell ref="J167:K167"/>
    <mergeCell ref="L167:M167"/>
    <mergeCell ref="N167:O167"/>
    <mergeCell ref="P167:Q167"/>
    <mergeCell ref="R167:S167"/>
    <mergeCell ref="T167:U167"/>
    <mergeCell ref="V167:W167"/>
    <mergeCell ref="A169:I169"/>
    <mergeCell ref="L169:M169"/>
    <mergeCell ref="N169:O169"/>
    <mergeCell ref="P169:Q169"/>
    <mergeCell ref="R169:S169"/>
    <mergeCell ref="T169:U169"/>
    <mergeCell ref="V169:W169"/>
    <mergeCell ref="X169:Y169"/>
    <mergeCell ref="A170:I170"/>
    <mergeCell ref="L170:M170"/>
    <mergeCell ref="N170:O170"/>
    <mergeCell ref="P170:Q170"/>
    <mergeCell ref="R170:S170"/>
    <mergeCell ref="T170:U170"/>
    <mergeCell ref="V170:W170"/>
    <mergeCell ref="X170:Y170"/>
    <mergeCell ref="J169:K169"/>
    <mergeCell ref="A176:G176"/>
    <mergeCell ref="A177:G177"/>
    <mergeCell ref="A178:G178"/>
    <mergeCell ref="A179:G179"/>
    <mergeCell ref="A182:A183"/>
    <mergeCell ref="B182:B183"/>
    <mergeCell ref="C182:C183"/>
    <mergeCell ref="D182:E182"/>
    <mergeCell ref="F182:I182"/>
    <mergeCell ref="J182:J183"/>
    <mergeCell ref="K182:K183"/>
    <mergeCell ref="M182:N182"/>
    <mergeCell ref="O182:P182"/>
    <mergeCell ref="Q182:Y182"/>
    <mergeCell ref="M183:N183"/>
    <mergeCell ref="O183:P183"/>
    <mergeCell ref="Q183:Y183"/>
    <mergeCell ref="A184:A188"/>
    <mergeCell ref="B184:B188"/>
    <mergeCell ref="C184:C188"/>
    <mergeCell ref="D184:D188"/>
    <mergeCell ref="E184:E188"/>
    <mergeCell ref="F184:F188"/>
    <mergeCell ref="G184:G188"/>
    <mergeCell ref="H184:H188"/>
    <mergeCell ref="I184:I188"/>
    <mergeCell ref="J184:J188"/>
    <mergeCell ref="K184:K188"/>
    <mergeCell ref="M184:N184"/>
    <mergeCell ref="O184:P184"/>
    <mergeCell ref="Q184:S184"/>
    <mergeCell ref="T184:Y184"/>
    <mergeCell ref="M185:N188"/>
    <mergeCell ref="Y195:Y196"/>
    <mergeCell ref="O185:P188"/>
    <mergeCell ref="Q185:S188"/>
    <mergeCell ref="U185:V185"/>
    <mergeCell ref="X185:Y185"/>
    <mergeCell ref="U186:V186"/>
    <mergeCell ref="X186:Y186"/>
    <mergeCell ref="U187:V187"/>
    <mergeCell ref="X187:Y187"/>
    <mergeCell ref="U188:V188"/>
    <mergeCell ref="X188:Y188"/>
    <mergeCell ref="A196:E196"/>
    <mergeCell ref="A191:E192"/>
    <mergeCell ref="F191:G191"/>
    <mergeCell ref="H191:I191"/>
    <mergeCell ref="M191:N191"/>
    <mergeCell ref="O191:P191"/>
    <mergeCell ref="Q191:R191"/>
    <mergeCell ref="S191:V191"/>
    <mergeCell ref="W191:Y191"/>
    <mergeCell ref="A193:E193"/>
    <mergeCell ref="M193:M196"/>
    <mergeCell ref="N193:N196"/>
    <mergeCell ref="O193:O196"/>
    <mergeCell ref="P193:P196"/>
    <mergeCell ref="Q193:Q196"/>
    <mergeCell ref="R193:R196"/>
    <mergeCell ref="A194:E194"/>
    <mergeCell ref="A195:E195"/>
    <mergeCell ref="S195:S196"/>
    <mergeCell ref="T195:T196"/>
    <mergeCell ref="U195:U196"/>
    <mergeCell ref="V195:V196"/>
    <mergeCell ref="W195:W196"/>
    <mergeCell ref="X195:X196"/>
  </mergeCells>
  <printOptions horizontalCentered="1" verticalCentered="1"/>
  <pageMargins left="0.5" right="0.5" top="0.5" bottom="0.5" header="0.5" footer="0.5"/>
  <pageSetup paperSize="9" scale="70" orientation="landscape" r:id="rId1"/>
  <headerFooter alignWithMargins="0"/>
  <rowBreaks count="4" manualBreakCount="4">
    <brk id="40" max="24" man="1"/>
    <brk id="79" max="24" man="1"/>
    <brk id="118" max="24" man="1"/>
    <brk id="157" max="2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99CC"/>
  </sheetPr>
  <dimension ref="A1:AB196"/>
  <sheetViews>
    <sheetView view="pageBreakPreview" topLeftCell="A178" zoomScale="85" zoomScaleNormal="100" zoomScaleSheetLayoutView="85" workbookViewId="0">
      <selection activeCell="S194" sqref="S194"/>
    </sheetView>
  </sheetViews>
  <sheetFormatPr defaultRowHeight="13.8" x14ac:dyDescent="0.25"/>
  <cols>
    <col min="1" max="1" width="7.88671875" customWidth="1"/>
    <col min="2" max="2" width="11.44140625" customWidth="1"/>
    <col min="3" max="3" width="11" customWidth="1"/>
    <col min="4" max="6" width="7.33203125" customWidth="1"/>
    <col min="7" max="7" width="7.6640625" customWidth="1"/>
    <col min="8" max="8" width="8.33203125" customWidth="1"/>
    <col min="9" max="9" width="7.33203125" customWidth="1"/>
    <col min="10" max="10" width="9.6640625" customWidth="1"/>
    <col min="11" max="11" width="11" customWidth="1"/>
    <col min="12" max="14" width="7.33203125" customWidth="1"/>
    <col min="15" max="15" width="7.5546875" customWidth="1"/>
    <col min="16" max="25" width="7.33203125" customWidth="1"/>
  </cols>
  <sheetData>
    <row r="1" spans="1:28" ht="7.5" customHeight="1" x14ac:dyDescent="0.25"/>
    <row r="2" spans="1:28" ht="18" customHeight="1" x14ac:dyDescent="0.45">
      <c r="A2" s="120" t="s">
        <v>17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</row>
    <row r="3" spans="1:28" ht="21" customHeight="1" x14ac:dyDescent="0.25">
      <c r="A3" s="111" t="s">
        <v>18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"/>
      <c r="U3" s="112" t="s">
        <v>19</v>
      </c>
      <c r="V3" s="112"/>
      <c r="W3" s="1"/>
      <c r="X3" s="1"/>
      <c r="Y3" s="1"/>
    </row>
    <row r="4" spans="1:28" ht="30.9" customHeight="1" x14ac:dyDescent="0.25">
      <c r="A4" s="113" t="s">
        <v>20</v>
      </c>
      <c r="B4" s="113"/>
      <c r="C4" s="113"/>
      <c r="D4" s="113"/>
      <c r="E4" s="117" t="s">
        <v>16</v>
      </c>
      <c r="F4" s="117"/>
      <c r="G4" s="117"/>
      <c r="H4" s="116" t="s">
        <v>22</v>
      </c>
      <c r="I4" s="116"/>
      <c r="J4" s="115"/>
      <c r="K4" s="115"/>
      <c r="L4" s="116" t="s">
        <v>23</v>
      </c>
      <c r="M4" s="116"/>
      <c r="N4" s="188" t="s">
        <v>15</v>
      </c>
      <c r="O4" s="188"/>
      <c r="P4" s="188"/>
      <c r="Q4" s="118" t="s">
        <v>24</v>
      </c>
      <c r="R4" s="118"/>
      <c r="S4" s="118"/>
      <c r="T4" s="118"/>
      <c r="U4" s="119" t="s">
        <v>25</v>
      </c>
      <c r="V4" s="119"/>
      <c r="W4" s="119"/>
      <c r="X4" s="147" t="s">
        <v>93</v>
      </c>
      <c r="Y4" s="147"/>
    </row>
    <row r="5" spans="1:28" ht="5.25" customHeight="1" x14ac:dyDescent="0.25">
      <c r="Q5" s="118"/>
      <c r="R5" s="118"/>
      <c r="S5" s="118"/>
      <c r="T5" s="118"/>
      <c r="U5" s="119"/>
      <c r="V5" s="119"/>
      <c r="W5" s="119"/>
      <c r="X5" s="147"/>
      <c r="Y5" s="147"/>
    </row>
    <row r="6" spans="1:28" ht="15.75" customHeight="1" x14ac:dyDescent="0.3">
      <c r="A6" s="166" t="s">
        <v>26</v>
      </c>
      <c r="B6" s="166"/>
      <c r="C6" s="166"/>
      <c r="D6" s="166"/>
      <c r="E6" s="166"/>
      <c r="F6" s="166"/>
      <c r="G6" s="167" t="s">
        <v>27</v>
      </c>
      <c r="H6" s="167"/>
      <c r="I6" s="167"/>
      <c r="J6" s="167"/>
      <c r="K6" s="167"/>
      <c r="L6" s="167"/>
      <c r="M6" s="167"/>
      <c r="N6" s="2"/>
      <c r="Q6" s="168" t="s">
        <v>28</v>
      </c>
      <c r="R6" s="168"/>
      <c r="S6" s="168"/>
      <c r="T6" s="168"/>
      <c r="U6" s="168"/>
      <c r="V6" s="148" t="s">
        <v>29</v>
      </c>
      <c r="W6" s="148"/>
      <c r="X6" s="148"/>
      <c r="Y6" s="148"/>
      <c r="AA6" t="s">
        <v>30</v>
      </c>
      <c r="AB6" t="s">
        <v>30</v>
      </c>
    </row>
    <row r="7" spans="1:28" ht="7.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8" ht="15" customHeight="1" x14ac:dyDescent="0.25">
      <c r="A8" s="149" t="s">
        <v>31</v>
      </c>
      <c r="B8" s="150"/>
      <c r="C8" s="150"/>
      <c r="D8" s="150"/>
      <c r="E8" s="150"/>
      <c r="F8" s="150"/>
      <c r="G8" s="150"/>
      <c r="H8" s="150"/>
      <c r="I8" s="151"/>
      <c r="J8" s="152" t="s">
        <v>32</v>
      </c>
      <c r="K8" s="153"/>
      <c r="L8" s="152" t="s">
        <v>33</v>
      </c>
      <c r="M8" s="153"/>
      <c r="N8" s="91" t="s">
        <v>34</v>
      </c>
      <c r="O8" s="92"/>
      <c r="P8" s="152" t="s">
        <v>35</v>
      </c>
      <c r="Q8" s="153"/>
      <c r="R8" s="68" t="s">
        <v>36</v>
      </c>
      <c r="S8" s="69"/>
      <c r="T8" s="69"/>
      <c r="U8" s="69"/>
      <c r="V8" s="69"/>
      <c r="W8" s="70"/>
      <c r="X8" s="152" t="s">
        <v>7</v>
      </c>
      <c r="Y8" s="153"/>
    </row>
    <row r="9" spans="1:28" ht="23.25" customHeight="1" x14ac:dyDescent="0.25">
      <c r="A9" s="158" t="s">
        <v>37</v>
      </c>
      <c r="B9" s="159"/>
      <c r="C9" s="159"/>
      <c r="D9" s="159"/>
      <c r="E9" s="159"/>
      <c r="F9" s="159"/>
      <c r="G9" s="159"/>
      <c r="H9" s="159"/>
      <c r="I9" s="160"/>
      <c r="J9" s="154"/>
      <c r="K9" s="155"/>
      <c r="L9" s="154"/>
      <c r="M9" s="155"/>
      <c r="N9" s="93"/>
      <c r="O9" s="94"/>
      <c r="P9" s="154"/>
      <c r="Q9" s="155"/>
      <c r="R9" s="164" t="s">
        <v>38</v>
      </c>
      <c r="S9" s="164"/>
      <c r="T9" s="164" t="s">
        <v>39</v>
      </c>
      <c r="U9" s="164"/>
      <c r="V9" s="164" t="s">
        <v>40</v>
      </c>
      <c r="W9" s="164"/>
      <c r="X9" s="154"/>
      <c r="Y9" s="155"/>
    </row>
    <row r="10" spans="1:28" x14ac:dyDescent="0.25">
      <c r="A10" s="161"/>
      <c r="B10" s="162"/>
      <c r="C10" s="162"/>
      <c r="D10" s="162"/>
      <c r="E10" s="162"/>
      <c r="F10" s="162"/>
      <c r="G10" s="162"/>
      <c r="H10" s="162"/>
      <c r="I10" s="163"/>
      <c r="J10" s="156"/>
      <c r="K10" s="157"/>
      <c r="L10" s="156"/>
      <c r="M10" s="157"/>
      <c r="N10" s="95"/>
      <c r="O10" s="96"/>
      <c r="P10" s="156"/>
      <c r="Q10" s="157"/>
      <c r="R10" s="165"/>
      <c r="S10" s="165"/>
      <c r="T10" s="165"/>
      <c r="U10" s="165"/>
      <c r="V10" s="165"/>
      <c r="W10" s="165"/>
      <c r="X10" s="156"/>
      <c r="Y10" s="157"/>
    </row>
    <row r="11" spans="1:28" ht="18" customHeight="1" x14ac:dyDescent="0.3">
      <c r="A11" s="106" t="s">
        <v>41</v>
      </c>
      <c r="B11" s="107"/>
      <c r="C11" s="107"/>
      <c r="D11" s="107"/>
      <c r="E11" s="107"/>
      <c r="F11" s="107"/>
      <c r="G11" s="107"/>
      <c r="H11" s="107"/>
      <c r="I11" s="108"/>
      <c r="J11" s="68">
        <v>42</v>
      </c>
      <c r="K11" s="70"/>
      <c r="L11" s="68">
        <v>7</v>
      </c>
      <c r="M11" s="70"/>
      <c r="N11" s="68">
        <v>0</v>
      </c>
      <c r="O11" s="70"/>
      <c r="P11" s="68">
        <v>49</v>
      </c>
      <c r="Q11" s="70"/>
      <c r="R11" s="68">
        <v>0</v>
      </c>
      <c r="S11" s="70"/>
      <c r="T11" s="68">
        <v>0</v>
      </c>
      <c r="U11" s="70"/>
      <c r="V11" s="68">
        <v>0</v>
      </c>
      <c r="W11" s="70"/>
      <c r="X11" s="80">
        <v>49</v>
      </c>
      <c r="Y11" s="82"/>
    </row>
    <row r="12" spans="1:28" ht="18" customHeight="1" x14ac:dyDescent="0.3">
      <c r="A12" s="106" t="s">
        <v>42</v>
      </c>
      <c r="B12" s="107"/>
      <c r="C12" s="107"/>
      <c r="D12" s="107"/>
      <c r="E12" s="107"/>
      <c r="F12" s="107"/>
      <c r="G12" s="107"/>
      <c r="H12" s="107"/>
      <c r="I12" s="108"/>
      <c r="J12" s="68">
        <v>6</v>
      </c>
      <c r="K12" s="70"/>
      <c r="L12" s="68">
        <v>3</v>
      </c>
      <c r="M12" s="70"/>
      <c r="N12" s="68">
        <v>0</v>
      </c>
      <c r="O12" s="70"/>
      <c r="P12" s="68">
        <v>9</v>
      </c>
      <c r="Q12" s="70"/>
      <c r="R12" s="68">
        <v>1</v>
      </c>
      <c r="S12" s="70"/>
      <c r="T12" s="68">
        <v>0</v>
      </c>
      <c r="U12" s="70"/>
      <c r="V12" s="68">
        <v>0</v>
      </c>
      <c r="W12" s="70"/>
      <c r="X12" s="80">
        <v>10</v>
      </c>
      <c r="Y12" s="82"/>
    </row>
    <row r="13" spans="1:28" ht="18" customHeight="1" x14ac:dyDescent="0.3">
      <c r="A13" s="106" t="s">
        <v>43</v>
      </c>
      <c r="B13" s="107"/>
      <c r="C13" s="107"/>
      <c r="D13" s="107"/>
      <c r="E13" s="107"/>
      <c r="F13" s="107"/>
      <c r="G13" s="107"/>
      <c r="H13" s="107"/>
      <c r="I13" s="108"/>
      <c r="J13" s="68">
        <v>0</v>
      </c>
      <c r="K13" s="70"/>
      <c r="L13" s="68">
        <v>0</v>
      </c>
      <c r="M13" s="70"/>
      <c r="N13" s="68">
        <v>0</v>
      </c>
      <c r="O13" s="70"/>
      <c r="P13" s="68">
        <v>0</v>
      </c>
      <c r="Q13" s="70"/>
      <c r="R13" s="68">
        <v>0</v>
      </c>
      <c r="S13" s="70"/>
      <c r="T13" s="68">
        <v>0</v>
      </c>
      <c r="U13" s="70"/>
      <c r="V13" s="68">
        <v>0</v>
      </c>
      <c r="W13" s="70"/>
      <c r="X13" s="80">
        <v>0</v>
      </c>
      <c r="Y13" s="82"/>
    </row>
    <row r="14" spans="1:28" ht="18" customHeight="1" x14ac:dyDescent="0.3">
      <c r="A14" s="106" t="s">
        <v>44</v>
      </c>
      <c r="B14" s="107"/>
      <c r="C14" s="107"/>
      <c r="D14" s="107"/>
      <c r="E14" s="107"/>
      <c r="F14" s="107"/>
      <c r="G14" s="107"/>
      <c r="H14" s="107"/>
      <c r="I14" s="108"/>
      <c r="J14" s="68">
        <v>4</v>
      </c>
      <c r="K14" s="70"/>
      <c r="L14" s="68">
        <v>0</v>
      </c>
      <c r="M14" s="70"/>
      <c r="N14" s="68">
        <v>0</v>
      </c>
      <c r="O14" s="70"/>
      <c r="P14" s="68">
        <v>4</v>
      </c>
      <c r="Q14" s="70"/>
      <c r="R14" s="68">
        <v>0</v>
      </c>
      <c r="S14" s="70"/>
      <c r="T14" s="68">
        <v>0</v>
      </c>
      <c r="U14" s="70"/>
      <c r="V14" s="68">
        <v>0</v>
      </c>
      <c r="W14" s="70"/>
      <c r="X14" s="80">
        <v>4</v>
      </c>
      <c r="Y14" s="82"/>
    </row>
    <row r="15" spans="1:28" ht="18" customHeight="1" x14ac:dyDescent="0.3">
      <c r="A15" s="106" t="s">
        <v>7</v>
      </c>
      <c r="B15" s="107"/>
      <c r="C15" s="107"/>
      <c r="D15" s="107"/>
      <c r="E15" s="107"/>
      <c r="F15" s="107"/>
      <c r="G15" s="107"/>
      <c r="H15" s="107"/>
      <c r="I15" s="108"/>
      <c r="J15" s="68">
        <v>52</v>
      </c>
      <c r="K15" s="70"/>
      <c r="L15" s="68">
        <v>10</v>
      </c>
      <c r="M15" s="70"/>
      <c r="N15" s="68">
        <v>0</v>
      </c>
      <c r="O15" s="70"/>
      <c r="P15" s="68">
        <v>62</v>
      </c>
      <c r="Q15" s="70"/>
      <c r="R15" s="68">
        <v>1</v>
      </c>
      <c r="S15" s="70"/>
      <c r="T15" s="68">
        <v>0</v>
      </c>
      <c r="U15" s="70"/>
      <c r="V15" s="68">
        <v>0</v>
      </c>
      <c r="W15" s="70"/>
      <c r="X15" s="80">
        <v>63</v>
      </c>
      <c r="Y15" s="82"/>
    </row>
    <row r="16" spans="1:28" ht="15.6" x14ac:dyDescent="0.3">
      <c r="A16" s="4" t="s">
        <v>45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6"/>
      <c r="S16" s="6"/>
      <c r="T16" s="6"/>
      <c r="U16" s="6"/>
      <c r="V16" s="6"/>
      <c r="W16" s="6"/>
      <c r="X16" s="6"/>
      <c r="Y16" s="7"/>
    </row>
    <row r="17" spans="1:28" x14ac:dyDescent="0.25">
      <c r="A17" s="71"/>
      <c r="B17" s="72"/>
      <c r="C17" s="72"/>
      <c r="D17" s="72"/>
      <c r="E17" s="72"/>
      <c r="F17" s="72"/>
      <c r="G17" s="73"/>
      <c r="H17" s="68" t="s">
        <v>0</v>
      </c>
      <c r="I17" s="69"/>
      <c r="J17" s="136" t="s">
        <v>1</v>
      </c>
      <c r="K17" s="69"/>
      <c r="L17" s="134" t="s">
        <v>2</v>
      </c>
      <c r="M17" s="69"/>
      <c r="N17" s="134" t="s">
        <v>3</v>
      </c>
      <c r="O17" s="69"/>
      <c r="P17" s="134" t="s">
        <v>4</v>
      </c>
      <c r="Q17" s="135"/>
      <c r="R17" s="134" t="s">
        <v>5</v>
      </c>
      <c r="S17" s="69"/>
      <c r="T17" s="134" t="s">
        <v>6</v>
      </c>
      <c r="U17" s="69"/>
      <c r="V17" s="134" t="s">
        <v>46</v>
      </c>
      <c r="W17" s="69"/>
      <c r="X17" s="134" t="s">
        <v>7</v>
      </c>
      <c r="Y17" s="135"/>
      <c r="Z17" s="8"/>
      <c r="AA17" s="9"/>
      <c r="AB17" s="9"/>
    </row>
    <row r="18" spans="1:28" x14ac:dyDescent="0.25">
      <c r="A18" s="74"/>
      <c r="B18" s="75"/>
      <c r="C18" s="75"/>
      <c r="D18" s="75"/>
      <c r="E18" s="75"/>
      <c r="F18" s="75"/>
      <c r="G18" s="76"/>
      <c r="H18" s="10" t="s">
        <v>10</v>
      </c>
      <c r="I18" s="10" t="s">
        <v>11</v>
      </c>
      <c r="J18" s="10" t="s">
        <v>10</v>
      </c>
      <c r="K18" s="10" t="s">
        <v>11</v>
      </c>
      <c r="L18" s="10" t="s">
        <v>10</v>
      </c>
      <c r="M18" s="10" t="s">
        <v>11</v>
      </c>
      <c r="N18" s="10" t="s">
        <v>10</v>
      </c>
      <c r="O18" s="10" t="s">
        <v>11</v>
      </c>
      <c r="P18" s="10" t="s">
        <v>10</v>
      </c>
      <c r="Q18" s="10" t="s">
        <v>11</v>
      </c>
      <c r="R18" s="10" t="s">
        <v>10</v>
      </c>
      <c r="S18" s="10" t="s">
        <v>11</v>
      </c>
      <c r="T18" s="10" t="s">
        <v>10</v>
      </c>
      <c r="U18" s="10" t="s">
        <v>11</v>
      </c>
      <c r="V18" s="10" t="s">
        <v>10</v>
      </c>
      <c r="W18" s="10" t="s">
        <v>11</v>
      </c>
      <c r="X18" s="10" t="s">
        <v>10</v>
      </c>
      <c r="Y18" s="10" t="s">
        <v>11</v>
      </c>
    </row>
    <row r="19" spans="1:28" ht="18" customHeight="1" x14ac:dyDescent="0.25">
      <c r="A19" s="106" t="s">
        <v>41</v>
      </c>
      <c r="B19" s="107"/>
      <c r="C19" s="107"/>
      <c r="D19" s="107"/>
      <c r="E19" s="107"/>
      <c r="F19" s="107"/>
      <c r="G19" s="108"/>
      <c r="H19" s="10">
        <v>0</v>
      </c>
      <c r="I19" s="10">
        <v>0</v>
      </c>
      <c r="J19" s="10">
        <v>0</v>
      </c>
      <c r="K19" s="10">
        <v>0</v>
      </c>
      <c r="L19" s="10">
        <v>7</v>
      </c>
      <c r="M19" s="10">
        <v>4</v>
      </c>
      <c r="N19" s="10">
        <v>5</v>
      </c>
      <c r="O19" s="10">
        <v>3</v>
      </c>
      <c r="P19" s="10">
        <v>2</v>
      </c>
      <c r="Q19" s="10">
        <v>6</v>
      </c>
      <c r="R19" s="10">
        <v>6</v>
      </c>
      <c r="S19" s="10">
        <v>3</v>
      </c>
      <c r="T19" s="10">
        <v>1</v>
      </c>
      <c r="U19" s="10">
        <v>3</v>
      </c>
      <c r="V19" s="10">
        <v>7</v>
      </c>
      <c r="W19" s="10">
        <v>2</v>
      </c>
      <c r="X19" s="10">
        <v>28</v>
      </c>
      <c r="Y19" s="10">
        <v>21</v>
      </c>
    </row>
    <row r="20" spans="1:28" ht="18" customHeight="1" x14ac:dyDescent="0.25">
      <c r="A20" s="106" t="s">
        <v>42</v>
      </c>
      <c r="B20" s="107"/>
      <c r="C20" s="107"/>
      <c r="D20" s="107"/>
      <c r="E20" s="107"/>
      <c r="F20" s="107"/>
      <c r="G20" s="108"/>
      <c r="H20" s="10">
        <v>0</v>
      </c>
      <c r="I20" s="10">
        <v>0</v>
      </c>
      <c r="J20" s="10">
        <v>0</v>
      </c>
      <c r="K20" s="10">
        <v>0</v>
      </c>
      <c r="L20" s="10">
        <v>1</v>
      </c>
      <c r="M20" s="10">
        <v>2</v>
      </c>
      <c r="N20" s="10">
        <v>1</v>
      </c>
      <c r="O20" s="10">
        <v>0</v>
      </c>
      <c r="P20" s="10">
        <v>1</v>
      </c>
      <c r="Q20" s="10">
        <v>0</v>
      </c>
      <c r="R20" s="10">
        <v>1</v>
      </c>
      <c r="S20" s="10">
        <v>0</v>
      </c>
      <c r="T20" s="10">
        <v>0</v>
      </c>
      <c r="U20" s="10">
        <v>0</v>
      </c>
      <c r="V20" s="10">
        <v>1</v>
      </c>
      <c r="W20" s="10">
        <v>2</v>
      </c>
      <c r="X20" s="10">
        <v>5</v>
      </c>
      <c r="Y20" s="10">
        <v>4</v>
      </c>
    </row>
    <row r="21" spans="1:28" ht="18" customHeight="1" x14ac:dyDescent="0.25">
      <c r="A21" s="106" t="s">
        <v>43</v>
      </c>
      <c r="B21" s="107"/>
      <c r="C21" s="107"/>
      <c r="D21" s="107"/>
      <c r="E21" s="107"/>
      <c r="F21" s="107"/>
      <c r="G21" s="108"/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</row>
    <row r="22" spans="1:28" ht="18" customHeight="1" x14ac:dyDescent="0.25">
      <c r="A22" s="106" t="s">
        <v>44</v>
      </c>
      <c r="B22" s="107"/>
      <c r="C22" s="107"/>
      <c r="D22" s="107"/>
      <c r="E22" s="107"/>
      <c r="F22" s="107"/>
      <c r="G22" s="108"/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1</v>
      </c>
      <c r="N22" s="10">
        <v>1</v>
      </c>
      <c r="O22" s="10">
        <v>0</v>
      </c>
      <c r="P22" s="10">
        <v>0</v>
      </c>
      <c r="Q22" s="10">
        <v>0</v>
      </c>
      <c r="R22" s="10">
        <v>0</v>
      </c>
      <c r="S22" s="10">
        <v>1</v>
      </c>
      <c r="T22" s="10">
        <v>0</v>
      </c>
      <c r="U22" s="10">
        <v>1</v>
      </c>
      <c r="V22" s="10">
        <v>0</v>
      </c>
      <c r="W22" s="10">
        <v>0</v>
      </c>
      <c r="X22" s="10">
        <v>1</v>
      </c>
      <c r="Y22" s="10">
        <v>3</v>
      </c>
    </row>
    <row r="23" spans="1:28" ht="18" customHeight="1" x14ac:dyDescent="0.25">
      <c r="A23" s="106" t="s">
        <v>7</v>
      </c>
      <c r="B23" s="107"/>
      <c r="C23" s="107"/>
      <c r="D23" s="107"/>
      <c r="E23" s="107"/>
      <c r="F23" s="107"/>
      <c r="G23" s="108"/>
      <c r="H23" s="10">
        <v>0</v>
      </c>
      <c r="I23" s="10">
        <v>0</v>
      </c>
      <c r="J23" s="10">
        <v>0</v>
      </c>
      <c r="K23" s="10">
        <v>0</v>
      </c>
      <c r="L23" s="10">
        <v>8</v>
      </c>
      <c r="M23" s="10">
        <v>7</v>
      </c>
      <c r="N23" s="10">
        <v>7</v>
      </c>
      <c r="O23" s="10">
        <v>3</v>
      </c>
      <c r="P23" s="10">
        <v>3</v>
      </c>
      <c r="Q23" s="10">
        <v>6</v>
      </c>
      <c r="R23" s="10">
        <v>7</v>
      </c>
      <c r="S23" s="10">
        <v>4</v>
      </c>
      <c r="T23" s="10">
        <v>1</v>
      </c>
      <c r="U23" s="10">
        <v>4</v>
      </c>
      <c r="V23" s="10">
        <v>8</v>
      </c>
      <c r="W23" s="10">
        <v>4</v>
      </c>
      <c r="X23" s="10">
        <v>34</v>
      </c>
      <c r="Y23" s="10">
        <v>28</v>
      </c>
    </row>
    <row r="24" spans="1:28" ht="6.75" customHeight="1" x14ac:dyDescent="0.25">
      <c r="A24" s="11"/>
      <c r="B24" s="12"/>
      <c r="C24" s="12"/>
      <c r="D24" s="12"/>
      <c r="E24" s="12"/>
      <c r="F24" s="13"/>
      <c r="G24" s="13"/>
      <c r="H24" s="13"/>
      <c r="I24" s="13"/>
      <c r="J24" s="13"/>
      <c r="K24" s="13"/>
      <c r="L24" s="14"/>
      <c r="M24" s="13"/>
      <c r="N24" s="15"/>
      <c r="O24" s="16"/>
      <c r="P24" s="13"/>
      <c r="Q24" s="13"/>
      <c r="R24" s="13"/>
      <c r="S24" s="13"/>
      <c r="T24" s="13"/>
      <c r="U24" s="13"/>
      <c r="V24" s="13"/>
      <c r="W24" s="13"/>
      <c r="X24" s="13"/>
      <c r="Y24" s="17"/>
    </row>
    <row r="25" spans="1:28" ht="18" customHeight="1" x14ac:dyDescent="0.3">
      <c r="A25" s="18" t="s">
        <v>47</v>
      </c>
      <c r="B25" s="19"/>
      <c r="C25" s="19"/>
      <c r="D25" s="19"/>
      <c r="E25" s="19"/>
      <c r="F25" s="19"/>
      <c r="G25" s="19"/>
      <c r="H25" s="19"/>
      <c r="I25" s="19"/>
      <c r="J25" s="19"/>
      <c r="K25" s="20"/>
      <c r="L25" s="21"/>
      <c r="M25" s="18" t="s">
        <v>48</v>
      </c>
      <c r="N25" s="19"/>
      <c r="O25" s="19"/>
      <c r="P25" s="19"/>
      <c r="Q25" s="22"/>
      <c r="R25" s="22"/>
      <c r="S25" s="22"/>
      <c r="T25" s="22"/>
      <c r="U25" s="22"/>
      <c r="V25" s="22"/>
      <c r="W25" s="22"/>
      <c r="X25" s="22"/>
      <c r="Y25" s="23"/>
    </row>
    <row r="26" spans="1:28" ht="57.75" customHeight="1" x14ac:dyDescent="0.25">
      <c r="A26" s="101" t="s">
        <v>49</v>
      </c>
      <c r="B26" s="101" t="s">
        <v>50</v>
      </c>
      <c r="C26" s="101" t="s">
        <v>51</v>
      </c>
      <c r="D26" s="77" t="s">
        <v>52</v>
      </c>
      <c r="E26" s="78"/>
      <c r="F26" s="77" t="s">
        <v>53</v>
      </c>
      <c r="G26" s="79"/>
      <c r="H26" s="79"/>
      <c r="I26" s="78"/>
      <c r="J26" s="101" t="s">
        <v>54</v>
      </c>
      <c r="K26" s="101" t="s">
        <v>55</v>
      </c>
      <c r="L26" s="24"/>
      <c r="M26" s="86" t="s">
        <v>56</v>
      </c>
      <c r="N26" s="88"/>
      <c r="O26" s="86" t="s">
        <v>57</v>
      </c>
      <c r="P26" s="88"/>
      <c r="Q26" s="86" t="s">
        <v>58</v>
      </c>
      <c r="R26" s="87"/>
      <c r="S26" s="87"/>
      <c r="T26" s="87"/>
      <c r="U26" s="87"/>
      <c r="V26" s="87"/>
      <c r="W26" s="87"/>
      <c r="X26" s="87"/>
      <c r="Y26" s="88"/>
    </row>
    <row r="27" spans="1:28" ht="38.25" customHeight="1" x14ac:dyDescent="0.25">
      <c r="A27" s="102"/>
      <c r="B27" s="102"/>
      <c r="C27" s="102"/>
      <c r="D27" s="25" t="s">
        <v>59</v>
      </c>
      <c r="E27" s="25" t="s">
        <v>60</v>
      </c>
      <c r="F27" s="26" t="s">
        <v>59</v>
      </c>
      <c r="G27" s="26" t="s">
        <v>60</v>
      </c>
      <c r="H27" s="26" t="s">
        <v>61</v>
      </c>
      <c r="I27" s="26" t="s">
        <v>62</v>
      </c>
      <c r="J27" s="102"/>
      <c r="K27" s="102"/>
      <c r="L27" s="24"/>
      <c r="M27" s="91">
        <v>0</v>
      </c>
      <c r="N27" s="92"/>
      <c r="O27" s="91">
        <v>0</v>
      </c>
      <c r="P27" s="92"/>
      <c r="Q27" s="86">
        <v>0</v>
      </c>
      <c r="R27" s="87"/>
      <c r="S27" s="87"/>
      <c r="T27" s="87"/>
      <c r="U27" s="87"/>
      <c r="V27" s="87"/>
      <c r="W27" s="87"/>
      <c r="X27" s="87"/>
      <c r="Y27" s="88"/>
    </row>
    <row r="28" spans="1:28" ht="38.25" customHeight="1" x14ac:dyDescent="0.25">
      <c r="A28" s="103">
        <v>39519</v>
      </c>
      <c r="B28" s="103">
        <v>367</v>
      </c>
      <c r="C28" s="103">
        <v>0</v>
      </c>
      <c r="D28" s="103">
        <v>260</v>
      </c>
      <c r="E28" s="103">
        <v>94</v>
      </c>
      <c r="F28" s="103">
        <v>2</v>
      </c>
      <c r="G28" s="103">
        <v>1</v>
      </c>
      <c r="H28" s="103">
        <v>45</v>
      </c>
      <c r="I28" s="103">
        <v>48</v>
      </c>
      <c r="J28" s="103">
        <v>49</v>
      </c>
      <c r="K28" s="103">
        <v>53</v>
      </c>
      <c r="L28" s="24"/>
      <c r="M28" s="91" t="s">
        <v>63</v>
      </c>
      <c r="N28" s="92"/>
      <c r="O28" s="91" t="s">
        <v>64</v>
      </c>
      <c r="P28" s="92"/>
      <c r="Q28" s="95" t="s">
        <v>65</v>
      </c>
      <c r="R28" s="99"/>
      <c r="S28" s="96"/>
      <c r="T28" s="95" t="s">
        <v>66</v>
      </c>
      <c r="U28" s="99"/>
      <c r="V28" s="99"/>
      <c r="W28" s="99"/>
      <c r="X28" s="99"/>
      <c r="Y28" s="96"/>
    </row>
    <row r="29" spans="1:28" ht="19.5" customHeight="1" x14ac:dyDescent="0.25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27"/>
      <c r="M29" s="91">
        <v>0</v>
      </c>
      <c r="N29" s="92"/>
      <c r="O29" s="91">
        <v>0</v>
      </c>
      <c r="P29" s="92"/>
      <c r="Q29" s="91">
        <v>0</v>
      </c>
      <c r="R29" s="97"/>
      <c r="S29" s="92"/>
      <c r="T29" s="28"/>
      <c r="U29" s="86" t="s">
        <v>0</v>
      </c>
      <c r="V29" s="88"/>
      <c r="W29" s="29" t="s">
        <v>1</v>
      </c>
      <c r="X29" s="86" t="s">
        <v>67</v>
      </c>
      <c r="Y29" s="88"/>
    </row>
    <row r="30" spans="1:28" ht="18" customHeight="1" x14ac:dyDescent="0.25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27"/>
      <c r="M30" s="93"/>
      <c r="N30" s="94"/>
      <c r="O30" s="93"/>
      <c r="P30" s="94"/>
      <c r="Q30" s="93"/>
      <c r="R30" s="98"/>
      <c r="S30" s="94"/>
      <c r="T30" s="30" t="s">
        <v>68</v>
      </c>
      <c r="U30" s="100">
        <v>0</v>
      </c>
      <c r="V30" s="100"/>
      <c r="W30" s="29">
        <v>0</v>
      </c>
      <c r="X30" s="186">
        <v>0</v>
      </c>
      <c r="Y30" s="187"/>
    </row>
    <row r="31" spans="1:28" ht="18" customHeight="1" x14ac:dyDescent="0.25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27"/>
      <c r="M31" s="93"/>
      <c r="N31" s="94"/>
      <c r="O31" s="93"/>
      <c r="P31" s="94"/>
      <c r="Q31" s="93"/>
      <c r="R31" s="98"/>
      <c r="S31" s="94"/>
      <c r="T31" s="30" t="s">
        <v>69</v>
      </c>
      <c r="U31" s="100">
        <v>0</v>
      </c>
      <c r="V31" s="100"/>
      <c r="W31" s="29">
        <v>0</v>
      </c>
      <c r="X31" s="186">
        <v>0</v>
      </c>
      <c r="Y31" s="187"/>
    </row>
    <row r="32" spans="1:28" ht="18" customHeight="1" x14ac:dyDescent="0.2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27"/>
      <c r="M32" s="95"/>
      <c r="N32" s="96"/>
      <c r="O32" s="95"/>
      <c r="P32" s="96"/>
      <c r="Q32" s="95"/>
      <c r="R32" s="99"/>
      <c r="S32" s="96"/>
      <c r="T32" s="30" t="s">
        <v>70</v>
      </c>
      <c r="U32" s="100">
        <v>0</v>
      </c>
      <c r="V32" s="100"/>
      <c r="W32" s="29">
        <v>0</v>
      </c>
      <c r="X32" s="186">
        <v>0</v>
      </c>
      <c r="Y32" s="187"/>
    </row>
    <row r="33" spans="1:25" ht="8.25" customHeight="1" x14ac:dyDescent="0.2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3"/>
      <c r="M33" s="32"/>
      <c r="N33" s="32"/>
      <c r="O33" s="32"/>
      <c r="P33" s="32"/>
      <c r="Q33" s="32"/>
      <c r="R33" s="34"/>
      <c r="S33" s="34"/>
      <c r="T33" s="34"/>
      <c r="U33" s="34"/>
      <c r="V33" s="34"/>
      <c r="W33" s="32"/>
      <c r="X33" s="32"/>
      <c r="Y33" s="7"/>
    </row>
    <row r="34" spans="1:25" ht="18" customHeight="1" x14ac:dyDescent="0.3">
      <c r="A34" s="18" t="s">
        <v>71</v>
      </c>
      <c r="B34" s="19"/>
      <c r="C34" s="19"/>
      <c r="D34" s="19"/>
      <c r="E34" s="19"/>
      <c r="F34" s="19"/>
      <c r="G34" s="19"/>
      <c r="H34" s="19"/>
      <c r="I34" s="19"/>
      <c r="J34" s="19"/>
      <c r="K34" s="20"/>
      <c r="L34" s="35"/>
      <c r="M34" s="18" t="s">
        <v>72</v>
      </c>
      <c r="N34" s="20"/>
      <c r="O34" s="36"/>
      <c r="P34" s="19"/>
      <c r="Q34" s="19"/>
      <c r="R34" s="19"/>
      <c r="S34" s="19"/>
      <c r="T34" s="19"/>
      <c r="U34" s="19"/>
      <c r="V34" s="19"/>
      <c r="W34" s="22"/>
      <c r="X34" s="22"/>
      <c r="Y34" s="37"/>
    </row>
    <row r="35" spans="1:25" ht="57" customHeight="1" x14ac:dyDescent="0.25">
      <c r="A35" s="71"/>
      <c r="B35" s="72"/>
      <c r="C35" s="72"/>
      <c r="D35" s="72"/>
      <c r="E35" s="73"/>
      <c r="F35" s="68" t="s">
        <v>12</v>
      </c>
      <c r="G35" s="70"/>
      <c r="H35" s="68" t="s">
        <v>13</v>
      </c>
      <c r="I35" s="70"/>
      <c r="J35" s="38" t="s">
        <v>73</v>
      </c>
      <c r="K35" s="39"/>
      <c r="L35" s="40"/>
      <c r="M35" s="77" t="s">
        <v>74</v>
      </c>
      <c r="N35" s="78"/>
      <c r="O35" s="77" t="s">
        <v>75</v>
      </c>
      <c r="P35" s="78"/>
      <c r="Q35" s="77" t="s">
        <v>76</v>
      </c>
      <c r="R35" s="78"/>
      <c r="S35" s="77" t="s">
        <v>77</v>
      </c>
      <c r="T35" s="79"/>
      <c r="U35" s="79"/>
      <c r="V35" s="78"/>
      <c r="W35" s="77" t="s">
        <v>78</v>
      </c>
      <c r="X35" s="79"/>
      <c r="Y35" s="78"/>
    </row>
    <row r="36" spans="1:25" ht="13.5" customHeight="1" x14ac:dyDescent="0.25">
      <c r="A36" s="74"/>
      <c r="B36" s="75"/>
      <c r="C36" s="75"/>
      <c r="D36" s="75"/>
      <c r="E36" s="76"/>
      <c r="F36" s="10" t="s">
        <v>79</v>
      </c>
      <c r="G36" s="10" t="s">
        <v>14</v>
      </c>
      <c r="H36" s="10" t="s">
        <v>79</v>
      </c>
      <c r="I36" s="10" t="s">
        <v>14</v>
      </c>
      <c r="J36" s="10" t="s">
        <v>79</v>
      </c>
      <c r="K36" s="10" t="s">
        <v>14</v>
      </c>
      <c r="L36" s="41"/>
      <c r="M36" s="42" t="s">
        <v>80</v>
      </c>
      <c r="N36" s="42" t="s">
        <v>81</v>
      </c>
      <c r="O36" s="42" t="s">
        <v>80</v>
      </c>
      <c r="P36" s="43" t="s">
        <v>81</v>
      </c>
      <c r="Q36" s="42" t="s">
        <v>80</v>
      </c>
      <c r="R36" s="42" t="s">
        <v>81</v>
      </c>
      <c r="S36" s="44"/>
      <c r="T36" s="42" t="s">
        <v>0</v>
      </c>
      <c r="U36" s="45" t="s">
        <v>1</v>
      </c>
      <c r="V36" s="46" t="s">
        <v>82</v>
      </c>
      <c r="W36" s="42" t="s">
        <v>0</v>
      </c>
      <c r="X36" s="45" t="s">
        <v>1</v>
      </c>
      <c r="Y36" s="46" t="s">
        <v>82</v>
      </c>
    </row>
    <row r="37" spans="1:25" ht="18" customHeight="1" x14ac:dyDescent="0.3">
      <c r="A37" s="80" t="s">
        <v>83</v>
      </c>
      <c r="B37" s="81"/>
      <c r="C37" s="81"/>
      <c r="D37" s="81"/>
      <c r="E37" s="82"/>
      <c r="F37" s="10">
        <v>44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41"/>
      <c r="M37" s="83">
        <v>30</v>
      </c>
      <c r="N37" s="83">
        <v>189</v>
      </c>
      <c r="O37" s="83">
        <v>0</v>
      </c>
      <c r="P37" s="83">
        <v>31</v>
      </c>
      <c r="Q37" s="83">
        <v>0</v>
      </c>
      <c r="R37" s="83">
        <v>2</v>
      </c>
      <c r="S37" s="47" t="s">
        <v>68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</row>
    <row r="38" spans="1:25" ht="18" customHeight="1" x14ac:dyDescent="0.3">
      <c r="A38" s="80" t="s">
        <v>8</v>
      </c>
      <c r="B38" s="81"/>
      <c r="C38" s="81"/>
      <c r="D38" s="81"/>
      <c r="E38" s="82"/>
      <c r="F38" s="10">
        <v>10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41"/>
      <c r="M38" s="84"/>
      <c r="N38" s="84"/>
      <c r="O38" s="84"/>
      <c r="P38" s="84"/>
      <c r="Q38" s="84"/>
      <c r="R38" s="84"/>
      <c r="S38" s="47" t="s">
        <v>69</v>
      </c>
      <c r="T38" s="48">
        <v>0</v>
      </c>
      <c r="U38" s="48">
        <v>0</v>
      </c>
      <c r="V38" s="48">
        <v>0</v>
      </c>
      <c r="W38" s="48">
        <v>0</v>
      </c>
      <c r="X38" s="48">
        <v>0</v>
      </c>
      <c r="Y38" s="48">
        <v>0</v>
      </c>
    </row>
    <row r="39" spans="1:25" ht="18" customHeight="1" x14ac:dyDescent="0.25">
      <c r="A39" s="86" t="s">
        <v>84</v>
      </c>
      <c r="B39" s="87"/>
      <c r="C39" s="87"/>
      <c r="D39" s="87"/>
      <c r="E39" s="88"/>
      <c r="F39" s="10">
        <v>1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41"/>
      <c r="M39" s="84"/>
      <c r="N39" s="84"/>
      <c r="O39" s="84"/>
      <c r="P39" s="84"/>
      <c r="Q39" s="84"/>
      <c r="R39" s="84"/>
      <c r="S39" s="89" t="s">
        <v>70</v>
      </c>
      <c r="T39" s="83">
        <v>0</v>
      </c>
      <c r="U39" s="83">
        <v>0</v>
      </c>
      <c r="V39" s="83">
        <v>0</v>
      </c>
      <c r="W39" s="83">
        <v>0</v>
      </c>
      <c r="X39" s="83">
        <v>0</v>
      </c>
      <c r="Y39" s="83">
        <v>0</v>
      </c>
    </row>
    <row r="40" spans="1:25" ht="18" customHeight="1" x14ac:dyDescent="0.25">
      <c r="A40" s="68" t="s">
        <v>7</v>
      </c>
      <c r="B40" s="69"/>
      <c r="C40" s="69"/>
      <c r="D40" s="69"/>
      <c r="E40" s="70"/>
      <c r="F40" s="10">
        <v>55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41"/>
      <c r="M40" s="85"/>
      <c r="N40" s="85"/>
      <c r="O40" s="85"/>
      <c r="P40" s="85"/>
      <c r="Q40" s="85"/>
      <c r="R40" s="85"/>
      <c r="S40" s="90"/>
      <c r="T40" s="85"/>
      <c r="U40" s="85"/>
      <c r="V40" s="85"/>
      <c r="W40" s="85"/>
      <c r="X40" s="85"/>
      <c r="Y40" s="85"/>
    </row>
    <row r="41" spans="1:25" ht="23.4" x14ac:dyDescent="0.45">
      <c r="A41" s="120" t="s">
        <v>17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</row>
    <row r="42" spans="1:25" ht="23.4" x14ac:dyDescent="0.25">
      <c r="A42" s="111" t="s">
        <v>18</v>
      </c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"/>
      <c r="U42" s="112" t="s">
        <v>19</v>
      </c>
      <c r="V42" s="112"/>
      <c r="W42" s="1"/>
      <c r="X42" s="1"/>
      <c r="Y42" s="1"/>
    </row>
    <row r="43" spans="1:25" ht="25.8" x14ac:dyDescent="0.25">
      <c r="A43" s="113" t="s">
        <v>20</v>
      </c>
      <c r="B43" s="113"/>
      <c r="C43" s="113"/>
      <c r="D43" s="113"/>
      <c r="E43" s="117" t="s">
        <v>16</v>
      </c>
      <c r="F43" s="117"/>
      <c r="G43" s="117"/>
      <c r="H43" s="116" t="s">
        <v>22</v>
      </c>
      <c r="I43" s="116"/>
      <c r="J43" s="115">
        <v>0</v>
      </c>
      <c r="K43" s="115"/>
      <c r="L43" s="116" t="s">
        <v>23</v>
      </c>
      <c r="M43" s="116"/>
      <c r="N43" s="188" t="s">
        <v>15</v>
      </c>
      <c r="O43" s="188"/>
      <c r="P43" s="188"/>
      <c r="Q43" s="118" t="s">
        <v>24</v>
      </c>
      <c r="R43" s="118"/>
      <c r="S43" s="118"/>
      <c r="T43" s="118"/>
      <c r="U43" s="119" t="s">
        <v>85</v>
      </c>
      <c r="V43" s="119"/>
      <c r="W43" s="119"/>
      <c r="X43" s="147" t="s">
        <v>93</v>
      </c>
      <c r="Y43" s="147"/>
    </row>
    <row r="44" spans="1:25" x14ac:dyDescent="0.25">
      <c r="Q44" s="118"/>
      <c r="R44" s="118"/>
      <c r="S44" s="118"/>
      <c r="T44" s="118"/>
      <c r="U44" s="119"/>
      <c r="V44" s="119"/>
      <c r="W44" s="119"/>
      <c r="X44" s="147"/>
      <c r="Y44" s="147"/>
    </row>
    <row r="45" spans="1:25" ht="15.6" x14ac:dyDescent="0.3">
      <c r="A45" s="166" t="s">
        <v>26</v>
      </c>
      <c r="B45" s="166"/>
      <c r="C45" s="166"/>
      <c r="D45" s="166"/>
      <c r="E45" s="166"/>
      <c r="F45" s="166"/>
      <c r="G45" s="167" t="s">
        <v>27</v>
      </c>
      <c r="H45" s="167"/>
      <c r="I45" s="167"/>
      <c r="J45" s="167"/>
      <c r="K45" s="167"/>
      <c r="L45" s="167"/>
      <c r="M45" s="167"/>
      <c r="N45" s="2"/>
      <c r="Q45" s="168" t="s">
        <v>28</v>
      </c>
      <c r="R45" s="168"/>
      <c r="S45" s="168"/>
      <c r="T45" s="168"/>
      <c r="U45" s="168"/>
      <c r="V45" s="148" t="s">
        <v>29</v>
      </c>
      <c r="W45" s="148"/>
      <c r="X45" s="148"/>
      <c r="Y45" s="148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" customHeight="1" x14ac:dyDescent="0.25">
      <c r="A47" s="149" t="s">
        <v>31</v>
      </c>
      <c r="B47" s="150"/>
      <c r="C47" s="150"/>
      <c r="D47" s="150"/>
      <c r="E47" s="150"/>
      <c r="F47" s="150"/>
      <c r="G47" s="150"/>
      <c r="H47" s="150"/>
      <c r="I47" s="151"/>
      <c r="J47" s="152" t="s">
        <v>32</v>
      </c>
      <c r="K47" s="153"/>
      <c r="L47" s="152" t="s">
        <v>33</v>
      </c>
      <c r="M47" s="153"/>
      <c r="N47" s="91" t="s">
        <v>34</v>
      </c>
      <c r="O47" s="92"/>
      <c r="P47" s="152" t="s">
        <v>35</v>
      </c>
      <c r="Q47" s="153"/>
      <c r="R47" s="68" t="s">
        <v>36</v>
      </c>
      <c r="S47" s="69"/>
      <c r="T47" s="69"/>
      <c r="U47" s="69"/>
      <c r="V47" s="69"/>
      <c r="W47" s="70"/>
      <c r="X47" s="152" t="s">
        <v>7</v>
      </c>
      <c r="Y47" s="153"/>
    </row>
    <row r="48" spans="1:25" ht="23.25" customHeight="1" x14ac:dyDescent="0.25">
      <c r="A48" s="158" t="s">
        <v>37</v>
      </c>
      <c r="B48" s="159"/>
      <c r="C48" s="159"/>
      <c r="D48" s="159"/>
      <c r="E48" s="159"/>
      <c r="F48" s="159"/>
      <c r="G48" s="159"/>
      <c r="H48" s="159"/>
      <c r="I48" s="160"/>
      <c r="J48" s="154"/>
      <c r="K48" s="155"/>
      <c r="L48" s="154"/>
      <c r="M48" s="155"/>
      <c r="N48" s="93"/>
      <c r="O48" s="94"/>
      <c r="P48" s="154"/>
      <c r="Q48" s="155"/>
      <c r="R48" s="164" t="s">
        <v>38</v>
      </c>
      <c r="S48" s="164"/>
      <c r="T48" s="164" t="s">
        <v>39</v>
      </c>
      <c r="U48" s="164"/>
      <c r="V48" s="164" t="s">
        <v>40</v>
      </c>
      <c r="W48" s="164"/>
      <c r="X48" s="154"/>
      <c r="Y48" s="155"/>
    </row>
    <row r="49" spans="1:28" x14ac:dyDescent="0.25">
      <c r="A49" s="161"/>
      <c r="B49" s="162"/>
      <c r="C49" s="162"/>
      <c r="D49" s="162"/>
      <c r="E49" s="162"/>
      <c r="F49" s="162"/>
      <c r="G49" s="162"/>
      <c r="H49" s="162"/>
      <c r="I49" s="163"/>
      <c r="J49" s="156"/>
      <c r="K49" s="157"/>
      <c r="L49" s="156"/>
      <c r="M49" s="157"/>
      <c r="N49" s="95"/>
      <c r="O49" s="96"/>
      <c r="P49" s="156"/>
      <c r="Q49" s="157"/>
      <c r="R49" s="165"/>
      <c r="S49" s="165"/>
      <c r="T49" s="165"/>
      <c r="U49" s="165"/>
      <c r="V49" s="165"/>
      <c r="W49" s="165"/>
      <c r="X49" s="156"/>
      <c r="Y49" s="157"/>
    </row>
    <row r="50" spans="1:28" ht="18" customHeight="1" x14ac:dyDescent="0.3">
      <c r="A50" s="106" t="s">
        <v>41</v>
      </c>
      <c r="B50" s="107"/>
      <c r="C50" s="107"/>
      <c r="D50" s="107"/>
      <c r="E50" s="107"/>
      <c r="F50" s="107"/>
      <c r="G50" s="107"/>
      <c r="H50" s="107"/>
      <c r="I50" s="108"/>
      <c r="J50" s="68">
        <v>45</v>
      </c>
      <c r="K50" s="70"/>
      <c r="L50" s="68">
        <v>7</v>
      </c>
      <c r="M50" s="70"/>
      <c r="N50" s="68">
        <v>0</v>
      </c>
      <c r="O50" s="70"/>
      <c r="P50" s="68">
        <v>52</v>
      </c>
      <c r="Q50" s="70"/>
      <c r="R50" s="68">
        <v>0</v>
      </c>
      <c r="S50" s="70"/>
      <c r="T50" s="68">
        <v>0</v>
      </c>
      <c r="U50" s="70"/>
      <c r="V50" s="68">
        <v>0</v>
      </c>
      <c r="W50" s="70"/>
      <c r="X50" s="80">
        <v>52</v>
      </c>
      <c r="Y50" s="82"/>
    </row>
    <row r="51" spans="1:28" ht="18" customHeight="1" x14ac:dyDescent="0.3">
      <c r="A51" s="106" t="s">
        <v>42</v>
      </c>
      <c r="B51" s="107"/>
      <c r="C51" s="107"/>
      <c r="D51" s="107"/>
      <c r="E51" s="107"/>
      <c r="F51" s="107"/>
      <c r="G51" s="107"/>
      <c r="H51" s="107"/>
      <c r="I51" s="108"/>
      <c r="J51" s="68">
        <v>11</v>
      </c>
      <c r="K51" s="70"/>
      <c r="L51" s="68">
        <v>1</v>
      </c>
      <c r="M51" s="70"/>
      <c r="N51" s="68">
        <v>0</v>
      </c>
      <c r="O51" s="70"/>
      <c r="P51" s="68">
        <v>12</v>
      </c>
      <c r="Q51" s="70"/>
      <c r="R51" s="68">
        <v>0</v>
      </c>
      <c r="S51" s="70"/>
      <c r="T51" s="68">
        <v>0</v>
      </c>
      <c r="U51" s="70"/>
      <c r="V51" s="68">
        <v>0</v>
      </c>
      <c r="W51" s="70"/>
      <c r="X51" s="80">
        <v>12</v>
      </c>
      <c r="Y51" s="82"/>
    </row>
    <row r="52" spans="1:28" ht="18" customHeight="1" x14ac:dyDescent="0.3">
      <c r="A52" s="106" t="s">
        <v>43</v>
      </c>
      <c r="B52" s="107"/>
      <c r="C52" s="107"/>
      <c r="D52" s="107"/>
      <c r="E52" s="107"/>
      <c r="F52" s="107"/>
      <c r="G52" s="107"/>
      <c r="H52" s="107"/>
      <c r="I52" s="108"/>
      <c r="J52" s="68">
        <v>0</v>
      </c>
      <c r="K52" s="70"/>
      <c r="L52" s="68">
        <v>0</v>
      </c>
      <c r="M52" s="70"/>
      <c r="N52" s="68">
        <v>0</v>
      </c>
      <c r="O52" s="70"/>
      <c r="P52" s="68">
        <v>0</v>
      </c>
      <c r="Q52" s="70"/>
      <c r="R52" s="68">
        <v>0</v>
      </c>
      <c r="S52" s="70"/>
      <c r="T52" s="68">
        <v>0</v>
      </c>
      <c r="U52" s="70"/>
      <c r="V52" s="68">
        <v>0</v>
      </c>
      <c r="W52" s="70"/>
      <c r="X52" s="80">
        <v>0</v>
      </c>
      <c r="Y52" s="82"/>
    </row>
    <row r="53" spans="1:28" ht="18" customHeight="1" x14ac:dyDescent="0.3">
      <c r="A53" s="106" t="s">
        <v>44</v>
      </c>
      <c r="B53" s="107"/>
      <c r="C53" s="107"/>
      <c r="D53" s="107"/>
      <c r="E53" s="107"/>
      <c r="F53" s="107"/>
      <c r="G53" s="107"/>
      <c r="H53" s="107"/>
      <c r="I53" s="108"/>
      <c r="J53" s="68">
        <v>7</v>
      </c>
      <c r="K53" s="70"/>
      <c r="L53" s="68">
        <v>0</v>
      </c>
      <c r="M53" s="70"/>
      <c r="N53" s="68">
        <v>0</v>
      </c>
      <c r="O53" s="70"/>
      <c r="P53" s="68">
        <v>7</v>
      </c>
      <c r="Q53" s="70"/>
      <c r="R53" s="68">
        <v>0</v>
      </c>
      <c r="S53" s="70"/>
      <c r="T53" s="68">
        <v>0</v>
      </c>
      <c r="U53" s="70"/>
      <c r="V53" s="68">
        <v>0</v>
      </c>
      <c r="W53" s="70"/>
      <c r="X53" s="80">
        <v>7</v>
      </c>
      <c r="Y53" s="82"/>
    </row>
    <row r="54" spans="1:28" ht="18" customHeight="1" x14ac:dyDescent="0.3">
      <c r="A54" s="106" t="s">
        <v>7</v>
      </c>
      <c r="B54" s="107"/>
      <c r="C54" s="107"/>
      <c r="D54" s="107"/>
      <c r="E54" s="107"/>
      <c r="F54" s="107"/>
      <c r="G54" s="107"/>
      <c r="H54" s="107"/>
      <c r="I54" s="108"/>
      <c r="J54" s="68">
        <v>63</v>
      </c>
      <c r="K54" s="70"/>
      <c r="L54" s="68">
        <v>8</v>
      </c>
      <c r="M54" s="70"/>
      <c r="N54" s="68">
        <v>0</v>
      </c>
      <c r="O54" s="70"/>
      <c r="P54" s="68">
        <v>71</v>
      </c>
      <c r="Q54" s="70"/>
      <c r="R54" s="68">
        <v>0</v>
      </c>
      <c r="S54" s="70"/>
      <c r="T54" s="68">
        <v>0</v>
      </c>
      <c r="U54" s="70"/>
      <c r="V54" s="68">
        <v>0</v>
      </c>
      <c r="W54" s="70"/>
      <c r="X54" s="80">
        <v>71</v>
      </c>
      <c r="Y54" s="82"/>
    </row>
    <row r="55" spans="1:28" ht="15.6" x14ac:dyDescent="0.3">
      <c r="A55" s="4" t="s">
        <v>45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6"/>
      <c r="S55" s="6"/>
      <c r="T55" s="6"/>
      <c r="U55" s="6"/>
      <c r="V55" s="6"/>
      <c r="W55" s="6"/>
      <c r="X55" s="6"/>
      <c r="Y55" s="7"/>
    </row>
    <row r="56" spans="1:28" x14ac:dyDescent="0.25">
      <c r="A56" s="71"/>
      <c r="B56" s="72"/>
      <c r="C56" s="72"/>
      <c r="D56" s="72"/>
      <c r="E56" s="72"/>
      <c r="F56" s="72"/>
      <c r="G56" s="73"/>
      <c r="H56" s="68" t="s">
        <v>0</v>
      </c>
      <c r="I56" s="69"/>
      <c r="J56" s="136" t="s">
        <v>1</v>
      </c>
      <c r="K56" s="69"/>
      <c r="L56" s="134" t="s">
        <v>2</v>
      </c>
      <c r="M56" s="69"/>
      <c r="N56" s="134" t="s">
        <v>3</v>
      </c>
      <c r="O56" s="69"/>
      <c r="P56" s="134" t="s">
        <v>4</v>
      </c>
      <c r="Q56" s="135"/>
      <c r="R56" s="134" t="s">
        <v>5</v>
      </c>
      <c r="S56" s="69"/>
      <c r="T56" s="134" t="s">
        <v>6</v>
      </c>
      <c r="U56" s="69"/>
      <c r="V56" s="134" t="s">
        <v>46</v>
      </c>
      <c r="W56" s="69"/>
      <c r="X56" s="134" t="s">
        <v>7</v>
      </c>
      <c r="Y56" s="135"/>
      <c r="Z56" s="8"/>
      <c r="AA56" s="9"/>
      <c r="AB56" s="9"/>
    </row>
    <row r="57" spans="1:28" x14ac:dyDescent="0.25">
      <c r="A57" s="74"/>
      <c r="B57" s="75"/>
      <c r="C57" s="75"/>
      <c r="D57" s="75"/>
      <c r="E57" s="75"/>
      <c r="F57" s="75"/>
      <c r="G57" s="76"/>
      <c r="H57" s="10" t="s">
        <v>10</v>
      </c>
      <c r="I57" s="10" t="s">
        <v>11</v>
      </c>
      <c r="J57" s="10" t="s">
        <v>10</v>
      </c>
      <c r="K57" s="10" t="s">
        <v>11</v>
      </c>
      <c r="L57" s="10" t="s">
        <v>10</v>
      </c>
      <c r="M57" s="10" t="s">
        <v>11</v>
      </c>
      <c r="N57" s="10" t="s">
        <v>10</v>
      </c>
      <c r="O57" s="10" t="s">
        <v>11</v>
      </c>
      <c r="P57" s="10" t="s">
        <v>10</v>
      </c>
      <c r="Q57" s="10" t="s">
        <v>11</v>
      </c>
      <c r="R57" s="10" t="s">
        <v>10</v>
      </c>
      <c r="S57" s="10" t="s">
        <v>11</v>
      </c>
      <c r="T57" s="10" t="s">
        <v>10</v>
      </c>
      <c r="U57" s="10" t="s">
        <v>11</v>
      </c>
      <c r="V57" s="10" t="s">
        <v>10</v>
      </c>
      <c r="W57" s="10" t="s">
        <v>11</v>
      </c>
      <c r="X57" s="10" t="s">
        <v>10</v>
      </c>
      <c r="Y57" s="10" t="s">
        <v>11</v>
      </c>
    </row>
    <row r="58" spans="1:28" ht="18" customHeight="1" x14ac:dyDescent="0.25">
      <c r="A58" s="106" t="s">
        <v>41</v>
      </c>
      <c r="B58" s="107"/>
      <c r="C58" s="107"/>
      <c r="D58" s="107"/>
      <c r="E58" s="107"/>
      <c r="F58" s="107"/>
      <c r="G58" s="108"/>
      <c r="H58" s="10">
        <v>0</v>
      </c>
      <c r="I58" s="10">
        <v>0</v>
      </c>
      <c r="J58" s="10">
        <v>0</v>
      </c>
      <c r="K58" s="10">
        <v>0</v>
      </c>
      <c r="L58" s="10">
        <v>11</v>
      </c>
      <c r="M58" s="10">
        <v>0</v>
      </c>
      <c r="N58" s="10">
        <v>2</v>
      </c>
      <c r="O58" s="10">
        <v>9</v>
      </c>
      <c r="P58" s="10">
        <v>8</v>
      </c>
      <c r="Q58" s="10">
        <v>6</v>
      </c>
      <c r="R58" s="10">
        <v>6</v>
      </c>
      <c r="S58" s="10">
        <v>2</v>
      </c>
      <c r="T58" s="10">
        <v>3</v>
      </c>
      <c r="U58" s="10">
        <v>0</v>
      </c>
      <c r="V58" s="10">
        <v>3</v>
      </c>
      <c r="W58" s="10">
        <v>2</v>
      </c>
      <c r="X58" s="10">
        <v>33</v>
      </c>
      <c r="Y58" s="10">
        <v>19</v>
      </c>
    </row>
    <row r="59" spans="1:28" ht="18" customHeight="1" x14ac:dyDescent="0.25">
      <c r="A59" s="106" t="s">
        <v>42</v>
      </c>
      <c r="B59" s="107"/>
      <c r="C59" s="107"/>
      <c r="D59" s="107"/>
      <c r="E59" s="107"/>
      <c r="F59" s="107"/>
      <c r="G59" s="108"/>
      <c r="H59" s="10">
        <v>0</v>
      </c>
      <c r="I59" s="10">
        <v>0</v>
      </c>
      <c r="J59" s="10">
        <v>0</v>
      </c>
      <c r="K59" s="10">
        <v>0</v>
      </c>
      <c r="L59" s="10">
        <v>1</v>
      </c>
      <c r="M59" s="10">
        <v>1</v>
      </c>
      <c r="N59" s="10">
        <v>1</v>
      </c>
      <c r="O59" s="10">
        <v>0</v>
      </c>
      <c r="P59" s="10">
        <v>0</v>
      </c>
      <c r="Q59" s="10">
        <v>4</v>
      </c>
      <c r="R59" s="10">
        <v>1</v>
      </c>
      <c r="S59" s="10">
        <v>1</v>
      </c>
      <c r="T59" s="10">
        <v>0</v>
      </c>
      <c r="U59" s="10">
        <v>2</v>
      </c>
      <c r="V59" s="10">
        <v>0</v>
      </c>
      <c r="W59" s="10">
        <v>1</v>
      </c>
      <c r="X59" s="10">
        <v>3</v>
      </c>
      <c r="Y59" s="10">
        <v>9</v>
      </c>
    </row>
    <row r="60" spans="1:28" ht="18" customHeight="1" x14ac:dyDescent="0.25">
      <c r="A60" s="106" t="s">
        <v>43</v>
      </c>
      <c r="B60" s="107"/>
      <c r="C60" s="107"/>
      <c r="D60" s="107"/>
      <c r="E60" s="107"/>
      <c r="F60" s="107"/>
      <c r="G60" s="108"/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</row>
    <row r="61" spans="1:28" ht="18" customHeight="1" x14ac:dyDescent="0.25">
      <c r="A61" s="106" t="s">
        <v>44</v>
      </c>
      <c r="B61" s="107"/>
      <c r="C61" s="107"/>
      <c r="D61" s="107"/>
      <c r="E61" s="107"/>
      <c r="F61" s="107"/>
      <c r="G61" s="108"/>
      <c r="H61" s="10">
        <v>0</v>
      </c>
      <c r="I61" s="10">
        <v>0</v>
      </c>
      <c r="J61" s="10">
        <v>0</v>
      </c>
      <c r="K61" s="10">
        <v>0</v>
      </c>
      <c r="L61" s="10">
        <v>1</v>
      </c>
      <c r="M61" s="10">
        <v>0</v>
      </c>
      <c r="N61" s="10">
        <v>1</v>
      </c>
      <c r="O61" s="10">
        <v>0</v>
      </c>
      <c r="P61" s="10">
        <v>2</v>
      </c>
      <c r="Q61" s="10">
        <v>1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2</v>
      </c>
      <c r="X61" s="10">
        <v>4</v>
      </c>
      <c r="Y61" s="10">
        <v>3</v>
      </c>
    </row>
    <row r="62" spans="1:28" ht="18" customHeight="1" x14ac:dyDescent="0.25">
      <c r="A62" s="106" t="s">
        <v>7</v>
      </c>
      <c r="B62" s="107"/>
      <c r="C62" s="107"/>
      <c r="D62" s="107"/>
      <c r="E62" s="107"/>
      <c r="F62" s="107"/>
      <c r="G62" s="108"/>
      <c r="H62" s="10">
        <v>0</v>
      </c>
      <c r="I62" s="10">
        <v>0</v>
      </c>
      <c r="J62" s="10">
        <v>0</v>
      </c>
      <c r="K62" s="10">
        <v>0</v>
      </c>
      <c r="L62" s="10">
        <v>13</v>
      </c>
      <c r="M62" s="10">
        <v>1</v>
      </c>
      <c r="N62" s="10">
        <v>4</v>
      </c>
      <c r="O62" s="10">
        <v>9</v>
      </c>
      <c r="P62" s="10">
        <v>10</v>
      </c>
      <c r="Q62" s="10">
        <v>11</v>
      </c>
      <c r="R62" s="10">
        <v>7</v>
      </c>
      <c r="S62" s="10">
        <v>3</v>
      </c>
      <c r="T62" s="10">
        <v>3</v>
      </c>
      <c r="U62" s="10">
        <v>2</v>
      </c>
      <c r="V62" s="10">
        <v>3</v>
      </c>
      <c r="W62" s="10">
        <v>5</v>
      </c>
      <c r="X62" s="10">
        <v>40</v>
      </c>
      <c r="Y62" s="10">
        <v>31</v>
      </c>
    </row>
    <row r="63" spans="1:28" ht="6.75" customHeight="1" x14ac:dyDescent="0.25">
      <c r="A63" s="11"/>
      <c r="B63" s="12"/>
      <c r="C63" s="12"/>
      <c r="D63" s="12"/>
      <c r="E63" s="12"/>
      <c r="F63" s="13"/>
      <c r="G63" s="13"/>
      <c r="H63" s="13"/>
      <c r="I63" s="13"/>
      <c r="J63" s="13"/>
      <c r="K63" s="13"/>
      <c r="L63" s="14"/>
      <c r="M63" s="13"/>
      <c r="N63" s="15"/>
      <c r="O63" s="16"/>
      <c r="P63" s="13"/>
      <c r="Q63" s="13"/>
      <c r="R63" s="13"/>
      <c r="S63" s="13"/>
      <c r="T63" s="13"/>
      <c r="U63" s="13"/>
      <c r="V63" s="13"/>
      <c r="W63" s="13"/>
      <c r="X63" s="13"/>
      <c r="Y63" s="17"/>
    </row>
    <row r="64" spans="1:28" ht="18" customHeight="1" x14ac:dyDescent="0.3">
      <c r="A64" s="18" t="s">
        <v>47</v>
      </c>
      <c r="B64" s="19"/>
      <c r="C64" s="19"/>
      <c r="D64" s="19"/>
      <c r="E64" s="19"/>
      <c r="F64" s="19"/>
      <c r="G64" s="19"/>
      <c r="H64" s="19"/>
      <c r="I64" s="19"/>
      <c r="J64" s="19"/>
      <c r="K64" s="20"/>
      <c r="L64" s="21"/>
      <c r="M64" s="18" t="s">
        <v>48</v>
      </c>
      <c r="N64" s="19"/>
      <c r="O64" s="19"/>
      <c r="P64" s="19"/>
      <c r="Q64" s="22"/>
      <c r="R64" s="22"/>
      <c r="S64" s="22"/>
      <c r="T64" s="22"/>
      <c r="U64" s="22"/>
      <c r="V64" s="22"/>
      <c r="W64" s="22"/>
      <c r="X64" s="22"/>
      <c r="Y64" s="23"/>
    </row>
    <row r="65" spans="1:25" ht="57.75" customHeight="1" x14ac:dyDescent="0.25">
      <c r="A65" s="101" t="s">
        <v>49</v>
      </c>
      <c r="B65" s="101" t="s">
        <v>50</v>
      </c>
      <c r="C65" s="101" t="s">
        <v>51</v>
      </c>
      <c r="D65" s="77" t="s">
        <v>52</v>
      </c>
      <c r="E65" s="78"/>
      <c r="F65" s="77" t="s">
        <v>53</v>
      </c>
      <c r="G65" s="79"/>
      <c r="H65" s="79"/>
      <c r="I65" s="78"/>
      <c r="J65" s="101" t="s">
        <v>54</v>
      </c>
      <c r="K65" s="101" t="s">
        <v>55</v>
      </c>
      <c r="L65" s="24"/>
      <c r="M65" s="86" t="s">
        <v>56</v>
      </c>
      <c r="N65" s="88"/>
      <c r="O65" s="86" t="s">
        <v>57</v>
      </c>
      <c r="P65" s="88"/>
      <c r="Q65" s="86" t="s">
        <v>58</v>
      </c>
      <c r="R65" s="87"/>
      <c r="S65" s="87"/>
      <c r="T65" s="87"/>
      <c r="U65" s="87"/>
      <c r="V65" s="87"/>
      <c r="W65" s="87"/>
      <c r="X65" s="87"/>
      <c r="Y65" s="88"/>
    </row>
    <row r="66" spans="1:25" ht="38.25" customHeight="1" x14ac:dyDescent="0.25">
      <c r="A66" s="102"/>
      <c r="B66" s="102"/>
      <c r="C66" s="102"/>
      <c r="D66" s="25" t="s">
        <v>59</v>
      </c>
      <c r="E66" s="25" t="s">
        <v>60</v>
      </c>
      <c r="F66" s="26" t="s">
        <v>59</v>
      </c>
      <c r="G66" s="26" t="s">
        <v>60</v>
      </c>
      <c r="H66" s="26" t="s">
        <v>61</v>
      </c>
      <c r="I66" s="26" t="s">
        <v>62</v>
      </c>
      <c r="J66" s="102"/>
      <c r="K66" s="102"/>
      <c r="L66" s="24"/>
      <c r="M66" s="91">
        <v>6</v>
      </c>
      <c r="N66" s="92"/>
      <c r="O66" s="91">
        <v>0</v>
      </c>
      <c r="P66" s="92"/>
      <c r="Q66" s="86">
        <v>0</v>
      </c>
      <c r="R66" s="87"/>
      <c r="S66" s="87"/>
      <c r="T66" s="87"/>
      <c r="U66" s="87"/>
      <c r="V66" s="87"/>
      <c r="W66" s="87"/>
      <c r="X66" s="87"/>
      <c r="Y66" s="88"/>
    </row>
    <row r="67" spans="1:25" ht="38.25" customHeight="1" x14ac:dyDescent="0.25">
      <c r="A67" s="103">
        <v>38454</v>
      </c>
      <c r="B67" s="103">
        <v>312</v>
      </c>
      <c r="C67" s="103">
        <v>0</v>
      </c>
      <c r="D67" s="103">
        <v>223</v>
      </c>
      <c r="E67" s="103">
        <v>80</v>
      </c>
      <c r="F67" s="103">
        <v>3</v>
      </c>
      <c r="G67" s="103">
        <v>7</v>
      </c>
      <c r="H67" s="103">
        <v>39</v>
      </c>
      <c r="I67" s="103">
        <v>49</v>
      </c>
      <c r="J67" s="103">
        <v>49</v>
      </c>
      <c r="K67" s="103">
        <v>58</v>
      </c>
      <c r="L67" s="24"/>
      <c r="M67" s="91" t="s">
        <v>63</v>
      </c>
      <c r="N67" s="92"/>
      <c r="O67" s="91" t="s">
        <v>64</v>
      </c>
      <c r="P67" s="92"/>
      <c r="Q67" s="95" t="s">
        <v>65</v>
      </c>
      <c r="R67" s="99"/>
      <c r="S67" s="96"/>
      <c r="T67" s="95" t="s">
        <v>66</v>
      </c>
      <c r="U67" s="99"/>
      <c r="V67" s="99"/>
      <c r="W67" s="99"/>
      <c r="X67" s="99"/>
      <c r="Y67" s="96"/>
    </row>
    <row r="68" spans="1:25" ht="19.5" customHeight="1" x14ac:dyDescent="0.25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27"/>
      <c r="M68" s="91">
        <v>0</v>
      </c>
      <c r="N68" s="92"/>
      <c r="O68" s="91">
        <v>0</v>
      </c>
      <c r="P68" s="92"/>
      <c r="Q68" s="91">
        <v>0</v>
      </c>
      <c r="R68" s="97"/>
      <c r="S68" s="92"/>
      <c r="T68" s="28"/>
      <c r="U68" s="86" t="s">
        <v>0</v>
      </c>
      <c r="V68" s="88"/>
      <c r="W68" s="29" t="s">
        <v>1</v>
      </c>
      <c r="X68" s="86" t="s">
        <v>67</v>
      </c>
      <c r="Y68" s="88"/>
    </row>
    <row r="69" spans="1:25" ht="18" customHeight="1" x14ac:dyDescent="0.25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27"/>
      <c r="M69" s="93"/>
      <c r="N69" s="94"/>
      <c r="O69" s="93"/>
      <c r="P69" s="94"/>
      <c r="Q69" s="93"/>
      <c r="R69" s="98"/>
      <c r="S69" s="94"/>
      <c r="T69" s="30" t="s">
        <v>68</v>
      </c>
      <c r="U69" s="100">
        <v>0</v>
      </c>
      <c r="V69" s="100"/>
      <c r="W69" s="29">
        <v>0</v>
      </c>
      <c r="X69" s="186">
        <v>0</v>
      </c>
      <c r="Y69" s="187"/>
    </row>
    <row r="70" spans="1:25" ht="18" customHeight="1" x14ac:dyDescent="0.25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27"/>
      <c r="M70" s="93"/>
      <c r="N70" s="94"/>
      <c r="O70" s="93"/>
      <c r="P70" s="94"/>
      <c r="Q70" s="93"/>
      <c r="R70" s="98"/>
      <c r="S70" s="94"/>
      <c r="T70" s="30" t="s">
        <v>69</v>
      </c>
      <c r="U70" s="100">
        <v>0</v>
      </c>
      <c r="V70" s="100"/>
      <c r="W70" s="29">
        <v>0</v>
      </c>
      <c r="X70" s="186">
        <v>0</v>
      </c>
      <c r="Y70" s="187"/>
    </row>
    <row r="71" spans="1:25" ht="18" customHeight="1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27"/>
      <c r="M71" s="95"/>
      <c r="N71" s="96"/>
      <c r="O71" s="95"/>
      <c r="P71" s="96"/>
      <c r="Q71" s="95"/>
      <c r="R71" s="99"/>
      <c r="S71" s="96"/>
      <c r="T71" s="30" t="s">
        <v>70</v>
      </c>
      <c r="U71" s="100">
        <v>0</v>
      </c>
      <c r="V71" s="100"/>
      <c r="W71" s="29">
        <v>0</v>
      </c>
      <c r="X71" s="186">
        <v>0</v>
      </c>
      <c r="Y71" s="187"/>
    </row>
    <row r="72" spans="1:25" ht="8.25" customHeight="1" x14ac:dyDescent="0.25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3"/>
      <c r="M72" s="32"/>
      <c r="N72" s="32"/>
      <c r="O72" s="32"/>
      <c r="P72" s="32"/>
      <c r="Q72" s="32"/>
      <c r="R72" s="34"/>
      <c r="S72" s="34"/>
      <c r="T72" s="34"/>
      <c r="U72" s="34"/>
      <c r="V72" s="34"/>
      <c r="W72" s="32"/>
      <c r="X72" s="32"/>
      <c r="Y72" s="7"/>
    </row>
    <row r="73" spans="1:25" ht="18" customHeight="1" x14ac:dyDescent="0.3">
      <c r="A73" s="18" t="s">
        <v>71</v>
      </c>
      <c r="B73" s="19"/>
      <c r="C73" s="19"/>
      <c r="D73" s="19"/>
      <c r="E73" s="19"/>
      <c r="F73" s="19"/>
      <c r="G73" s="19"/>
      <c r="H73" s="19"/>
      <c r="I73" s="19"/>
      <c r="J73" s="19"/>
      <c r="K73" s="20"/>
      <c r="L73" s="35"/>
      <c r="M73" s="18" t="s">
        <v>72</v>
      </c>
      <c r="N73" s="20"/>
      <c r="O73" s="36"/>
      <c r="P73" s="19"/>
      <c r="Q73" s="19"/>
      <c r="R73" s="19"/>
      <c r="S73" s="19"/>
      <c r="T73" s="19"/>
      <c r="U73" s="19"/>
      <c r="V73" s="19"/>
      <c r="W73" s="22"/>
      <c r="X73" s="22"/>
      <c r="Y73" s="37"/>
    </row>
    <row r="74" spans="1:25" ht="57" customHeight="1" x14ac:dyDescent="0.25">
      <c r="A74" s="71"/>
      <c r="B74" s="72"/>
      <c r="C74" s="72"/>
      <c r="D74" s="72"/>
      <c r="E74" s="73"/>
      <c r="F74" s="68" t="s">
        <v>12</v>
      </c>
      <c r="G74" s="70"/>
      <c r="H74" s="68" t="s">
        <v>13</v>
      </c>
      <c r="I74" s="70"/>
      <c r="J74" s="38" t="s">
        <v>73</v>
      </c>
      <c r="K74" s="39"/>
      <c r="L74" s="40"/>
      <c r="M74" s="77" t="s">
        <v>74</v>
      </c>
      <c r="N74" s="78"/>
      <c r="O74" s="77" t="s">
        <v>75</v>
      </c>
      <c r="P74" s="78"/>
      <c r="Q74" s="77" t="s">
        <v>76</v>
      </c>
      <c r="R74" s="78"/>
      <c r="S74" s="77" t="s">
        <v>77</v>
      </c>
      <c r="T74" s="79"/>
      <c r="U74" s="79"/>
      <c r="V74" s="78"/>
      <c r="W74" s="77" t="s">
        <v>78</v>
      </c>
      <c r="X74" s="79"/>
      <c r="Y74" s="78"/>
    </row>
    <row r="75" spans="1:25" ht="13.5" customHeight="1" x14ac:dyDescent="0.25">
      <c r="A75" s="74"/>
      <c r="B75" s="75"/>
      <c r="C75" s="75"/>
      <c r="D75" s="75"/>
      <c r="E75" s="76"/>
      <c r="F75" s="10" t="s">
        <v>79</v>
      </c>
      <c r="G75" s="10" t="s">
        <v>14</v>
      </c>
      <c r="H75" s="10" t="s">
        <v>79</v>
      </c>
      <c r="I75" s="10" t="s">
        <v>14</v>
      </c>
      <c r="J75" s="10" t="s">
        <v>79</v>
      </c>
      <c r="K75" s="10" t="s">
        <v>14</v>
      </c>
      <c r="L75" s="41"/>
      <c r="M75" s="42" t="s">
        <v>80</v>
      </c>
      <c r="N75" s="42" t="s">
        <v>81</v>
      </c>
      <c r="O75" s="42" t="s">
        <v>80</v>
      </c>
      <c r="P75" s="43" t="s">
        <v>81</v>
      </c>
      <c r="Q75" s="42" t="s">
        <v>80</v>
      </c>
      <c r="R75" s="42" t="s">
        <v>81</v>
      </c>
      <c r="S75" s="44"/>
      <c r="T75" s="42" t="s">
        <v>0</v>
      </c>
      <c r="U75" s="45" t="s">
        <v>1</v>
      </c>
      <c r="V75" s="46" t="s">
        <v>82</v>
      </c>
      <c r="W75" s="42" t="s">
        <v>0</v>
      </c>
      <c r="X75" s="45" t="s">
        <v>1</v>
      </c>
      <c r="Y75" s="46" t="s">
        <v>82</v>
      </c>
    </row>
    <row r="76" spans="1:25" ht="18" customHeight="1" x14ac:dyDescent="0.3">
      <c r="A76" s="80" t="s">
        <v>83</v>
      </c>
      <c r="B76" s="81"/>
      <c r="C76" s="81"/>
      <c r="D76" s="81"/>
      <c r="E76" s="82"/>
      <c r="F76" s="10">
        <v>38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41"/>
      <c r="M76" s="83">
        <v>15</v>
      </c>
      <c r="N76" s="83">
        <v>99</v>
      </c>
      <c r="O76" s="83">
        <v>0</v>
      </c>
      <c r="P76" s="83">
        <v>34</v>
      </c>
      <c r="Q76" s="83">
        <v>0</v>
      </c>
      <c r="R76" s="83">
        <v>3</v>
      </c>
      <c r="S76" s="47" t="s">
        <v>68</v>
      </c>
      <c r="T76" s="48">
        <v>0</v>
      </c>
      <c r="U76" s="48">
        <v>0</v>
      </c>
      <c r="V76" s="48">
        <v>0</v>
      </c>
      <c r="W76" s="48">
        <v>0</v>
      </c>
      <c r="X76" s="48">
        <v>0</v>
      </c>
      <c r="Y76" s="48">
        <v>0</v>
      </c>
    </row>
    <row r="77" spans="1:25" ht="18" customHeight="1" x14ac:dyDescent="0.3">
      <c r="A77" s="80" t="s">
        <v>8</v>
      </c>
      <c r="B77" s="81"/>
      <c r="C77" s="81"/>
      <c r="D77" s="81"/>
      <c r="E77" s="82"/>
      <c r="F77" s="10">
        <v>7</v>
      </c>
      <c r="G77" s="10">
        <v>0</v>
      </c>
      <c r="H77" s="10">
        <v>0</v>
      </c>
      <c r="I77" s="10">
        <v>0</v>
      </c>
      <c r="J77" s="10">
        <v>0</v>
      </c>
      <c r="K77" s="10">
        <v>1</v>
      </c>
      <c r="L77" s="41"/>
      <c r="M77" s="84"/>
      <c r="N77" s="84"/>
      <c r="O77" s="84"/>
      <c r="P77" s="84"/>
      <c r="Q77" s="84"/>
      <c r="R77" s="84"/>
      <c r="S77" s="47" t="s">
        <v>69</v>
      </c>
      <c r="T77" s="48">
        <v>0</v>
      </c>
      <c r="U77" s="48">
        <v>0</v>
      </c>
      <c r="V77" s="48">
        <v>0</v>
      </c>
      <c r="W77" s="48">
        <v>0</v>
      </c>
      <c r="X77" s="48">
        <v>0</v>
      </c>
      <c r="Y77" s="48">
        <v>0</v>
      </c>
    </row>
    <row r="78" spans="1:25" ht="18" customHeight="1" x14ac:dyDescent="0.25">
      <c r="A78" s="86" t="s">
        <v>84</v>
      </c>
      <c r="B78" s="87"/>
      <c r="C78" s="87"/>
      <c r="D78" s="87"/>
      <c r="E78" s="88"/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41"/>
      <c r="M78" s="84"/>
      <c r="N78" s="84"/>
      <c r="O78" s="84"/>
      <c r="P78" s="84"/>
      <c r="Q78" s="84"/>
      <c r="R78" s="84"/>
      <c r="S78" s="89" t="s">
        <v>70</v>
      </c>
      <c r="T78" s="83">
        <v>0</v>
      </c>
      <c r="U78" s="83">
        <v>0</v>
      </c>
      <c r="V78" s="83">
        <v>0</v>
      </c>
      <c r="W78" s="83">
        <v>0</v>
      </c>
      <c r="X78" s="83">
        <v>0</v>
      </c>
      <c r="Y78" s="83">
        <v>0</v>
      </c>
    </row>
    <row r="79" spans="1:25" ht="18" customHeight="1" x14ac:dyDescent="0.25">
      <c r="A79" s="68" t="s">
        <v>7</v>
      </c>
      <c r="B79" s="69"/>
      <c r="C79" s="69"/>
      <c r="D79" s="69"/>
      <c r="E79" s="70"/>
      <c r="F79" s="10">
        <v>45</v>
      </c>
      <c r="G79" s="10">
        <v>0</v>
      </c>
      <c r="H79" s="10">
        <v>0</v>
      </c>
      <c r="I79" s="10">
        <v>0</v>
      </c>
      <c r="J79" s="10">
        <v>0</v>
      </c>
      <c r="K79" s="10">
        <v>1</v>
      </c>
      <c r="L79" s="41"/>
      <c r="M79" s="85"/>
      <c r="N79" s="85"/>
      <c r="O79" s="85"/>
      <c r="P79" s="85"/>
      <c r="Q79" s="85"/>
      <c r="R79" s="85"/>
      <c r="S79" s="90"/>
      <c r="T79" s="85"/>
      <c r="U79" s="85"/>
      <c r="V79" s="85"/>
      <c r="W79" s="85"/>
      <c r="X79" s="85"/>
      <c r="Y79" s="85"/>
    </row>
    <row r="80" spans="1:25" ht="23.4" x14ac:dyDescent="0.45">
      <c r="A80" s="120" t="s">
        <v>17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</row>
    <row r="81" spans="1:28" ht="23.4" x14ac:dyDescent="0.25">
      <c r="A81" s="111" t="s">
        <v>18</v>
      </c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"/>
      <c r="U81" s="112" t="s">
        <v>19</v>
      </c>
      <c r="V81" s="112"/>
      <c r="W81" s="1"/>
      <c r="X81" s="1"/>
      <c r="Y81" s="1"/>
    </row>
    <row r="82" spans="1:28" ht="30.9" customHeight="1" x14ac:dyDescent="0.25">
      <c r="A82" s="113" t="s">
        <v>20</v>
      </c>
      <c r="B82" s="113"/>
      <c r="C82" s="113"/>
      <c r="D82" s="113"/>
      <c r="E82" s="117" t="s">
        <v>16</v>
      </c>
      <c r="F82" s="117"/>
      <c r="G82" s="117"/>
      <c r="H82" s="116" t="s">
        <v>22</v>
      </c>
      <c r="I82" s="116"/>
      <c r="J82" s="115">
        <v>0</v>
      </c>
      <c r="K82" s="115"/>
      <c r="L82" s="116" t="s">
        <v>23</v>
      </c>
      <c r="M82" s="116"/>
      <c r="N82" s="188" t="s">
        <v>15</v>
      </c>
      <c r="O82" s="188"/>
      <c r="P82" s="188"/>
      <c r="Q82" s="118" t="s">
        <v>24</v>
      </c>
      <c r="R82" s="118"/>
      <c r="S82" s="118"/>
      <c r="T82" s="118"/>
      <c r="U82" s="119" t="s">
        <v>86</v>
      </c>
      <c r="V82" s="119"/>
      <c r="W82" s="119"/>
      <c r="X82" s="147" t="s">
        <v>93</v>
      </c>
      <c r="Y82" s="147"/>
    </row>
    <row r="83" spans="1:28" ht="15" customHeight="1" x14ac:dyDescent="0.25">
      <c r="Q83" s="118"/>
      <c r="R83" s="118"/>
      <c r="S83" s="118"/>
      <c r="T83" s="118"/>
      <c r="U83" s="119"/>
      <c r="V83" s="119"/>
      <c r="W83" s="119"/>
      <c r="X83" s="147"/>
      <c r="Y83" s="147"/>
    </row>
    <row r="84" spans="1:28" ht="15.6" x14ac:dyDescent="0.3">
      <c r="A84" s="166" t="s">
        <v>26</v>
      </c>
      <c r="B84" s="166"/>
      <c r="C84" s="166"/>
      <c r="D84" s="166"/>
      <c r="E84" s="166"/>
      <c r="F84" s="166"/>
      <c r="G84" s="167" t="s">
        <v>27</v>
      </c>
      <c r="H84" s="167"/>
      <c r="I84" s="167"/>
      <c r="J84" s="167"/>
      <c r="K84" s="167"/>
      <c r="L84" s="167"/>
      <c r="M84" s="167"/>
      <c r="N84" s="2"/>
      <c r="Q84" s="168" t="s">
        <v>28</v>
      </c>
      <c r="R84" s="168"/>
      <c r="S84" s="168"/>
      <c r="T84" s="168"/>
      <c r="U84" s="168"/>
      <c r="V84" s="148" t="s">
        <v>29</v>
      </c>
      <c r="W84" s="148"/>
      <c r="X84" s="148"/>
      <c r="Y84" s="148"/>
    </row>
    <row r="85" spans="1:2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8" ht="15" customHeight="1" x14ac:dyDescent="0.25">
      <c r="A86" s="149" t="s">
        <v>31</v>
      </c>
      <c r="B86" s="150"/>
      <c r="C86" s="150"/>
      <c r="D86" s="150"/>
      <c r="E86" s="150"/>
      <c r="F86" s="150"/>
      <c r="G86" s="150"/>
      <c r="H86" s="150"/>
      <c r="I86" s="151"/>
      <c r="J86" s="152" t="s">
        <v>32</v>
      </c>
      <c r="K86" s="153"/>
      <c r="L86" s="152" t="s">
        <v>33</v>
      </c>
      <c r="M86" s="153"/>
      <c r="N86" s="91" t="s">
        <v>34</v>
      </c>
      <c r="O86" s="92"/>
      <c r="P86" s="152" t="s">
        <v>35</v>
      </c>
      <c r="Q86" s="153"/>
      <c r="R86" s="68" t="s">
        <v>36</v>
      </c>
      <c r="S86" s="69"/>
      <c r="T86" s="69"/>
      <c r="U86" s="69"/>
      <c r="V86" s="69"/>
      <c r="W86" s="70"/>
      <c r="X86" s="152" t="s">
        <v>7</v>
      </c>
      <c r="Y86" s="153"/>
    </row>
    <row r="87" spans="1:28" ht="23.25" customHeight="1" x14ac:dyDescent="0.25">
      <c r="A87" s="158" t="s">
        <v>37</v>
      </c>
      <c r="B87" s="159"/>
      <c r="C87" s="159"/>
      <c r="D87" s="159"/>
      <c r="E87" s="159"/>
      <c r="F87" s="159"/>
      <c r="G87" s="159"/>
      <c r="H87" s="159"/>
      <c r="I87" s="160"/>
      <c r="J87" s="154"/>
      <c r="K87" s="155"/>
      <c r="L87" s="154"/>
      <c r="M87" s="155"/>
      <c r="N87" s="93"/>
      <c r="O87" s="94"/>
      <c r="P87" s="154"/>
      <c r="Q87" s="155"/>
      <c r="R87" s="164" t="s">
        <v>38</v>
      </c>
      <c r="S87" s="164"/>
      <c r="T87" s="164" t="s">
        <v>39</v>
      </c>
      <c r="U87" s="164"/>
      <c r="V87" s="164" t="s">
        <v>40</v>
      </c>
      <c r="W87" s="164"/>
      <c r="X87" s="154"/>
      <c r="Y87" s="155"/>
    </row>
    <row r="88" spans="1:28" x14ac:dyDescent="0.25">
      <c r="A88" s="161"/>
      <c r="B88" s="162"/>
      <c r="C88" s="162"/>
      <c r="D88" s="162"/>
      <c r="E88" s="162"/>
      <c r="F88" s="162"/>
      <c r="G88" s="162"/>
      <c r="H88" s="162"/>
      <c r="I88" s="163"/>
      <c r="J88" s="156"/>
      <c r="K88" s="157"/>
      <c r="L88" s="156"/>
      <c r="M88" s="157"/>
      <c r="N88" s="95"/>
      <c r="O88" s="96"/>
      <c r="P88" s="156"/>
      <c r="Q88" s="157"/>
      <c r="R88" s="165"/>
      <c r="S88" s="165"/>
      <c r="T88" s="165"/>
      <c r="U88" s="165"/>
      <c r="V88" s="165"/>
      <c r="W88" s="165"/>
      <c r="X88" s="156"/>
      <c r="Y88" s="157"/>
    </row>
    <row r="89" spans="1:28" ht="18" customHeight="1" x14ac:dyDescent="0.3">
      <c r="A89" s="106" t="s">
        <v>41</v>
      </c>
      <c r="B89" s="107"/>
      <c r="C89" s="107"/>
      <c r="D89" s="107"/>
      <c r="E89" s="107"/>
      <c r="F89" s="107"/>
      <c r="G89" s="107"/>
      <c r="H89" s="107"/>
      <c r="I89" s="108"/>
      <c r="J89" s="68">
        <v>45</v>
      </c>
      <c r="K89" s="70"/>
      <c r="L89" s="68">
        <v>5</v>
      </c>
      <c r="M89" s="70"/>
      <c r="N89" s="68">
        <v>0</v>
      </c>
      <c r="O89" s="70"/>
      <c r="P89" s="68">
        <v>50</v>
      </c>
      <c r="Q89" s="70"/>
      <c r="R89" s="68">
        <v>1</v>
      </c>
      <c r="S89" s="70"/>
      <c r="T89" s="68">
        <v>1</v>
      </c>
      <c r="U89" s="70"/>
      <c r="V89" s="68">
        <v>0</v>
      </c>
      <c r="W89" s="70"/>
      <c r="X89" s="80">
        <v>52</v>
      </c>
      <c r="Y89" s="82"/>
    </row>
    <row r="90" spans="1:28" ht="18" customHeight="1" x14ac:dyDescent="0.3">
      <c r="A90" s="106" t="s">
        <v>42</v>
      </c>
      <c r="B90" s="107"/>
      <c r="C90" s="107"/>
      <c r="D90" s="107"/>
      <c r="E90" s="107"/>
      <c r="F90" s="107"/>
      <c r="G90" s="107"/>
      <c r="H90" s="107"/>
      <c r="I90" s="108"/>
      <c r="J90" s="68">
        <v>20</v>
      </c>
      <c r="K90" s="70"/>
      <c r="L90" s="68">
        <v>3</v>
      </c>
      <c r="M90" s="70"/>
      <c r="N90" s="68">
        <v>0</v>
      </c>
      <c r="O90" s="70"/>
      <c r="P90" s="68">
        <v>23</v>
      </c>
      <c r="Q90" s="70"/>
      <c r="R90" s="68">
        <v>0</v>
      </c>
      <c r="S90" s="70"/>
      <c r="T90" s="68">
        <v>0</v>
      </c>
      <c r="U90" s="70"/>
      <c r="V90" s="68">
        <v>0</v>
      </c>
      <c r="W90" s="70"/>
      <c r="X90" s="80">
        <v>23</v>
      </c>
      <c r="Y90" s="82"/>
    </row>
    <row r="91" spans="1:28" ht="18" customHeight="1" x14ac:dyDescent="0.3">
      <c r="A91" s="106" t="s">
        <v>43</v>
      </c>
      <c r="B91" s="107"/>
      <c r="C91" s="107"/>
      <c r="D91" s="107"/>
      <c r="E91" s="107"/>
      <c r="F91" s="107"/>
      <c r="G91" s="107"/>
      <c r="H91" s="107"/>
      <c r="I91" s="108"/>
      <c r="J91" s="68">
        <v>0</v>
      </c>
      <c r="K91" s="70"/>
      <c r="L91" s="68">
        <v>0</v>
      </c>
      <c r="M91" s="70"/>
      <c r="N91" s="68">
        <v>0</v>
      </c>
      <c r="O91" s="70"/>
      <c r="P91" s="68">
        <v>0</v>
      </c>
      <c r="Q91" s="70"/>
      <c r="R91" s="68">
        <v>0</v>
      </c>
      <c r="S91" s="70"/>
      <c r="T91" s="68">
        <v>0</v>
      </c>
      <c r="U91" s="70"/>
      <c r="V91" s="68">
        <v>0</v>
      </c>
      <c r="W91" s="70"/>
      <c r="X91" s="80">
        <v>0</v>
      </c>
      <c r="Y91" s="82"/>
    </row>
    <row r="92" spans="1:28" ht="18" customHeight="1" x14ac:dyDescent="0.3">
      <c r="A92" s="106" t="s">
        <v>44</v>
      </c>
      <c r="B92" s="107"/>
      <c r="C92" s="107"/>
      <c r="D92" s="107"/>
      <c r="E92" s="107"/>
      <c r="F92" s="107"/>
      <c r="G92" s="107"/>
      <c r="H92" s="107"/>
      <c r="I92" s="108"/>
      <c r="J92" s="68">
        <v>9</v>
      </c>
      <c r="K92" s="70"/>
      <c r="L92" s="68">
        <v>0</v>
      </c>
      <c r="M92" s="70"/>
      <c r="N92" s="68">
        <v>0</v>
      </c>
      <c r="O92" s="70"/>
      <c r="P92" s="68">
        <v>9</v>
      </c>
      <c r="Q92" s="70"/>
      <c r="R92" s="68">
        <v>0</v>
      </c>
      <c r="S92" s="70"/>
      <c r="T92" s="68">
        <v>0</v>
      </c>
      <c r="U92" s="70"/>
      <c r="V92" s="68">
        <v>0</v>
      </c>
      <c r="W92" s="70"/>
      <c r="X92" s="80">
        <v>9</v>
      </c>
      <c r="Y92" s="82"/>
    </row>
    <row r="93" spans="1:28" ht="18" customHeight="1" x14ac:dyDescent="0.3">
      <c r="A93" s="106" t="s">
        <v>7</v>
      </c>
      <c r="B93" s="107"/>
      <c r="C93" s="107"/>
      <c r="D93" s="107"/>
      <c r="E93" s="107"/>
      <c r="F93" s="107"/>
      <c r="G93" s="107"/>
      <c r="H93" s="107"/>
      <c r="I93" s="108"/>
      <c r="J93" s="68">
        <v>74</v>
      </c>
      <c r="K93" s="70"/>
      <c r="L93" s="68">
        <v>8</v>
      </c>
      <c r="M93" s="70"/>
      <c r="N93" s="68">
        <v>0</v>
      </c>
      <c r="O93" s="70"/>
      <c r="P93" s="68">
        <v>82</v>
      </c>
      <c r="Q93" s="70"/>
      <c r="R93" s="68">
        <v>1</v>
      </c>
      <c r="S93" s="70"/>
      <c r="T93" s="68">
        <v>1</v>
      </c>
      <c r="U93" s="70"/>
      <c r="V93" s="68">
        <v>0</v>
      </c>
      <c r="W93" s="70"/>
      <c r="X93" s="80">
        <v>84</v>
      </c>
      <c r="Y93" s="82"/>
    </row>
    <row r="94" spans="1:28" ht="15.6" x14ac:dyDescent="0.3">
      <c r="A94" s="4" t="s">
        <v>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"/>
      <c r="S94" s="6"/>
      <c r="T94" s="6"/>
      <c r="U94" s="6"/>
      <c r="V94" s="6"/>
      <c r="W94" s="6"/>
      <c r="X94" s="6"/>
      <c r="Y94" s="7"/>
    </row>
    <row r="95" spans="1:28" x14ac:dyDescent="0.25">
      <c r="A95" s="71"/>
      <c r="B95" s="72"/>
      <c r="C95" s="72"/>
      <c r="D95" s="72"/>
      <c r="E95" s="72"/>
      <c r="F95" s="72"/>
      <c r="G95" s="73"/>
      <c r="H95" s="68" t="s">
        <v>0</v>
      </c>
      <c r="I95" s="69"/>
      <c r="J95" s="136" t="s">
        <v>1</v>
      </c>
      <c r="K95" s="69"/>
      <c r="L95" s="134" t="s">
        <v>2</v>
      </c>
      <c r="M95" s="69"/>
      <c r="N95" s="134" t="s">
        <v>3</v>
      </c>
      <c r="O95" s="69"/>
      <c r="P95" s="134" t="s">
        <v>4</v>
      </c>
      <c r="Q95" s="135"/>
      <c r="R95" s="134" t="s">
        <v>5</v>
      </c>
      <c r="S95" s="69"/>
      <c r="T95" s="134" t="s">
        <v>6</v>
      </c>
      <c r="U95" s="69"/>
      <c r="V95" s="134" t="s">
        <v>46</v>
      </c>
      <c r="W95" s="69"/>
      <c r="X95" s="134" t="s">
        <v>7</v>
      </c>
      <c r="Y95" s="135"/>
      <c r="Z95" s="8"/>
      <c r="AA95" s="9"/>
      <c r="AB95" s="9"/>
    </row>
    <row r="96" spans="1:28" x14ac:dyDescent="0.25">
      <c r="A96" s="74"/>
      <c r="B96" s="75"/>
      <c r="C96" s="75"/>
      <c r="D96" s="75"/>
      <c r="E96" s="75"/>
      <c r="F96" s="75"/>
      <c r="G96" s="76"/>
      <c r="H96" s="10" t="s">
        <v>10</v>
      </c>
      <c r="I96" s="10" t="s">
        <v>11</v>
      </c>
      <c r="J96" s="10" t="s">
        <v>10</v>
      </c>
      <c r="K96" s="10" t="s">
        <v>11</v>
      </c>
      <c r="L96" s="10" t="s">
        <v>10</v>
      </c>
      <c r="M96" s="10" t="s">
        <v>11</v>
      </c>
      <c r="N96" s="10" t="s">
        <v>10</v>
      </c>
      <c r="O96" s="10" t="s">
        <v>11</v>
      </c>
      <c r="P96" s="10" t="s">
        <v>10</v>
      </c>
      <c r="Q96" s="10" t="s">
        <v>11</v>
      </c>
      <c r="R96" s="10" t="s">
        <v>10</v>
      </c>
      <c r="S96" s="10" t="s">
        <v>11</v>
      </c>
      <c r="T96" s="10" t="s">
        <v>10</v>
      </c>
      <c r="U96" s="10" t="s">
        <v>11</v>
      </c>
      <c r="V96" s="10" t="s">
        <v>10</v>
      </c>
      <c r="W96" s="10" t="s">
        <v>11</v>
      </c>
      <c r="X96" s="10" t="s">
        <v>10</v>
      </c>
      <c r="Y96" s="10" t="s">
        <v>11</v>
      </c>
    </row>
    <row r="97" spans="1:25" ht="18" customHeight="1" x14ac:dyDescent="0.25">
      <c r="A97" s="106" t="s">
        <v>41</v>
      </c>
      <c r="B97" s="107"/>
      <c r="C97" s="107"/>
      <c r="D97" s="107"/>
      <c r="E97" s="107"/>
      <c r="F97" s="107"/>
      <c r="G97" s="108"/>
      <c r="H97" s="10">
        <v>0</v>
      </c>
      <c r="I97" s="10">
        <v>0</v>
      </c>
      <c r="J97" s="10">
        <v>0</v>
      </c>
      <c r="K97" s="10">
        <v>0</v>
      </c>
      <c r="L97" s="10">
        <v>2</v>
      </c>
      <c r="M97" s="10">
        <v>4</v>
      </c>
      <c r="N97" s="10">
        <v>6</v>
      </c>
      <c r="O97" s="10">
        <v>7</v>
      </c>
      <c r="P97" s="10">
        <v>5</v>
      </c>
      <c r="Q97" s="10">
        <v>3</v>
      </c>
      <c r="R97" s="10">
        <v>6</v>
      </c>
      <c r="S97" s="10">
        <v>4</v>
      </c>
      <c r="T97" s="10">
        <v>6</v>
      </c>
      <c r="U97" s="10">
        <v>1</v>
      </c>
      <c r="V97" s="10">
        <v>3</v>
      </c>
      <c r="W97" s="10">
        <v>3</v>
      </c>
      <c r="X97" s="10">
        <v>28</v>
      </c>
      <c r="Y97" s="10">
        <v>22</v>
      </c>
    </row>
    <row r="98" spans="1:25" ht="18" customHeight="1" x14ac:dyDescent="0.25">
      <c r="A98" s="106" t="s">
        <v>42</v>
      </c>
      <c r="B98" s="107"/>
      <c r="C98" s="107"/>
      <c r="D98" s="107"/>
      <c r="E98" s="107"/>
      <c r="F98" s="107"/>
      <c r="G98" s="108"/>
      <c r="H98" s="10">
        <v>0</v>
      </c>
      <c r="I98" s="10">
        <v>0</v>
      </c>
      <c r="J98" s="10">
        <v>0</v>
      </c>
      <c r="K98" s="10">
        <v>0</v>
      </c>
      <c r="L98" s="10">
        <v>3</v>
      </c>
      <c r="M98" s="10">
        <v>2</v>
      </c>
      <c r="N98" s="10">
        <v>1</v>
      </c>
      <c r="O98" s="10">
        <v>4</v>
      </c>
      <c r="P98" s="10">
        <v>0</v>
      </c>
      <c r="Q98" s="10">
        <v>1</v>
      </c>
      <c r="R98" s="10">
        <v>4</v>
      </c>
      <c r="S98" s="10">
        <v>2</v>
      </c>
      <c r="T98" s="10">
        <v>2</v>
      </c>
      <c r="U98" s="10">
        <v>3</v>
      </c>
      <c r="V98" s="10">
        <v>1</v>
      </c>
      <c r="W98" s="10">
        <v>0</v>
      </c>
      <c r="X98" s="10">
        <v>11</v>
      </c>
      <c r="Y98" s="10">
        <v>12</v>
      </c>
    </row>
    <row r="99" spans="1:25" ht="18" customHeight="1" x14ac:dyDescent="0.25">
      <c r="A99" s="106" t="s">
        <v>43</v>
      </c>
      <c r="B99" s="107"/>
      <c r="C99" s="107"/>
      <c r="D99" s="107"/>
      <c r="E99" s="107"/>
      <c r="F99" s="107"/>
      <c r="G99" s="108"/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</row>
    <row r="100" spans="1:25" ht="18" customHeight="1" x14ac:dyDescent="0.25">
      <c r="A100" s="106" t="s">
        <v>44</v>
      </c>
      <c r="B100" s="107"/>
      <c r="C100" s="107"/>
      <c r="D100" s="107"/>
      <c r="E100" s="107"/>
      <c r="F100" s="107"/>
      <c r="G100" s="108"/>
      <c r="H100" s="10">
        <v>0</v>
      </c>
      <c r="I100" s="10">
        <v>0</v>
      </c>
      <c r="J100" s="10">
        <v>0</v>
      </c>
      <c r="K100" s="10">
        <v>0</v>
      </c>
      <c r="L100" s="10">
        <v>1</v>
      </c>
      <c r="M100" s="10">
        <v>0</v>
      </c>
      <c r="N100" s="10">
        <v>1</v>
      </c>
      <c r="O100" s="10">
        <v>4</v>
      </c>
      <c r="P100" s="10">
        <v>0</v>
      </c>
      <c r="Q100" s="10">
        <v>0</v>
      </c>
      <c r="R100" s="10">
        <v>2</v>
      </c>
      <c r="S100" s="10">
        <v>0</v>
      </c>
      <c r="T100" s="10">
        <v>0</v>
      </c>
      <c r="U100" s="10">
        <v>1</v>
      </c>
      <c r="V100" s="10">
        <v>0</v>
      </c>
      <c r="W100" s="10">
        <v>0</v>
      </c>
      <c r="X100" s="10">
        <v>4</v>
      </c>
      <c r="Y100" s="10">
        <v>5</v>
      </c>
    </row>
    <row r="101" spans="1:25" ht="18" customHeight="1" x14ac:dyDescent="0.25">
      <c r="A101" s="106" t="s">
        <v>7</v>
      </c>
      <c r="B101" s="107"/>
      <c r="C101" s="107"/>
      <c r="D101" s="107"/>
      <c r="E101" s="107"/>
      <c r="F101" s="107"/>
      <c r="G101" s="108"/>
      <c r="H101" s="10">
        <v>0</v>
      </c>
      <c r="I101" s="10">
        <v>0</v>
      </c>
      <c r="J101" s="10">
        <v>0</v>
      </c>
      <c r="K101" s="10">
        <v>0</v>
      </c>
      <c r="L101" s="10">
        <v>6</v>
      </c>
      <c r="M101" s="10">
        <v>6</v>
      </c>
      <c r="N101" s="10">
        <v>8</v>
      </c>
      <c r="O101" s="10">
        <v>15</v>
      </c>
      <c r="P101" s="10">
        <v>5</v>
      </c>
      <c r="Q101" s="10">
        <v>4</v>
      </c>
      <c r="R101" s="10">
        <v>12</v>
      </c>
      <c r="S101" s="10">
        <v>6</v>
      </c>
      <c r="T101" s="10">
        <v>8</v>
      </c>
      <c r="U101" s="10">
        <v>5</v>
      </c>
      <c r="V101" s="10">
        <v>4</v>
      </c>
      <c r="W101" s="10">
        <v>3</v>
      </c>
      <c r="X101" s="10">
        <v>43</v>
      </c>
      <c r="Y101" s="10">
        <v>39</v>
      </c>
    </row>
    <row r="102" spans="1:25" ht="6.75" customHeight="1" x14ac:dyDescent="0.25">
      <c r="A102" s="11"/>
      <c r="B102" s="12"/>
      <c r="C102" s="12"/>
      <c r="D102" s="12"/>
      <c r="E102" s="12"/>
      <c r="F102" s="13"/>
      <c r="G102" s="13"/>
      <c r="H102" s="13"/>
      <c r="I102" s="13"/>
      <c r="J102" s="13"/>
      <c r="K102" s="13"/>
      <c r="L102" s="14"/>
      <c r="M102" s="13"/>
      <c r="N102" s="15"/>
      <c r="O102" s="16"/>
      <c r="P102" s="13"/>
      <c r="Q102" s="13"/>
      <c r="R102" s="13"/>
      <c r="S102" s="13"/>
      <c r="T102" s="13"/>
      <c r="U102" s="13"/>
      <c r="V102" s="13"/>
      <c r="W102" s="13"/>
      <c r="X102" s="13"/>
      <c r="Y102" s="17"/>
    </row>
    <row r="103" spans="1:25" ht="18" customHeight="1" x14ac:dyDescent="0.3">
      <c r="A103" s="18" t="s">
        <v>47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20"/>
      <c r="L103" s="21"/>
      <c r="M103" s="18" t="s">
        <v>48</v>
      </c>
      <c r="N103" s="19"/>
      <c r="O103" s="19"/>
      <c r="P103" s="19"/>
      <c r="Q103" s="22"/>
      <c r="R103" s="22"/>
      <c r="S103" s="22"/>
      <c r="T103" s="22"/>
      <c r="U103" s="22"/>
      <c r="V103" s="22"/>
      <c r="W103" s="22"/>
      <c r="X103" s="22"/>
      <c r="Y103" s="23"/>
    </row>
    <row r="104" spans="1:25" ht="57.75" customHeight="1" x14ac:dyDescent="0.25">
      <c r="A104" s="101" t="s">
        <v>49</v>
      </c>
      <c r="B104" s="101" t="s">
        <v>50</v>
      </c>
      <c r="C104" s="101" t="s">
        <v>51</v>
      </c>
      <c r="D104" s="77" t="s">
        <v>52</v>
      </c>
      <c r="E104" s="78"/>
      <c r="F104" s="77" t="s">
        <v>53</v>
      </c>
      <c r="G104" s="79"/>
      <c r="H104" s="79"/>
      <c r="I104" s="78"/>
      <c r="J104" s="101" t="s">
        <v>54</v>
      </c>
      <c r="K104" s="101" t="s">
        <v>55</v>
      </c>
      <c r="L104" s="24"/>
      <c r="M104" s="86" t="s">
        <v>56</v>
      </c>
      <c r="N104" s="88"/>
      <c r="O104" s="86" t="s">
        <v>57</v>
      </c>
      <c r="P104" s="88"/>
      <c r="Q104" s="86" t="s">
        <v>58</v>
      </c>
      <c r="R104" s="87"/>
      <c r="S104" s="87"/>
      <c r="T104" s="87"/>
      <c r="U104" s="87"/>
      <c r="V104" s="87"/>
      <c r="W104" s="87"/>
      <c r="X104" s="87"/>
      <c r="Y104" s="88"/>
    </row>
    <row r="105" spans="1:25" ht="38.25" customHeight="1" x14ac:dyDescent="0.25">
      <c r="A105" s="102"/>
      <c r="B105" s="102"/>
      <c r="C105" s="102"/>
      <c r="D105" s="25" t="s">
        <v>59</v>
      </c>
      <c r="E105" s="25" t="s">
        <v>60</v>
      </c>
      <c r="F105" s="26" t="s">
        <v>59</v>
      </c>
      <c r="G105" s="26" t="s">
        <v>60</v>
      </c>
      <c r="H105" s="26" t="s">
        <v>61</v>
      </c>
      <c r="I105" s="26" t="s">
        <v>62</v>
      </c>
      <c r="J105" s="102"/>
      <c r="K105" s="102"/>
      <c r="L105" s="24"/>
      <c r="M105" s="91">
        <v>0</v>
      </c>
      <c r="N105" s="92"/>
      <c r="O105" s="91">
        <v>0</v>
      </c>
      <c r="P105" s="92"/>
      <c r="Q105" s="86">
        <v>0</v>
      </c>
      <c r="R105" s="87"/>
      <c r="S105" s="87"/>
      <c r="T105" s="87"/>
      <c r="U105" s="87"/>
      <c r="V105" s="87"/>
      <c r="W105" s="87"/>
      <c r="X105" s="87"/>
      <c r="Y105" s="88"/>
    </row>
    <row r="106" spans="1:25" ht="38.25" customHeight="1" x14ac:dyDescent="0.25">
      <c r="A106" s="103">
        <v>50852</v>
      </c>
      <c r="B106" s="103">
        <v>388</v>
      </c>
      <c r="C106" s="103">
        <v>62</v>
      </c>
      <c r="D106" s="103">
        <v>259</v>
      </c>
      <c r="E106" s="103">
        <v>17</v>
      </c>
      <c r="F106" s="103">
        <v>33</v>
      </c>
      <c r="G106" s="103">
        <v>2</v>
      </c>
      <c r="H106" s="103">
        <v>47</v>
      </c>
      <c r="I106" s="103">
        <v>82</v>
      </c>
      <c r="J106" s="103">
        <v>54</v>
      </c>
      <c r="K106" s="103">
        <v>77</v>
      </c>
      <c r="L106" s="24"/>
      <c r="M106" s="91" t="s">
        <v>63</v>
      </c>
      <c r="N106" s="92"/>
      <c r="O106" s="91" t="s">
        <v>64</v>
      </c>
      <c r="P106" s="92"/>
      <c r="Q106" s="95" t="s">
        <v>65</v>
      </c>
      <c r="R106" s="99"/>
      <c r="S106" s="96"/>
      <c r="T106" s="95" t="s">
        <v>66</v>
      </c>
      <c r="U106" s="99"/>
      <c r="V106" s="99"/>
      <c r="W106" s="99"/>
      <c r="X106" s="99"/>
      <c r="Y106" s="96"/>
    </row>
    <row r="107" spans="1:25" ht="19.5" customHeight="1" x14ac:dyDescent="0.25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27"/>
      <c r="M107" s="91">
        <v>0</v>
      </c>
      <c r="N107" s="92"/>
      <c r="O107" s="91">
        <v>0</v>
      </c>
      <c r="P107" s="92"/>
      <c r="Q107" s="91">
        <v>0</v>
      </c>
      <c r="R107" s="97"/>
      <c r="S107" s="92"/>
      <c r="T107" s="28"/>
      <c r="U107" s="86" t="s">
        <v>0</v>
      </c>
      <c r="V107" s="88"/>
      <c r="W107" s="29" t="s">
        <v>1</v>
      </c>
      <c r="X107" s="86" t="s">
        <v>67</v>
      </c>
      <c r="Y107" s="88"/>
    </row>
    <row r="108" spans="1:25" ht="18" customHeight="1" x14ac:dyDescent="0.25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27"/>
      <c r="M108" s="93"/>
      <c r="N108" s="94"/>
      <c r="O108" s="93"/>
      <c r="P108" s="94"/>
      <c r="Q108" s="93"/>
      <c r="R108" s="98"/>
      <c r="S108" s="94"/>
      <c r="T108" s="30" t="s">
        <v>68</v>
      </c>
      <c r="U108" s="100">
        <v>0</v>
      </c>
      <c r="V108" s="100"/>
      <c r="W108" s="29">
        <v>0</v>
      </c>
      <c r="X108" s="186">
        <v>0</v>
      </c>
      <c r="Y108" s="187"/>
    </row>
    <row r="109" spans="1:25" ht="18" customHeight="1" x14ac:dyDescent="0.25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27"/>
      <c r="M109" s="93"/>
      <c r="N109" s="94"/>
      <c r="O109" s="93"/>
      <c r="P109" s="94"/>
      <c r="Q109" s="93"/>
      <c r="R109" s="98"/>
      <c r="S109" s="94"/>
      <c r="T109" s="30" t="s">
        <v>69</v>
      </c>
      <c r="U109" s="100">
        <v>0</v>
      </c>
      <c r="V109" s="100"/>
      <c r="W109" s="29">
        <v>0</v>
      </c>
      <c r="X109" s="186">
        <v>0</v>
      </c>
      <c r="Y109" s="187"/>
    </row>
    <row r="110" spans="1:25" ht="18" customHeight="1" x14ac:dyDescent="0.2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27"/>
      <c r="M110" s="95"/>
      <c r="N110" s="96"/>
      <c r="O110" s="95"/>
      <c r="P110" s="96"/>
      <c r="Q110" s="95"/>
      <c r="R110" s="99"/>
      <c r="S110" s="96"/>
      <c r="T110" s="30" t="s">
        <v>70</v>
      </c>
      <c r="U110" s="100">
        <v>0</v>
      </c>
      <c r="V110" s="100"/>
      <c r="W110" s="29">
        <v>0</v>
      </c>
      <c r="X110" s="186">
        <v>0</v>
      </c>
      <c r="Y110" s="187"/>
    </row>
    <row r="111" spans="1:25" ht="8.25" customHeight="1" x14ac:dyDescent="0.25">
      <c r="A111" s="31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3"/>
      <c r="M111" s="32"/>
      <c r="N111" s="32"/>
      <c r="O111" s="32"/>
      <c r="P111" s="32"/>
      <c r="Q111" s="32"/>
      <c r="R111" s="34"/>
      <c r="S111" s="34"/>
      <c r="T111" s="34"/>
      <c r="U111" s="34"/>
      <c r="V111" s="34"/>
      <c r="W111" s="32"/>
      <c r="X111" s="32"/>
      <c r="Y111" s="7"/>
    </row>
    <row r="112" spans="1:25" ht="18" customHeight="1" x14ac:dyDescent="0.3">
      <c r="A112" s="18" t="s">
        <v>71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20"/>
      <c r="L112" s="35"/>
      <c r="M112" s="18" t="s">
        <v>72</v>
      </c>
      <c r="N112" s="20"/>
      <c r="O112" s="36"/>
      <c r="P112" s="19"/>
      <c r="Q112" s="19"/>
      <c r="R112" s="19"/>
      <c r="S112" s="19"/>
      <c r="T112" s="19"/>
      <c r="U112" s="19"/>
      <c r="V112" s="19"/>
      <c r="W112" s="22"/>
      <c r="X112" s="22"/>
      <c r="Y112" s="37"/>
    </row>
    <row r="113" spans="1:25" ht="57" customHeight="1" x14ac:dyDescent="0.25">
      <c r="A113" s="71"/>
      <c r="B113" s="72"/>
      <c r="C113" s="72"/>
      <c r="D113" s="72"/>
      <c r="E113" s="73"/>
      <c r="F113" s="68" t="s">
        <v>12</v>
      </c>
      <c r="G113" s="70"/>
      <c r="H113" s="68" t="s">
        <v>13</v>
      </c>
      <c r="I113" s="70"/>
      <c r="J113" s="38" t="s">
        <v>73</v>
      </c>
      <c r="K113" s="39"/>
      <c r="L113" s="40"/>
      <c r="M113" s="77" t="s">
        <v>74</v>
      </c>
      <c r="N113" s="78"/>
      <c r="O113" s="77" t="s">
        <v>75</v>
      </c>
      <c r="P113" s="78"/>
      <c r="Q113" s="77" t="s">
        <v>76</v>
      </c>
      <c r="R113" s="78"/>
      <c r="S113" s="77" t="s">
        <v>77</v>
      </c>
      <c r="T113" s="79"/>
      <c r="U113" s="79"/>
      <c r="V113" s="78"/>
      <c r="W113" s="77" t="s">
        <v>78</v>
      </c>
      <c r="X113" s="79"/>
      <c r="Y113" s="78"/>
    </row>
    <row r="114" spans="1:25" ht="13.5" customHeight="1" x14ac:dyDescent="0.25">
      <c r="A114" s="74"/>
      <c r="B114" s="75"/>
      <c r="C114" s="75"/>
      <c r="D114" s="75"/>
      <c r="E114" s="76"/>
      <c r="F114" s="10" t="s">
        <v>79</v>
      </c>
      <c r="G114" s="10" t="s">
        <v>14</v>
      </c>
      <c r="H114" s="10" t="s">
        <v>79</v>
      </c>
      <c r="I114" s="10" t="s">
        <v>14</v>
      </c>
      <c r="J114" s="10" t="s">
        <v>79</v>
      </c>
      <c r="K114" s="10" t="s">
        <v>14</v>
      </c>
      <c r="L114" s="41"/>
      <c r="M114" s="42" t="s">
        <v>80</v>
      </c>
      <c r="N114" s="42" t="s">
        <v>81</v>
      </c>
      <c r="O114" s="42" t="s">
        <v>80</v>
      </c>
      <c r="P114" s="43" t="s">
        <v>81</v>
      </c>
      <c r="Q114" s="42" t="s">
        <v>80</v>
      </c>
      <c r="R114" s="42" t="s">
        <v>81</v>
      </c>
      <c r="S114" s="44"/>
      <c r="T114" s="42" t="s">
        <v>0</v>
      </c>
      <c r="U114" s="45" t="s">
        <v>1</v>
      </c>
      <c r="V114" s="46" t="s">
        <v>82</v>
      </c>
      <c r="W114" s="42" t="s">
        <v>0</v>
      </c>
      <c r="X114" s="45" t="s">
        <v>1</v>
      </c>
      <c r="Y114" s="46" t="s">
        <v>82</v>
      </c>
    </row>
    <row r="115" spans="1:25" ht="18" customHeight="1" x14ac:dyDescent="0.3">
      <c r="A115" s="80" t="s">
        <v>83</v>
      </c>
      <c r="B115" s="81"/>
      <c r="C115" s="81"/>
      <c r="D115" s="81"/>
      <c r="E115" s="82"/>
      <c r="F115" s="10">
        <v>61</v>
      </c>
      <c r="G115" s="10">
        <v>0</v>
      </c>
      <c r="H115" s="10">
        <v>0</v>
      </c>
      <c r="I115" s="10">
        <v>0</v>
      </c>
      <c r="J115" s="10">
        <v>0</v>
      </c>
      <c r="K115" s="10">
        <v>1</v>
      </c>
      <c r="L115" s="41"/>
      <c r="M115" s="83">
        <v>13</v>
      </c>
      <c r="N115" s="83">
        <v>62</v>
      </c>
      <c r="O115" s="83">
        <v>25</v>
      </c>
      <c r="P115" s="83">
        <v>33</v>
      </c>
      <c r="Q115" s="83">
        <v>1</v>
      </c>
      <c r="R115" s="83">
        <v>6</v>
      </c>
      <c r="S115" s="47" t="s">
        <v>68</v>
      </c>
      <c r="T115" s="48">
        <v>0</v>
      </c>
      <c r="U115" s="48">
        <v>0</v>
      </c>
      <c r="V115" s="48">
        <v>0</v>
      </c>
      <c r="W115" s="48">
        <v>0</v>
      </c>
      <c r="X115" s="48">
        <v>0</v>
      </c>
      <c r="Y115" s="48">
        <v>0</v>
      </c>
    </row>
    <row r="116" spans="1:25" ht="18" customHeight="1" x14ac:dyDescent="0.3">
      <c r="A116" s="80" t="s">
        <v>8</v>
      </c>
      <c r="B116" s="81"/>
      <c r="C116" s="81"/>
      <c r="D116" s="81"/>
      <c r="E116" s="82"/>
      <c r="F116" s="10">
        <v>8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41"/>
      <c r="M116" s="84"/>
      <c r="N116" s="84"/>
      <c r="O116" s="84"/>
      <c r="P116" s="84"/>
      <c r="Q116" s="84"/>
      <c r="R116" s="84"/>
      <c r="S116" s="47" t="s">
        <v>69</v>
      </c>
      <c r="T116" s="48">
        <v>0</v>
      </c>
      <c r="U116" s="48">
        <v>0</v>
      </c>
      <c r="V116" s="48">
        <v>0</v>
      </c>
      <c r="W116" s="48">
        <v>0</v>
      </c>
      <c r="X116" s="48">
        <v>0</v>
      </c>
      <c r="Y116" s="48">
        <v>0</v>
      </c>
    </row>
    <row r="117" spans="1:25" ht="18" customHeight="1" x14ac:dyDescent="0.25">
      <c r="A117" s="86" t="s">
        <v>84</v>
      </c>
      <c r="B117" s="87"/>
      <c r="C117" s="87"/>
      <c r="D117" s="87"/>
      <c r="E117" s="88"/>
      <c r="F117" s="10">
        <v>2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41"/>
      <c r="M117" s="84"/>
      <c r="N117" s="84"/>
      <c r="O117" s="84"/>
      <c r="P117" s="84"/>
      <c r="Q117" s="84"/>
      <c r="R117" s="84"/>
      <c r="S117" s="89" t="s">
        <v>70</v>
      </c>
      <c r="T117" s="83">
        <v>0</v>
      </c>
      <c r="U117" s="83">
        <v>0</v>
      </c>
      <c r="V117" s="83">
        <v>0</v>
      </c>
      <c r="W117" s="83">
        <v>0</v>
      </c>
      <c r="X117" s="83">
        <v>0</v>
      </c>
      <c r="Y117" s="83">
        <v>0</v>
      </c>
    </row>
    <row r="118" spans="1:25" ht="18" customHeight="1" x14ac:dyDescent="0.25">
      <c r="A118" s="68" t="s">
        <v>7</v>
      </c>
      <c r="B118" s="69"/>
      <c r="C118" s="69"/>
      <c r="D118" s="69"/>
      <c r="E118" s="70"/>
      <c r="F118" s="10">
        <v>71</v>
      </c>
      <c r="G118" s="10">
        <v>0</v>
      </c>
      <c r="H118" s="10">
        <v>0</v>
      </c>
      <c r="I118" s="10">
        <v>0</v>
      </c>
      <c r="J118" s="10">
        <v>0</v>
      </c>
      <c r="K118" s="10">
        <v>1</v>
      </c>
      <c r="L118" s="41"/>
      <c r="M118" s="85"/>
      <c r="N118" s="85"/>
      <c r="O118" s="85"/>
      <c r="P118" s="85"/>
      <c r="Q118" s="85"/>
      <c r="R118" s="85"/>
      <c r="S118" s="90"/>
      <c r="T118" s="85"/>
      <c r="U118" s="85"/>
      <c r="V118" s="85"/>
      <c r="W118" s="85"/>
      <c r="X118" s="85"/>
      <c r="Y118" s="85"/>
    </row>
    <row r="119" spans="1:25" ht="23.4" x14ac:dyDescent="0.45">
      <c r="A119" s="120" t="s">
        <v>17</v>
      </c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</row>
    <row r="120" spans="1:25" ht="23.4" x14ac:dyDescent="0.25">
      <c r="A120" s="111" t="s">
        <v>18</v>
      </c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"/>
      <c r="U120" s="112" t="s">
        <v>19</v>
      </c>
      <c r="V120" s="112"/>
      <c r="W120" s="1"/>
      <c r="X120" s="1"/>
      <c r="Y120" s="1"/>
    </row>
    <row r="121" spans="1:25" ht="30.9" customHeight="1" x14ac:dyDescent="0.25">
      <c r="A121" s="113" t="s">
        <v>20</v>
      </c>
      <c r="B121" s="113"/>
      <c r="C121" s="113"/>
      <c r="D121" s="113"/>
      <c r="E121" s="117" t="s">
        <v>16</v>
      </c>
      <c r="F121" s="117"/>
      <c r="G121" s="117"/>
      <c r="H121" s="116" t="s">
        <v>22</v>
      </c>
      <c r="I121" s="116"/>
      <c r="J121" s="115">
        <v>0</v>
      </c>
      <c r="K121" s="115"/>
      <c r="L121" s="116" t="s">
        <v>23</v>
      </c>
      <c r="M121" s="116"/>
      <c r="N121" s="188" t="s">
        <v>15</v>
      </c>
      <c r="O121" s="188"/>
      <c r="P121" s="188"/>
      <c r="Q121" s="118" t="s">
        <v>24</v>
      </c>
      <c r="R121" s="118"/>
      <c r="S121" s="118"/>
      <c r="T121" s="118"/>
      <c r="U121" s="119" t="s">
        <v>87</v>
      </c>
      <c r="V121" s="119"/>
      <c r="W121" s="119"/>
      <c r="X121" s="147" t="s">
        <v>93</v>
      </c>
      <c r="Y121" s="147"/>
    </row>
    <row r="122" spans="1:25" ht="15" customHeight="1" x14ac:dyDescent="0.25">
      <c r="Q122" s="118"/>
      <c r="R122" s="118"/>
      <c r="S122" s="118"/>
      <c r="T122" s="118"/>
      <c r="U122" s="119"/>
      <c r="V122" s="119"/>
      <c r="W122" s="119"/>
      <c r="X122" s="147"/>
      <c r="Y122" s="147"/>
    </row>
    <row r="123" spans="1:25" ht="15.6" x14ac:dyDescent="0.3">
      <c r="A123" s="166" t="s">
        <v>26</v>
      </c>
      <c r="B123" s="166"/>
      <c r="C123" s="166"/>
      <c r="D123" s="166"/>
      <c r="E123" s="166"/>
      <c r="F123" s="166"/>
      <c r="G123" s="167" t="s">
        <v>27</v>
      </c>
      <c r="H123" s="167"/>
      <c r="I123" s="167"/>
      <c r="J123" s="167"/>
      <c r="K123" s="167"/>
      <c r="L123" s="167"/>
      <c r="M123" s="167"/>
      <c r="N123" s="2"/>
      <c r="Q123" s="168" t="s">
        <v>28</v>
      </c>
      <c r="R123" s="168"/>
      <c r="S123" s="168"/>
      <c r="T123" s="168"/>
      <c r="U123" s="168"/>
      <c r="V123" s="148" t="s">
        <v>29</v>
      </c>
      <c r="W123" s="148"/>
      <c r="X123" s="148"/>
      <c r="Y123" s="148"/>
    </row>
    <row r="124" spans="1:2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 customHeight="1" x14ac:dyDescent="0.25">
      <c r="A125" s="149" t="s">
        <v>31</v>
      </c>
      <c r="B125" s="150"/>
      <c r="C125" s="150"/>
      <c r="D125" s="150"/>
      <c r="E125" s="150"/>
      <c r="F125" s="150"/>
      <c r="G125" s="150"/>
      <c r="H125" s="150"/>
      <c r="I125" s="151"/>
      <c r="J125" s="152" t="s">
        <v>32</v>
      </c>
      <c r="K125" s="153"/>
      <c r="L125" s="152" t="s">
        <v>33</v>
      </c>
      <c r="M125" s="153"/>
      <c r="N125" s="91" t="s">
        <v>34</v>
      </c>
      <c r="O125" s="92"/>
      <c r="P125" s="152" t="s">
        <v>35</v>
      </c>
      <c r="Q125" s="153"/>
      <c r="R125" s="68" t="s">
        <v>36</v>
      </c>
      <c r="S125" s="69"/>
      <c r="T125" s="69"/>
      <c r="U125" s="69"/>
      <c r="V125" s="69"/>
      <c r="W125" s="70"/>
      <c r="X125" s="152" t="s">
        <v>7</v>
      </c>
      <c r="Y125" s="153"/>
    </row>
    <row r="126" spans="1:25" ht="23.25" customHeight="1" x14ac:dyDescent="0.25">
      <c r="A126" s="158" t="s">
        <v>37</v>
      </c>
      <c r="B126" s="159"/>
      <c r="C126" s="159"/>
      <c r="D126" s="159"/>
      <c r="E126" s="159"/>
      <c r="F126" s="159"/>
      <c r="G126" s="159"/>
      <c r="H126" s="159"/>
      <c r="I126" s="160"/>
      <c r="J126" s="154"/>
      <c r="K126" s="155"/>
      <c r="L126" s="154"/>
      <c r="M126" s="155"/>
      <c r="N126" s="93"/>
      <c r="O126" s="94"/>
      <c r="P126" s="154"/>
      <c r="Q126" s="155"/>
      <c r="R126" s="164" t="s">
        <v>38</v>
      </c>
      <c r="S126" s="164"/>
      <c r="T126" s="164" t="s">
        <v>39</v>
      </c>
      <c r="U126" s="164"/>
      <c r="V126" s="164" t="s">
        <v>40</v>
      </c>
      <c r="W126" s="164"/>
      <c r="X126" s="154"/>
      <c r="Y126" s="155"/>
    </row>
    <row r="127" spans="1:25" x14ac:dyDescent="0.25">
      <c r="A127" s="161"/>
      <c r="B127" s="162"/>
      <c r="C127" s="162"/>
      <c r="D127" s="162"/>
      <c r="E127" s="162"/>
      <c r="F127" s="162"/>
      <c r="G127" s="162"/>
      <c r="H127" s="162"/>
      <c r="I127" s="163"/>
      <c r="J127" s="156"/>
      <c r="K127" s="157"/>
      <c r="L127" s="156"/>
      <c r="M127" s="157"/>
      <c r="N127" s="95"/>
      <c r="O127" s="96"/>
      <c r="P127" s="156"/>
      <c r="Q127" s="157"/>
      <c r="R127" s="165"/>
      <c r="S127" s="165"/>
      <c r="T127" s="165"/>
      <c r="U127" s="165"/>
      <c r="V127" s="165"/>
      <c r="W127" s="165"/>
      <c r="X127" s="156"/>
      <c r="Y127" s="157"/>
    </row>
    <row r="128" spans="1:25" ht="18" customHeight="1" x14ac:dyDescent="0.3">
      <c r="A128" s="106" t="s">
        <v>41</v>
      </c>
      <c r="B128" s="107"/>
      <c r="C128" s="107"/>
      <c r="D128" s="107"/>
      <c r="E128" s="107"/>
      <c r="F128" s="107"/>
      <c r="G128" s="107"/>
      <c r="H128" s="107"/>
      <c r="I128" s="108"/>
      <c r="J128" s="68">
        <v>41</v>
      </c>
      <c r="K128" s="70"/>
      <c r="L128" s="68">
        <v>6</v>
      </c>
      <c r="M128" s="70"/>
      <c r="N128" s="68">
        <v>0</v>
      </c>
      <c r="O128" s="70"/>
      <c r="P128" s="68">
        <v>47</v>
      </c>
      <c r="Q128" s="70"/>
      <c r="R128" s="68">
        <v>1</v>
      </c>
      <c r="S128" s="70"/>
      <c r="T128" s="68">
        <v>1</v>
      </c>
      <c r="U128" s="70"/>
      <c r="V128" s="68">
        <v>0</v>
      </c>
      <c r="W128" s="70"/>
      <c r="X128" s="80">
        <v>49</v>
      </c>
      <c r="Y128" s="82"/>
    </row>
    <row r="129" spans="1:28" ht="18" customHeight="1" x14ac:dyDescent="0.3">
      <c r="A129" s="106" t="s">
        <v>42</v>
      </c>
      <c r="B129" s="107"/>
      <c r="C129" s="107"/>
      <c r="D129" s="107"/>
      <c r="E129" s="107"/>
      <c r="F129" s="107"/>
      <c r="G129" s="107"/>
      <c r="H129" s="107"/>
      <c r="I129" s="108"/>
      <c r="J129" s="68">
        <v>13</v>
      </c>
      <c r="K129" s="70"/>
      <c r="L129" s="68">
        <v>1</v>
      </c>
      <c r="M129" s="70"/>
      <c r="N129" s="68">
        <v>0</v>
      </c>
      <c r="O129" s="70"/>
      <c r="P129" s="68">
        <v>14</v>
      </c>
      <c r="Q129" s="70"/>
      <c r="R129" s="68">
        <v>1</v>
      </c>
      <c r="S129" s="70"/>
      <c r="T129" s="68">
        <v>0</v>
      </c>
      <c r="U129" s="70"/>
      <c r="V129" s="68">
        <v>0</v>
      </c>
      <c r="W129" s="70"/>
      <c r="X129" s="80">
        <v>15</v>
      </c>
      <c r="Y129" s="82"/>
    </row>
    <row r="130" spans="1:28" ht="18" customHeight="1" x14ac:dyDescent="0.3">
      <c r="A130" s="106" t="s">
        <v>43</v>
      </c>
      <c r="B130" s="107"/>
      <c r="C130" s="107"/>
      <c r="D130" s="107"/>
      <c r="E130" s="107"/>
      <c r="F130" s="107"/>
      <c r="G130" s="107"/>
      <c r="H130" s="107"/>
      <c r="I130" s="108"/>
      <c r="J130" s="68">
        <v>0</v>
      </c>
      <c r="K130" s="70"/>
      <c r="L130" s="68">
        <v>0</v>
      </c>
      <c r="M130" s="70"/>
      <c r="N130" s="68">
        <v>0</v>
      </c>
      <c r="O130" s="70"/>
      <c r="P130" s="68">
        <v>0</v>
      </c>
      <c r="Q130" s="70"/>
      <c r="R130" s="68">
        <v>0</v>
      </c>
      <c r="S130" s="70"/>
      <c r="T130" s="68">
        <v>0</v>
      </c>
      <c r="U130" s="70"/>
      <c r="V130" s="68">
        <v>0</v>
      </c>
      <c r="W130" s="70"/>
      <c r="X130" s="80">
        <v>0</v>
      </c>
      <c r="Y130" s="82"/>
    </row>
    <row r="131" spans="1:28" ht="18" customHeight="1" x14ac:dyDescent="0.3">
      <c r="A131" s="106" t="s">
        <v>44</v>
      </c>
      <c r="B131" s="107"/>
      <c r="C131" s="107"/>
      <c r="D131" s="107"/>
      <c r="E131" s="107"/>
      <c r="F131" s="107"/>
      <c r="G131" s="107"/>
      <c r="H131" s="107"/>
      <c r="I131" s="108"/>
      <c r="J131" s="68">
        <v>5</v>
      </c>
      <c r="K131" s="70"/>
      <c r="L131" s="68">
        <v>0</v>
      </c>
      <c r="M131" s="70"/>
      <c r="N131" s="68">
        <v>0</v>
      </c>
      <c r="O131" s="70"/>
      <c r="P131" s="68">
        <v>5</v>
      </c>
      <c r="Q131" s="70"/>
      <c r="R131" s="68">
        <v>0</v>
      </c>
      <c r="S131" s="70"/>
      <c r="T131" s="68">
        <v>0</v>
      </c>
      <c r="U131" s="70"/>
      <c r="V131" s="68">
        <v>0</v>
      </c>
      <c r="W131" s="70"/>
      <c r="X131" s="80">
        <v>5</v>
      </c>
      <c r="Y131" s="82"/>
    </row>
    <row r="132" spans="1:28" ht="18" customHeight="1" x14ac:dyDescent="0.3">
      <c r="A132" s="106" t="s">
        <v>7</v>
      </c>
      <c r="B132" s="107"/>
      <c r="C132" s="107"/>
      <c r="D132" s="107"/>
      <c r="E132" s="107"/>
      <c r="F132" s="107"/>
      <c r="G132" s="107"/>
      <c r="H132" s="107"/>
      <c r="I132" s="108"/>
      <c r="J132" s="68">
        <v>59</v>
      </c>
      <c r="K132" s="70"/>
      <c r="L132" s="68">
        <v>7</v>
      </c>
      <c r="M132" s="70"/>
      <c r="N132" s="68">
        <v>0</v>
      </c>
      <c r="O132" s="70"/>
      <c r="P132" s="68">
        <v>66</v>
      </c>
      <c r="Q132" s="70"/>
      <c r="R132" s="68">
        <v>2</v>
      </c>
      <c r="S132" s="70"/>
      <c r="T132" s="68">
        <v>1</v>
      </c>
      <c r="U132" s="70"/>
      <c r="V132" s="68">
        <v>0</v>
      </c>
      <c r="W132" s="70"/>
      <c r="X132" s="80">
        <v>69</v>
      </c>
      <c r="Y132" s="82"/>
    </row>
    <row r="133" spans="1:28" ht="15.6" x14ac:dyDescent="0.3">
      <c r="A133" s="4" t="s">
        <v>45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"/>
      <c r="S133" s="6"/>
      <c r="T133" s="6"/>
      <c r="U133" s="6"/>
      <c r="V133" s="6"/>
      <c r="W133" s="6"/>
      <c r="X133" s="6"/>
      <c r="Y133" s="7"/>
    </row>
    <row r="134" spans="1:28" x14ac:dyDescent="0.25">
      <c r="A134" s="71"/>
      <c r="B134" s="72"/>
      <c r="C134" s="72"/>
      <c r="D134" s="72"/>
      <c r="E134" s="72"/>
      <c r="F134" s="72"/>
      <c r="G134" s="73"/>
      <c r="H134" s="68" t="s">
        <v>0</v>
      </c>
      <c r="I134" s="69"/>
      <c r="J134" s="136" t="s">
        <v>1</v>
      </c>
      <c r="K134" s="69"/>
      <c r="L134" s="134" t="s">
        <v>2</v>
      </c>
      <c r="M134" s="69"/>
      <c r="N134" s="134" t="s">
        <v>3</v>
      </c>
      <c r="O134" s="69"/>
      <c r="P134" s="134" t="s">
        <v>4</v>
      </c>
      <c r="Q134" s="135"/>
      <c r="R134" s="134" t="s">
        <v>5</v>
      </c>
      <c r="S134" s="69"/>
      <c r="T134" s="134" t="s">
        <v>6</v>
      </c>
      <c r="U134" s="69"/>
      <c r="V134" s="134" t="s">
        <v>46</v>
      </c>
      <c r="W134" s="69"/>
      <c r="X134" s="134" t="s">
        <v>7</v>
      </c>
      <c r="Y134" s="135"/>
      <c r="Z134" s="8"/>
      <c r="AA134" s="9"/>
      <c r="AB134" s="9"/>
    </row>
    <row r="135" spans="1:28" x14ac:dyDescent="0.25">
      <c r="A135" s="74"/>
      <c r="B135" s="75"/>
      <c r="C135" s="75"/>
      <c r="D135" s="75"/>
      <c r="E135" s="75"/>
      <c r="F135" s="75"/>
      <c r="G135" s="76"/>
      <c r="H135" s="10" t="s">
        <v>10</v>
      </c>
      <c r="I135" s="10" t="s">
        <v>11</v>
      </c>
      <c r="J135" s="10" t="s">
        <v>10</v>
      </c>
      <c r="K135" s="10" t="s">
        <v>11</v>
      </c>
      <c r="L135" s="10" t="s">
        <v>10</v>
      </c>
      <c r="M135" s="10" t="s">
        <v>11</v>
      </c>
      <c r="N135" s="10" t="s">
        <v>10</v>
      </c>
      <c r="O135" s="10" t="s">
        <v>11</v>
      </c>
      <c r="P135" s="10" t="s">
        <v>10</v>
      </c>
      <c r="Q135" s="10" t="s">
        <v>11</v>
      </c>
      <c r="R135" s="10" t="s">
        <v>10</v>
      </c>
      <c r="S135" s="10" t="s">
        <v>11</v>
      </c>
      <c r="T135" s="10" t="s">
        <v>10</v>
      </c>
      <c r="U135" s="10" t="s">
        <v>11</v>
      </c>
      <c r="V135" s="10" t="s">
        <v>10</v>
      </c>
      <c r="W135" s="10" t="s">
        <v>11</v>
      </c>
      <c r="X135" s="10" t="s">
        <v>10</v>
      </c>
      <c r="Y135" s="10" t="s">
        <v>11</v>
      </c>
    </row>
    <row r="136" spans="1:28" ht="18" customHeight="1" x14ac:dyDescent="0.25">
      <c r="A136" s="106" t="s">
        <v>41</v>
      </c>
      <c r="B136" s="107"/>
      <c r="C136" s="107"/>
      <c r="D136" s="107"/>
      <c r="E136" s="107"/>
      <c r="F136" s="107"/>
      <c r="G136" s="108"/>
      <c r="H136" s="10">
        <v>0</v>
      </c>
      <c r="I136" s="10">
        <v>0</v>
      </c>
      <c r="J136" s="10">
        <v>0</v>
      </c>
      <c r="K136" s="10">
        <v>1</v>
      </c>
      <c r="L136" s="10">
        <v>3</v>
      </c>
      <c r="M136" s="10">
        <v>9</v>
      </c>
      <c r="N136" s="10">
        <v>6</v>
      </c>
      <c r="O136" s="10">
        <v>4</v>
      </c>
      <c r="P136" s="10">
        <v>2</v>
      </c>
      <c r="Q136" s="10">
        <v>8</v>
      </c>
      <c r="R136" s="10">
        <v>6</v>
      </c>
      <c r="S136" s="10">
        <v>4</v>
      </c>
      <c r="T136" s="10">
        <v>1</v>
      </c>
      <c r="U136" s="10">
        <v>2</v>
      </c>
      <c r="V136" s="10">
        <v>1</v>
      </c>
      <c r="W136" s="10">
        <v>0</v>
      </c>
      <c r="X136" s="10">
        <v>19</v>
      </c>
      <c r="Y136" s="10">
        <v>28</v>
      </c>
    </row>
    <row r="137" spans="1:28" ht="18" customHeight="1" x14ac:dyDescent="0.25">
      <c r="A137" s="106" t="s">
        <v>42</v>
      </c>
      <c r="B137" s="107"/>
      <c r="C137" s="107"/>
      <c r="D137" s="107"/>
      <c r="E137" s="107"/>
      <c r="F137" s="107"/>
      <c r="G137" s="108"/>
      <c r="H137" s="10">
        <v>0</v>
      </c>
      <c r="I137" s="10">
        <v>0</v>
      </c>
      <c r="J137" s="10">
        <v>0</v>
      </c>
      <c r="K137" s="10">
        <v>0</v>
      </c>
      <c r="L137" s="10">
        <v>2</v>
      </c>
      <c r="M137" s="10">
        <v>0</v>
      </c>
      <c r="N137" s="10">
        <v>0</v>
      </c>
      <c r="O137" s="10">
        <v>0</v>
      </c>
      <c r="P137" s="10">
        <v>1</v>
      </c>
      <c r="Q137" s="10">
        <v>0</v>
      </c>
      <c r="R137" s="10">
        <v>0</v>
      </c>
      <c r="S137" s="10">
        <v>3</v>
      </c>
      <c r="T137" s="10">
        <v>2</v>
      </c>
      <c r="U137" s="10">
        <v>2</v>
      </c>
      <c r="V137" s="10">
        <v>3</v>
      </c>
      <c r="W137" s="10">
        <v>1</v>
      </c>
      <c r="X137" s="10">
        <v>8</v>
      </c>
      <c r="Y137" s="10">
        <v>6</v>
      </c>
    </row>
    <row r="138" spans="1:28" ht="18" customHeight="1" x14ac:dyDescent="0.25">
      <c r="A138" s="106" t="s">
        <v>43</v>
      </c>
      <c r="B138" s="107"/>
      <c r="C138" s="107"/>
      <c r="D138" s="107"/>
      <c r="E138" s="107"/>
      <c r="F138" s="107"/>
      <c r="G138" s="108"/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</row>
    <row r="139" spans="1:28" ht="18" customHeight="1" x14ac:dyDescent="0.25">
      <c r="A139" s="106" t="s">
        <v>44</v>
      </c>
      <c r="B139" s="107"/>
      <c r="C139" s="107"/>
      <c r="D139" s="107"/>
      <c r="E139" s="107"/>
      <c r="F139" s="107"/>
      <c r="G139" s="108"/>
      <c r="H139" s="10">
        <v>0</v>
      </c>
      <c r="I139" s="10">
        <v>0</v>
      </c>
      <c r="J139" s="10">
        <v>0</v>
      </c>
      <c r="K139" s="10">
        <v>0</v>
      </c>
      <c r="L139" s="10">
        <v>2</v>
      </c>
      <c r="M139" s="10">
        <v>1</v>
      </c>
      <c r="N139" s="10">
        <v>1</v>
      </c>
      <c r="O139" s="10">
        <v>1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3</v>
      </c>
      <c r="Y139" s="10">
        <v>2</v>
      </c>
    </row>
    <row r="140" spans="1:28" ht="18" customHeight="1" x14ac:dyDescent="0.25">
      <c r="A140" s="106" t="s">
        <v>7</v>
      </c>
      <c r="B140" s="107"/>
      <c r="C140" s="107"/>
      <c r="D140" s="107"/>
      <c r="E140" s="107"/>
      <c r="F140" s="107"/>
      <c r="G140" s="108"/>
      <c r="H140" s="10">
        <v>0</v>
      </c>
      <c r="I140" s="10">
        <v>0</v>
      </c>
      <c r="J140" s="10">
        <v>0</v>
      </c>
      <c r="K140" s="10">
        <v>1</v>
      </c>
      <c r="L140" s="10">
        <v>7</v>
      </c>
      <c r="M140" s="10">
        <v>10</v>
      </c>
      <c r="N140" s="10">
        <v>7</v>
      </c>
      <c r="O140" s="10">
        <v>5</v>
      </c>
      <c r="P140" s="10">
        <v>3</v>
      </c>
      <c r="Q140" s="10">
        <v>8</v>
      </c>
      <c r="R140" s="10">
        <v>6</v>
      </c>
      <c r="S140" s="10">
        <v>7</v>
      </c>
      <c r="T140" s="10">
        <v>3</v>
      </c>
      <c r="U140" s="10">
        <v>4</v>
      </c>
      <c r="V140" s="10">
        <v>4</v>
      </c>
      <c r="W140" s="10">
        <v>1</v>
      </c>
      <c r="X140" s="10">
        <v>30</v>
      </c>
      <c r="Y140" s="10">
        <v>36</v>
      </c>
    </row>
    <row r="141" spans="1:28" ht="6.75" customHeight="1" x14ac:dyDescent="0.25">
      <c r="A141" s="11"/>
      <c r="B141" s="12"/>
      <c r="C141" s="12"/>
      <c r="D141" s="12"/>
      <c r="E141" s="12"/>
      <c r="F141" s="13"/>
      <c r="G141" s="13"/>
      <c r="H141" s="13"/>
      <c r="I141" s="13"/>
      <c r="J141" s="13"/>
      <c r="K141" s="13"/>
      <c r="L141" s="14"/>
      <c r="M141" s="13"/>
      <c r="N141" s="15"/>
      <c r="O141" s="16"/>
      <c r="P141" s="13"/>
      <c r="Q141" s="13"/>
      <c r="R141" s="13"/>
      <c r="S141" s="13"/>
      <c r="T141" s="13"/>
      <c r="U141" s="13"/>
      <c r="V141" s="13"/>
      <c r="W141" s="13"/>
      <c r="X141" s="13"/>
      <c r="Y141" s="17"/>
    </row>
    <row r="142" spans="1:28" ht="18" customHeight="1" x14ac:dyDescent="0.3">
      <c r="A142" s="18" t="s">
        <v>47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20"/>
      <c r="L142" s="21"/>
      <c r="M142" s="18" t="s">
        <v>48</v>
      </c>
      <c r="N142" s="19"/>
      <c r="O142" s="19"/>
      <c r="P142" s="19"/>
      <c r="Q142" s="22"/>
      <c r="R142" s="22"/>
      <c r="S142" s="22"/>
      <c r="T142" s="22"/>
      <c r="U142" s="22"/>
      <c r="V142" s="22"/>
      <c r="W142" s="22"/>
      <c r="X142" s="22"/>
      <c r="Y142" s="23"/>
    </row>
    <row r="143" spans="1:28" ht="57.75" customHeight="1" x14ac:dyDescent="0.25">
      <c r="A143" s="101" t="s">
        <v>49</v>
      </c>
      <c r="B143" s="101" t="s">
        <v>50</v>
      </c>
      <c r="C143" s="101" t="s">
        <v>51</v>
      </c>
      <c r="D143" s="77" t="s">
        <v>52</v>
      </c>
      <c r="E143" s="78"/>
      <c r="F143" s="77" t="s">
        <v>53</v>
      </c>
      <c r="G143" s="79"/>
      <c r="H143" s="79"/>
      <c r="I143" s="78"/>
      <c r="J143" s="101" t="s">
        <v>54</v>
      </c>
      <c r="K143" s="101" t="s">
        <v>55</v>
      </c>
      <c r="L143" s="24"/>
      <c r="M143" s="86" t="s">
        <v>56</v>
      </c>
      <c r="N143" s="88"/>
      <c r="O143" s="86" t="s">
        <v>57</v>
      </c>
      <c r="P143" s="88"/>
      <c r="Q143" s="86" t="s">
        <v>58</v>
      </c>
      <c r="R143" s="87"/>
      <c r="S143" s="87"/>
      <c r="T143" s="87"/>
      <c r="U143" s="87"/>
      <c r="V143" s="87"/>
      <c r="W143" s="87"/>
      <c r="X143" s="87"/>
      <c r="Y143" s="88"/>
    </row>
    <row r="144" spans="1:28" ht="38.25" customHeight="1" x14ac:dyDescent="0.25">
      <c r="A144" s="102"/>
      <c r="B144" s="102"/>
      <c r="C144" s="102"/>
      <c r="D144" s="25" t="s">
        <v>59</v>
      </c>
      <c r="E144" s="25" t="s">
        <v>60</v>
      </c>
      <c r="F144" s="26" t="s">
        <v>59</v>
      </c>
      <c r="G144" s="26" t="s">
        <v>60</v>
      </c>
      <c r="H144" s="26" t="s">
        <v>61</v>
      </c>
      <c r="I144" s="26" t="s">
        <v>62</v>
      </c>
      <c r="J144" s="102"/>
      <c r="K144" s="102"/>
      <c r="L144" s="24"/>
      <c r="M144" s="91">
        <v>4</v>
      </c>
      <c r="N144" s="92"/>
      <c r="O144" s="91">
        <v>0</v>
      </c>
      <c r="P144" s="92"/>
      <c r="Q144" s="86">
        <v>0</v>
      </c>
      <c r="R144" s="87"/>
      <c r="S144" s="87"/>
      <c r="T144" s="87"/>
      <c r="U144" s="87"/>
      <c r="V144" s="87"/>
      <c r="W144" s="87"/>
      <c r="X144" s="87"/>
      <c r="Y144" s="88"/>
    </row>
    <row r="145" spans="1:25" ht="38.25" customHeight="1" x14ac:dyDescent="0.25">
      <c r="A145" s="103">
        <v>5827</v>
      </c>
      <c r="B145" s="103">
        <v>351</v>
      </c>
      <c r="C145" s="103">
        <v>0</v>
      </c>
      <c r="D145" s="103">
        <v>277</v>
      </c>
      <c r="E145" s="103">
        <v>61</v>
      </c>
      <c r="F145" s="103">
        <v>6</v>
      </c>
      <c r="G145" s="103">
        <v>0</v>
      </c>
      <c r="H145" s="103">
        <v>41</v>
      </c>
      <c r="I145" s="103">
        <v>47</v>
      </c>
      <c r="J145" s="103">
        <v>47</v>
      </c>
      <c r="K145" s="103">
        <v>60</v>
      </c>
      <c r="L145" s="24"/>
      <c r="M145" s="91" t="s">
        <v>63</v>
      </c>
      <c r="N145" s="92"/>
      <c r="O145" s="91" t="s">
        <v>64</v>
      </c>
      <c r="P145" s="92"/>
      <c r="Q145" s="95" t="s">
        <v>65</v>
      </c>
      <c r="R145" s="99"/>
      <c r="S145" s="96"/>
      <c r="T145" s="95" t="s">
        <v>66</v>
      </c>
      <c r="U145" s="99"/>
      <c r="V145" s="99"/>
      <c r="W145" s="99"/>
      <c r="X145" s="99"/>
      <c r="Y145" s="96"/>
    </row>
    <row r="146" spans="1:25" ht="19.5" customHeight="1" x14ac:dyDescent="0.25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27"/>
      <c r="M146" s="91">
        <v>4</v>
      </c>
      <c r="N146" s="92"/>
      <c r="O146" s="91">
        <v>0</v>
      </c>
      <c r="P146" s="92"/>
      <c r="Q146" s="91">
        <v>0</v>
      </c>
      <c r="R146" s="97"/>
      <c r="S146" s="92"/>
      <c r="T146" s="28"/>
      <c r="U146" s="86" t="s">
        <v>0</v>
      </c>
      <c r="V146" s="88"/>
      <c r="W146" s="29" t="s">
        <v>1</v>
      </c>
      <c r="X146" s="86" t="s">
        <v>67</v>
      </c>
      <c r="Y146" s="88"/>
    </row>
    <row r="147" spans="1:25" ht="18" customHeight="1" x14ac:dyDescent="0.25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27"/>
      <c r="M147" s="93"/>
      <c r="N147" s="94"/>
      <c r="O147" s="93"/>
      <c r="P147" s="94"/>
      <c r="Q147" s="93"/>
      <c r="R147" s="98"/>
      <c r="S147" s="94"/>
      <c r="T147" s="30" t="s">
        <v>68</v>
      </c>
      <c r="U147" s="100">
        <v>0</v>
      </c>
      <c r="V147" s="100"/>
      <c r="W147" s="29">
        <v>0</v>
      </c>
      <c r="X147" s="186">
        <v>0</v>
      </c>
      <c r="Y147" s="187"/>
    </row>
    <row r="148" spans="1:25" ht="18" customHeight="1" x14ac:dyDescent="0.25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27"/>
      <c r="M148" s="93"/>
      <c r="N148" s="94"/>
      <c r="O148" s="93"/>
      <c r="P148" s="94"/>
      <c r="Q148" s="93"/>
      <c r="R148" s="98"/>
      <c r="S148" s="94"/>
      <c r="T148" s="30" t="s">
        <v>69</v>
      </c>
      <c r="U148" s="100">
        <v>0</v>
      </c>
      <c r="V148" s="100"/>
      <c r="W148" s="29">
        <v>0</v>
      </c>
      <c r="X148" s="186">
        <v>0</v>
      </c>
      <c r="Y148" s="187"/>
    </row>
    <row r="149" spans="1:25" ht="18" customHeight="1" x14ac:dyDescent="0.2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27"/>
      <c r="M149" s="95"/>
      <c r="N149" s="96"/>
      <c r="O149" s="95"/>
      <c r="P149" s="96"/>
      <c r="Q149" s="95"/>
      <c r="R149" s="99"/>
      <c r="S149" s="96"/>
      <c r="T149" s="30" t="s">
        <v>70</v>
      </c>
      <c r="U149" s="100">
        <v>0</v>
      </c>
      <c r="V149" s="100"/>
      <c r="W149" s="29">
        <v>0</v>
      </c>
      <c r="X149" s="186">
        <v>0</v>
      </c>
      <c r="Y149" s="187"/>
    </row>
    <row r="150" spans="1:25" ht="8.25" customHeight="1" x14ac:dyDescent="0.25">
      <c r="A150" s="31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3"/>
      <c r="M150" s="32"/>
      <c r="N150" s="32"/>
      <c r="O150" s="32"/>
      <c r="P150" s="32"/>
      <c r="Q150" s="32"/>
      <c r="R150" s="34"/>
      <c r="S150" s="34"/>
      <c r="T150" s="34"/>
      <c r="U150" s="34"/>
      <c r="V150" s="34"/>
      <c r="W150" s="32"/>
      <c r="X150" s="32"/>
      <c r="Y150" s="7"/>
    </row>
    <row r="151" spans="1:25" ht="18" customHeight="1" x14ac:dyDescent="0.3">
      <c r="A151" s="18" t="s">
        <v>71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20"/>
      <c r="L151" s="35"/>
      <c r="M151" s="18" t="s">
        <v>72</v>
      </c>
      <c r="N151" s="20"/>
      <c r="O151" s="36"/>
      <c r="P151" s="19"/>
      <c r="Q151" s="19"/>
      <c r="R151" s="19"/>
      <c r="S151" s="19"/>
      <c r="T151" s="19"/>
      <c r="U151" s="19"/>
      <c r="V151" s="19"/>
      <c r="W151" s="22"/>
      <c r="X151" s="22"/>
      <c r="Y151" s="37"/>
    </row>
    <row r="152" spans="1:25" ht="60" customHeight="1" x14ac:dyDescent="0.25">
      <c r="A152" s="71"/>
      <c r="B152" s="72"/>
      <c r="C152" s="72"/>
      <c r="D152" s="72"/>
      <c r="E152" s="73"/>
      <c r="F152" s="68" t="s">
        <v>12</v>
      </c>
      <c r="G152" s="70"/>
      <c r="H152" s="68" t="s">
        <v>13</v>
      </c>
      <c r="I152" s="70"/>
      <c r="J152" s="38" t="s">
        <v>73</v>
      </c>
      <c r="K152" s="39"/>
      <c r="L152" s="40"/>
      <c r="M152" s="77" t="s">
        <v>74</v>
      </c>
      <c r="N152" s="78"/>
      <c r="O152" s="77" t="s">
        <v>75</v>
      </c>
      <c r="P152" s="78"/>
      <c r="Q152" s="77" t="s">
        <v>76</v>
      </c>
      <c r="R152" s="78"/>
      <c r="S152" s="77" t="s">
        <v>77</v>
      </c>
      <c r="T152" s="79"/>
      <c r="U152" s="79"/>
      <c r="V152" s="78"/>
      <c r="W152" s="77" t="s">
        <v>78</v>
      </c>
      <c r="X152" s="79"/>
      <c r="Y152" s="78"/>
    </row>
    <row r="153" spans="1:25" ht="18" customHeight="1" x14ac:dyDescent="0.25">
      <c r="A153" s="74"/>
      <c r="B153" s="75"/>
      <c r="C153" s="75"/>
      <c r="D153" s="75"/>
      <c r="E153" s="76"/>
      <c r="F153" s="10" t="s">
        <v>79</v>
      </c>
      <c r="G153" s="10" t="s">
        <v>14</v>
      </c>
      <c r="H153" s="10" t="s">
        <v>79</v>
      </c>
      <c r="I153" s="10" t="s">
        <v>14</v>
      </c>
      <c r="J153" s="10" t="s">
        <v>79</v>
      </c>
      <c r="K153" s="10" t="s">
        <v>14</v>
      </c>
      <c r="L153" s="41"/>
      <c r="M153" s="42" t="s">
        <v>80</v>
      </c>
      <c r="N153" s="42" t="s">
        <v>81</v>
      </c>
      <c r="O153" s="42" t="s">
        <v>80</v>
      </c>
      <c r="P153" s="43" t="s">
        <v>81</v>
      </c>
      <c r="Q153" s="42" t="s">
        <v>80</v>
      </c>
      <c r="R153" s="42" t="s">
        <v>81</v>
      </c>
      <c r="S153" s="44"/>
      <c r="T153" s="42" t="s">
        <v>0</v>
      </c>
      <c r="U153" s="45" t="s">
        <v>1</v>
      </c>
      <c r="V153" s="46" t="s">
        <v>82</v>
      </c>
      <c r="W153" s="42" t="s">
        <v>0</v>
      </c>
      <c r="X153" s="45" t="s">
        <v>1</v>
      </c>
      <c r="Y153" s="46" t="s">
        <v>82</v>
      </c>
    </row>
    <row r="154" spans="1:25" ht="18" customHeight="1" x14ac:dyDescent="0.3">
      <c r="A154" s="80" t="s">
        <v>83</v>
      </c>
      <c r="B154" s="81"/>
      <c r="C154" s="81"/>
      <c r="D154" s="81"/>
      <c r="E154" s="82"/>
      <c r="F154" s="10">
        <v>39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41"/>
      <c r="M154" s="83">
        <v>0</v>
      </c>
      <c r="N154" s="83">
        <v>48</v>
      </c>
      <c r="O154" s="83">
        <v>0</v>
      </c>
      <c r="P154" s="83">
        <v>30</v>
      </c>
      <c r="Q154" s="83">
        <v>0</v>
      </c>
      <c r="R154" s="83">
        <v>3</v>
      </c>
      <c r="S154" s="47" t="s">
        <v>68</v>
      </c>
      <c r="T154" s="48">
        <v>0</v>
      </c>
      <c r="U154" s="48">
        <v>1</v>
      </c>
      <c r="V154" s="48">
        <v>0</v>
      </c>
      <c r="W154" s="48">
        <v>0</v>
      </c>
      <c r="X154" s="48">
        <v>0</v>
      </c>
      <c r="Y154" s="48">
        <v>0</v>
      </c>
    </row>
    <row r="155" spans="1:25" ht="18" customHeight="1" x14ac:dyDescent="0.3">
      <c r="A155" s="80" t="s">
        <v>8</v>
      </c>
      <c r="B155" s="81"/>
      <c r="C155" s="81"/>
      <c r="D155" s="81"/>
      <c r="E155" s="82"/>
      <c r="F155" s="10">
        <v>5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41"/>
      <c r="M155" s="84"/>
      <c r="N155" s="84"/>
      <c r="O155" s="84"/>
      <c r="P155" s="84"/>
      <c r="Q155" s="84"/>
      <c r="R155" s="84"/>
      <c r="S155" s="47" t="s">
        <v>69</v>
      </c>
      <c r="T155" s="48">
        <v>0</v>
      </c>
      <c r="U155" s="48">
        <v>0</v>
      </c>
      <c r="V155" s="48">
        <v>0</v>
      </c>
      <c r="W155" s="48">
        <v>0</v>
      </c>
      <c r="X155" s="48">
        <v>0</v>
      </c>
      <c r="Y155" s="48">
        <v>0</v>
      </c>
    </row>
    <row r="156" spans="1:25" ht="18" customHeight="1" x14ac:dyDescent="0.25">
      <c r="A156" s="86" t="s">
        <v>84</v>
      </c>
      <c r="B156" s="87"/>
      <c r="C156" s="87"/>
      <c r="D156" s="87"/>
      <c r="E156" s="88"/>
      <c r="F156" s="10">
        <v>1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41"/>
      <c r="M156" s="84"/>
      <c r="N156" s="84"/>
      <c r="O156" s="84"/>
      <c r="P156" s="84"/>
      <c r="Q156" s="84"/>
      <c r="R156" s="84"/>
      <c r="S156" s="89" t="s">
        <v>70</v>
      </c>
      <c r="T156" s="83">
        <v>0</v>
      </c>
      <c r="U156" s="83">
        <v>0</v>
      </c>
      <c r="V156" s="83">
        <v>0</v>
      </c>
      <c r="W156" s="83">
        <v>0</v>
      </c>
      <c r="X156" s="83">
        <v>0</v>
      </c>
      <c r="Y156" s="83">
        <v>0</v>
      </c>
    </row>
    <row r="157" spans="1:25" ht="18" customHeight="1" x14ac:dyDescent="0.25">
      <c r="A157" s="68" t="s">
        <v>7</v>
      </c>
      <c r="B157" s="69"/>
      <c r="C157" s="69"/>
      <c r="D157" s="69"/>
      <c r="E157" s="70"/>
      <c r="F157" s="10">
        <v>45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41"/>
      <c r="M157" s="85"/>
      <c r="N157" s="85"/>
      <c r="O157" s="85"/>
      <c r="P157" s="85"/>
      <c r="Q157" s="85"/>
      <c r="R157" s="85"/>
      <c r="S157" s="90"/>
      <c r="T157" s="85"/>
      <c r="U157" s="85"/>
      <c r="V157" s="85"/>
      <c r="W157" s="85"/>
      <c r="X157" s="85"/>
      <c r="Y157" s="85"/>
    </row>
    <row r="158" spans="1:25" ht="23.4" x14ac:dyDescent="0.45">
      <c r="A158" s="120" t="s">
        <v>17</v>
      </c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</row>
    <row r="159" spans="1:25" ht="23.4" x14ac:dyDescent="0.25">
      <c r="A159" s="111" t="s">
        <v>18</v>
      </c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"/>
      <c r="U159" s="112" t="s">
        <v>19</v>
      </c>
      <c r="V159" s="112"/>
      <c r="W159" s="1"/>
      <c r="X159" s="1"/>
      <c r="Y159" s="1"/>
    </row>
    <row r="160" spans="1:25" ht="30.9" customHeight="1" x14ac:dyDescent="0.25">
      <c r="A160" s="113" t="s">
        <v>20</v>
      </c>
      <c r="B160" s="113"/>
      <c r="C160" s="113"/>
      <c r="D160" s="113"/>
      <c r="E160" s="117" t="s">
        <v>16</v>
      </c>
      <c r="F160" s="117"/>
      <c r="G160" s="117"/>
      <c r="H160" s="116" t="s">
        <v>22</v>
      </c>
      <c r="I160" s="116"/>
      <c r="J160" s="115">
        <v>0</v>
      </c>
      <c r="K160" s="115"/>
      <c r="L160" s="116" t="s">
        <v>23</v>
      </c>
      <c r="M160" s="116"/>
      <c r="N160" s="190" t="s">
        <v>15</v>
      </c>
      <c r="O160" s="190"/>
      <c r="P160" s="190"/>
      <c r="Q160" s="118" t="s">
        <v>24</v>
      </c>
      <c r="R160" s="118"/>
      <c r="S160" s="118"/>
      <c r="T160" s="118"/>
      <c r="U160" s="119" t="s">
        <v>88</v>
      </c>
      <c r="V160" s="119"/>
      <c r="W160" s="119"/>
      <c r="X160" s="147" t="s">
        <v>93</v>
      </c>
      <c r="Y160" s="147"/>
    </row>
    <row r="161" spans="1:28" ht="15" customHeight="1" x14ac:dyDescent="0.25">
      <c r="Q161" s="118"/>
      <c r="R161" s="118"/>
      <c r="S161" s="118"/>
      <c r="T161" s="118"/>
      <c r="U161" s="119"/>
      <c r="V161" s="119"/>
      <c r="W161" s="119"/>
      <c r="X161" s="147"/>
      <c r="Y161" s="147"/>
    </row>
    <row r="162" spans="1:28" ht="15.6" x14ac:dyDescent="0.3">
      <c r="A162" s="166" t="s">
        <v>26</v>
      </c>
      <c r="B162" s="166"/>
      <c r="C162" s="166"/>
      <c r="D162" s="166"/>
      <c r="E162" s="166"/>
      <c r="F162" s="166"/>
      <c r="G162" s="167" t="s">
        <v>27</v>
      </c>
      <c r="H162" s="167"/>
      <c r="I162" s="167"/>
      <c r="J162" s="167"/>
      <c r="K162" s="167"/>
      <c r="L162" s="167"/>
      <c r="M162" s="167"/>
      <c r="N162" s="2"/>
      <c r="Q162" s="168" t="s">
        <v>28</v>
      </c>
      <c r="R162" s="168"/>
      <c r="S162" s="168"/>
      <c r="T162" s="168"/>
      <c r="U162" s="168"/>
      <c r="V162" s="148" t="s">
        <v>29</v>
      </c>
      <c r="W162" s="148"/>
      <c r="X162" s="148"/>
      <c r="Y162" s="148"/>
    </row>
    <row r="163" spans="1:28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8" ht="15" customHeight="1" x14ac:dyDescent="0.25">
      <c r="A164" s="149" t="s">
        <v>31</v>
      </c>
      <c r="B164" s="150"/>
      <c r="C164" s="150"/>
      <c r="D164" s="150"/>
      <c r="E164" s="150"/>
      <c r="F164" s="150"/>
      <c r="G164" s="150"/>
      <c r="H164" s="150"/>
      <c r="I164" s="151"/>
      <c r="J164" s="152" t="s">
        <v>32</v>
      </c>
      <c r="K164" s="153"/>
      <c r="L164" s="152" t="s">
        <v>33</v>
      </c>
      <c r="M164" s="153"/>
      <c r="N164" s="91" t="s">
        <v>34</v>
      </c>
      <c r="O164" s="92"/>
      <c r="P164" s="152" t="s">
        <v>35</v>
      </c>
      <c r="Q164" s="153"/>
      <c r="R164" s="68" t="s">
        <v>36</v>
      </c>
      <c r="S164" s="69"/>
      <c r="T164" s="69"/>
      <c r="U164" s="69"/>
      <c r="V164" s="69"/>
      <c r="W164" s="70"/>
      <c r="X164" s="152" t="s">
        <v>7</v>
      </c>
      <c r="Y164" s="153"/>
    </row>
    <row r="165" spans="1:28" ht="23.25" customHeight="1" x14ac:dyDescent="0.25">
      <c r="A165" s="158" t="s">
        <v>37</v>
      </c>
      <c r="B165" s="159"/>
      <c r="C165" s="159"/>
      <c r="D165" s="159"/>
      <c r="E165" s="159"/>
      <c r="F165" s="159"/>
      <c r="G165" s="159"/>
      <c r="H165" s="159"/>
      <c r="I165" s="160"/>
      <c r="J165" s="154"/>
      <c r="K165" s="155"/>
      <c r="L165" s="154"/>
      <c r="M165" s="155"/>
      <c r="N165" s="93"/>
      <c r="O165" s="94"/>
      <c r="P165" s="154"/>
      <c r="Q165" s="155"/>
      <c r="R165" s="164" t="s">
        <v>38</v>
      </c>
      <c r="S165" s="164"/>
      <c r="T165" s="164" t="s">
        <v>39</v>
      </c>
      <c r="U165" s="164"/>
      <c r="V165" s="164" t="s">
        <v>40</v>
      </c>
      <c r="W165" s="164"/>
      <c r="X165" s="154"/>
      <c r="Y165" s="155"/>
    </row>
    <row r="166" spans="1:28" x14ac:dyDescent="0.25">
      <c r="A166" s="161"/>
      <c r="B166" s="162"/>
      <c r="C166" s="162"/>
      <c r="D166" s="162"/>
      <c r="E166" s="162"/>
      <c r="F166" s="162"/>
      <c r="G166" s="162"/>
      <c r="H166" s="162"/>
      <c r="I166" s="163"/>
      <c r="J166" s="156"/>
      <c r="K166" s="157"/>
      <c r="L166" s="156"/>
      <c r="M166" s="157"/>
      <c r="N166" s="95"/>
      <c r="O166" s="96"/>
      <c r="P166" s="156"/>
      <c r="Q166" s="157"/>
      <c r="R166" s="165"/>
      <c r="S166" s="165"/>
      <c r="T166" s="165"/>
      <c r="U166" s="165"/>
      <c r="V166" s="165"/>
      <c r="W166" s="165"/>
      <c r="X166" s="156"/>
      <c r="Y166" s="157"/>
    </row>
    <row r="167" spans="1:28" ht="18" customHeight="1" x14ac:dyDescent="0.3">
      <c r="A167" s="106" t="s">
        <v>41</v>
      </c>
      <c r="B167" s="107"/>
      <c r="C167" s="107"/>
      <c r="D167" s="107"/>
      <c r="E167" s="107"/>
      <c r="F167" s="107"/>
      <c r="G167" s="107"/>
      <c r="H167" s="107"/>
      <c r="I167" s="108"/>
      <c r="J167" s="68">
        <v>173</v>
      </c>
      <c r="K167" s="70"/>
      <c r="L167" s="68">
        <v>25</v>
      </c>
      <c r="M167" s="70"/>
      <c r="N167" s="68">
        <v>0</v>
      </c>
      <c r="O167" s="70"/>
      <c r="P167" s="68">
        <v>198</v>
      </c>
      <c r="Q167" s="70"/>
      <c r="R167" s="68">
        <v>2</v>
      </c>
      <c r="S167" s="70"/>
      <c r="T167" s="68">
        <v>2</v>
      </c>
      <c r="U167" s="70"/>
      <c r="V167" s="68">
        <v>0</v>
      </c>
      <c r="W167" s="70"/>
      <c r="X167" s="80">
        <v>202</v>
      </c>
      <c r="Y167" s="82"/>
    </row>
    <row r="168" spans="1:28" ht="18" customHeight="1" x14ac:dyDescent="0.3">
      <c r="A168" s="106" t="s">
        <v>42</v>
      </c>
      <c r="B168" s="107"/>
      <c r="C168" s="107"/>
      <c r="D168" s="107"/>
      <c r="E168" s="107"/>
      <c r="F168" s="107"/>
      <c r="G168" s="107"/>
      <c r="H168" s="107"/>
      <c r="I168" s="108"/>
      <c r="J168" s="68">
        <v>50</v>
      </c>
      <c r="K168" s="70"/>
      <c r="L168" s="68">
        <v>8</v>
      </c>
      <c r="M168" s="70"/>
      <c r="N168" s="68">
        <v>0</v>
      </c>
      <c r="O168" s="70"/>
      <c r="P168" s="68">
        <v>58</v>
      </c>
      <c r="Q168" s="70"/>
      <c r="R168" s="68">
        <v>2</v>
      </c>
      <c r="S168" s="70"/>
      <c r="T168" s="68">
        <v>0</v>
      </c>
      <c r="U168" s="70"/>
      <c r="V168" s="68">
        <v>0</v>
      </c>
      <c r="W168" s="70"/>
      <c r="X168" s="80">
        <v>60</v>
      </c>
      <c r="Y168" s="82"/>
    </row>
    <row r="169" spans="1:28" ht="18" customHeight="1" x14ac:dyDescent="0.3">
      <c r="A169" s="106" t="s">
        <v>43</v>
      </c>
      <c r="B169" s="107"/>
      <c r="C169" s="107"/>
      <c r="D169" s="107"/>
      <c r="E169" s="107"/>
      <c r="F169" s="107"/>
      <c r="G169" s="107"/>
      <c r="H169" s="107"/>
      <c r="I169" s="108"/>
      <c r="J169" s="68">
        <v>0</v>
      </c>
      <c r="K169" s="70"/>
      <c r="L169" s="68">
        <v>0</v>
      </c>
      <c r="M169" s="70"/>
      <c r="N169" s="68">
        <v>0</v>
      </c>
      <c r="O169" s="70"/>
      <c r="P169" s="68">
        <v>0</v>
      </c>
      <c r="Q169" s="70"/>
      <c r="R169" s="68">
        <v>0</v>
      </c>
      <c r="S169" s="70"/>
      <c r="T169" s="68">
        <v>0</v>
      </c>
      <c r="U169" s="70"/>
      <c r="V169" s="68">
        <v>0</v>
      </c>
      <c r="W169" s="70"/>
      <c r="X169" s="80">
        <v>0</v>
      </c>
      <c r="Y169" s="82"/>
    </row>
    <row r="170" spans="1:28" ht="18" customHeight="1" x14ac:dyDescent="0.3">
      <c r="A170" s="106" t="s">
        <v>44</v>
      </c>
      <c r="B170" s="107"/>
      <c r="C170" s="107"/>
      <c r="D170" s="107"/>
      <c r="E170" s="107"/>
      <c r="F170" s="107"/>
      <c r="G170" s="107"/>
      <c r="H170" s="107"/>
      <c r="I170" s="108"/>
      <c r="J170" s="68">
        <v>25</v>
      </c>
      <c r="K170" s="70"/>
      <c r="L170" s="68">
        <v>0</v>
      </c>
      <c r="M170" s="70"/>
      <c r="N170" s="68">
        <v>0</v>
      </c>
      <c r="O170" s="70"/>
      <c r="P170" s="68">
        <v>25</v>
      </c>
      <c r="Q170" s="70"/>
      <c r="R170" s="68">
        <v>0</v>
      </c>
      <c r="S170" s="70"/>
      <c r="T170" s="68">
        <v>0</v>
      </c>
      <c r="U170" s="70"/>
      <c r="V170" s="68">
        <v>0</v>
      </c>
      <c r="W170" s="70"/>
      <c r="X170" s="80">
        <v>25</v>
      </c>
      <c r="Y170" s="82"/>
    </row>
    <row r="171" spans="1:28" ht="18" customHeight="1" x14ac:dyDescent="0.3">
      <c r="A171" s="106" t="s">
        <v>7</v>
      </c>
      <c r="B171" s="107"/>
      <c r="C171" s="107"/>
      <c r="D171" s="107"/>
      <c r="E171" s="107"/>
      <c r="F171" s="107"/>
      <c r="G171" s="107"/>
      <c r="H171" s="107"/>
      <c r="I171" s="108"/>
      <c r="J171" s="68">
        <v>248</v>
      </c>
      <c r="K171" s="70"/>
      <c r="L171" s="68">
        <v>33</v>
      </c>
      <c r="M171" s="70"/>
      <c r="N171" s="68">
        <v>0</v>
      </c>
      <c r="O171" s="70"/>
      <c r="P171" s="68">
        <v>281</v>
      </c>
      <c r="Q171" s="70"/>
      <c r="R171" s="68">
        <v>4</v>
      </c>
      <c r="S171" s="70"/>
      <c r="T171" s="68">
        <v>2</v>
      </c>
      <c r="U171" s="70"/>
      <c r="V171" s="68">
        <v>0</v>
      </c>
      <c r="W171" s="70"/>
      <c r="X171" s="80">
        <v>287</v>
      </c>
      <c r="Y171" s="82"/>
    </row>
    <row r="172" spans="1:28" ht="15.6" x14ac:dyDescent="0.3">
      <c r="A172" s="4" t="s">
        <v>45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"/>
      <c r="S172" s="6"/>
      <c r="T172" s="6"/>
      <c r="U172" s="6"/>
      <c r="V172" s="6"/>
      <c r="W172" s="6"/>
      <c r="X172" s="6"/>
      <c r="Y172" s="7"/>
    </row>
    <row r="173" spans="1:28" x14ac:dyDescent="0.25">
      <c r="A173" s="71"/>
      <c r="B173" s="72"/>
      <c r="C173" s="72"/>
      <c r="D173" s="72"/>
      <c r="E173" s="72"/>
      <c r="F173" s="72"/>
      <c r="G173" s="73"/>
      <c r="H173" s="68" t="s">
        <v>0</v>
      </c>
      <c r="I173" s="69"/>
      <c r="J173" s="136" t="s">
        <v>1</v>
      </c>
      <c r="K173" s="69"/>
      <c r="L173" s="134" t="s">
        <v>2</v>
      </c>
      <c r="M173" s="69"/>
      <c r="N173" s="134" t="s">
        <v>3</v>
      </c>
      <c r="O173" s="69"/>
      <c r="P173" s="134" t="s">
        <v>4</v>
      </c>
      <c r="Q173" s="135"/>
      <c r="R173" s="134" t="s">
        <v>5</v>
      </c>
      <c r="S173" s="69"/>
      <c r="T173" s="134" t="s">
        <v>6</v>
      </c>
      <c r="U173" s="69"/>
      <c r="V173" s="134" t="s">
        <v>46</v>
      </c>
      <c r="W173" s="69"/>
      <c r="X173" s="134" t="s">
        <v>7</v>
      </c>
      <c r="Y173" s="135"/>
      <c r="Z173" s="8"/>
      <c r="AA173" s="9"/>
      <c r="AB173" s="9"/>
    </row>
    <row r="174" spans="1:28" x14ac:dyDescent="0.25">
      <c r="A174" s="74"/>
      <c r="B174" s="75"/>
      <c r="C174" s="75"/>
      <c r="D174" s="75"/>
      <c r="E174" s="75"/>
      <c r="F174" s="75"/>
      <c r="G174" s="76"/>
      <c r="H174" s="10" t="s">
        <v>10</v>
      </c>
      <c r="I174" s="10" t="s">
        <v>11</v>
      </c>
      <c r="J174" s="10" t="s">
        <v>10</v>
      </c>
      <c r="K174" s="10" t="s">
        <v>11</v>
      </c>
      <c r="L174" s="10" t="s">
        <v>10</v>
      </c>
      <c r="M174" s="10" t="s">
        <v>11</v>
      </c>
      <c r="N174" s="10" t="s">
        <v>10</v>
      </c>
      <c r="O174" s="10" t="s">
        <v>11</v>
      </c>
      <c r="P174" s="10" t="s">
        <v>10</v>
      </c>
      <c r="Q174" s="10" t="s">
        <v>11</v>
      </c>
      <c r="R174" s="10" t="s">
        <v>10</v>
      </c>
      <c r="S174" s="10" t="s">
        <v>11</v>
      </c>
      <c r="T174" s="10" t="s">
        <v>10</v>
      </c>
      <c r="U174" s="10" t="s">
        <v>11</v>
      </c>
      <c r="V174" s="10" t="s">
        <v>10</v>
      </c>
      <c r="W174" s="10" t="s">
        <v>11</v>
      </c>
      <c r="X174" s="10" t="s">
        <v>10</v>
      </c>
      <c r="Y174" s="10" t="s">
        <v>11</v>
      </c>
    </row>
    <row r="175" spans="1:28" ht="18" customHeight="1" x14ac:dyDescent="0.25">
      <c r="A175" s="106" t="s">
        <v>41</v>
      </c>
      <c r="B175" s="107"/>
      <c r="C175" s="107"/>
      <c r="D175" s="107"/>
      <c r="E175" s="107"/>
      <c r="F175" s="107"/>
      <c r="G175" s="108"/>
      <c r="H175" s="10">
        <v>0</v>
      </c>
      <c r="I175" s="10">
        <v>0</v>
      </c>
      <c r="J175" s="10">
        <v>0</v>
      </c>
      <c r="K175" s="10">
        <v>1</v>
      </c>
      <c r="L175" s="10">
        <v>23</v>
      </c>
      <c r="M175" s="10">
        <v>17</v>
      </c>
      <c r="N175" s="10">
        <v>19</v>
      </c>
      <c r="O175" s="10">
        <v>23</v>
      </c>
      <c r="P175" s="10">
        <v>17</v>
      </c>
      <c r="Q175" s="10">
        <v>23</v>
      </c>
      <c r="R175" s="10">
        <v>24</v>
      </c>
      <c r="S175" s="10">
        <v>13</v>
      </c>
      <c r="T175" s="10">
        <v>11</v>
      </c>
      <c r="U175" s="10">
        <v>6</v>
      </c>
      <c r="V175" s="10">
        <v>14</v>
      </c>
      <c r="W175" s="10">
        <v>7</v>
      </c>
      <c r="X175" s="10">
        <v>108</v>
      </c>
      <c r="Y175" s="10">
        <v>90</v>
      </c>
    </row>
    <row r="176" spans="1:28" ht="18" customHeight="1" x14ac:dyDescent="0.25">
      <c r="A176" s="106" t="s">
        <v>42</v>
      </c>
      <c r="B176" s="107"/>
      <c r="C176" s="107"/>
      <c r="D176" s="107"/>
      <c r="E176" s="107"/>
      <c r="F176" s="107"/>
      <c r="G176" s="108"/>
      <c r="H176" s="10">
        <v>0</v>
      </c>
      <c r="I176" s="10">
        <v>0</v>
      </c>
      <c r="J176" s="10">
        <v>0</v>
      </c>
      <c r="K176" s="10">
        <v>0</v>
      </c>
      <c r="L176" s="10">
        <v>7</v>
      </c>
      <c r="M176" s="10">
        <v>5</v>
      </c>
      <c r="N176" s="10">
        <v>3</v>
      </c>
      <c r="O176" s="10">
        <v>4</v>
      </c>
      <c r="P176" s="10">
        <v>2</v>
      </c>
      <c r="Q176" s="10">
        <v>5</v>
      </c>
      <c r="R176" s="10">
        <v>6</v>
      </c>
      <c r="S176" s="10">
        <v>6</v>
      </c>
      <c r="T176" s="10">
        <v>4</v>
      </c>
      <c r="U176" s="10">
        <v>7</v>
      </c>
      <c r="V176" s="10">
        <v>5</v>
      </c>
      <c r="W176" s="10">
        <v>4</v>
      </c>
      <c r="X176" s="10">
        <v>27</v>
      </c>
      <c r="Y176" s="10">
        <v>31</v>
      </c>
    </row>
    <row r="177" spans="1:27" ht="18" customHeight="1" x14ac:dyDescent="0.25">
      <c r="A177" s="106" t="s">
        <v>43</v>
      </c>
      <c r="B177" s="107"/>
      <c r="C177" s="107"/>
      <c r="D177" s="107"/>
      <c r="E177" s="107"/>
      <c r="F177" s="107"/>
      <c r="G177" s="108"/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</row>
    <row r="178" spans="1:27" ht="18" customHeight="1" x14ac:dyDescent="0.25">
      <c r="A178" s="106" t="s">
        <v>44</v>
      </c>
      <c r="B178" s="107"/>
      <c r="C178" s="107"/>
      <c r="D178" s="107"/>
      <c r="E178" s="107"/>
      <c r="F178" s="107"/>
      <c r="G178" s="108"/>
      <c r="H178" s="10">
        <v>0</v>
      </c>
      <c r="I178" s="10">
        <v>0</v>
      </c>
      <c r="J178" s="10">
        <v>0</v>
      </c>
      <c r="K178" s="10">
        <v>0</v>
      </c>
      <c r="L178" s="10">
        <v>4</v>
      </c>
      <c r="M178" s="10">
        <v>2</v>
      </c>
      <c r="N178" s="10">
        <v>4</v>
      </c>
      <c r="O178" s="10">
        <v>5</v>
      </c>
      <c r="P178" s="10">
        <v>2</v>
      </c>
      <c r="Q178" s="10">
        <v>1</v>
      </c>
      <c r="R178" s="10">
        <v>2</v>
      </c>
      <c r="S178" s="10">
        <v>1</v>
      </c>
      <c r="T178" s="10">
        <v>0</v>
      </c>
      <c r="U178" s="10">
        <v>2</v>
      </c>
      <c r="V178" s="10">
        <v>0</v>
      </c>
      <c r="W178" s="10">
        <v>2</v>
      </c>
      <c r="X178" s="10">
        <v>12</v>
      </c>
      <c r="Y178" s="10">
        <v>13</v>
      </c>
    </row>
    <row r="179" spans="1:27" ht="18" customHeight="1" x14ac:dyDescent="0.25">
      <c r="A179" s="106" t="s">
        <v>7</v>
      </c>
      <c r="B179" s="107"/>
      <c r="C179" s="107"/>
      <c r="D179" s="107"/>
      <c r="E179" s="107"/>
      <c r="F179" s="107"/>
      <c r="G179" s="108"/>
      <c r="H179" s="10">
        <v>0</v>
      </c>
      <c r="I179" s="10">
        <v>0</v>
      </c>
      <c r="J179" s="10">
        <v>0</v>
      </c>
      <c r="K179" s="10">
        <v>1</v>
      </c>
      <c r="L179" s="10">
        <v>34</v>
      </c>
      <c r="M179" s="10">
        <v>24</v>
      </c>
      <c r="N179" s="10">
        <v>26</v>
      </c>
      <c r="O179" s="10">
        <v>32</v>
      </c>
      <c r="P179" s="10">
        <v>21</v>
      </c>
      <c r="Q179" s="10">
        <v>29</v>
      </c>
      <c r="R179" s="10">
        <v>32</v>
      </c>
      <c r="S179" s="10">
        <v>20</v>
      </c>
      <c r="T179" s="10">
        <v>15</v>
      </c>
      <c r="U179" s="10">
        <v>15</v>
      </c>
      <c r="V179" s="10">
        <v>19</v>
      </c>
      <c r="W179" s="10">
        <v>13</v>
      </c>
      <c r="X179" s="10">
        <v>147</v>
      </c>
      <c r="Y179" s="10">
        <v>134</v>
      </c>
      <c r="Z179">
        <v>281</v>
      </c>
      <c r="AA179">
        <v>6</v>
      </c>
    </row>
    <row r="180" spans="1:27" ht="6.75" customHeight="1" x14ac:dyDescent="0.25">
      <c r="A180" s="11"/>
      <c r="B180" s="12"/>
      <c r="C180" s="12"/>
      <c r="D180" s="12"/>
      <c r="E180" s="12"/>
      <c r="F180" s="13"/>
      <c r="G180" s="13"/>
      <c r="H180" s="13"/>
      <c r="I180" s="13"/>
      <c r="J180" s="13"/>
      <c r="K180" s="13"/>
      <c r="L180" s="14"/>
      <c r="M180" s="13"/>
      <c r="N180" s="15"/>
      <c r="O180" s="16"/>
      <c r="P180" s="13"/>
      <c r="Q180" s="13"/>
      <c r="R180" s="13"/>
      <c r="S180" s="13"/>
      <c r="T180" s="13"/>
      <c r="U180" s="13"/>
      <c r="V180" s="13"/>
      <c r="W180" s="13"/>
      <c r="X180" s="13"/>
      <c r="Y180" s="17"/>
    </row>
    <row r="181" spans="1:27" ht="18" customHeight="1" x14ac:dyDescent="0.3">
      <c r="A181" s="18" t="s">
        <v>47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20"/>
      <c r="L181" s="21"/>
      <c r="M181" s="18" t="s">
        <v>48</v>
      </c>
      <c r="N181" s="19"/>
      <c r="O181" s="19"/>
      <c r="P181" s="19"/>
      <c r="Q181" s="22"/>
      <c r="R181" s="22"/>
      <c r="S181" s="22"/>
      <c r="T181" s="22"/>
      <c r="U181" s="22"/>
      <c r="V181" s="22"/>
      <c r="W181" s="22"/>
      <c r="X181" s="22"/>
      <c r="Y181" s="23"/>
    </row>
    <row r="182" spans="1:27" ht="57.75" customHeight="1" x14ac:dyDescent="0.25">
      <c r="A182" s="101" t="s">
        <v>49</v>
      </c>
      <c r="B182" s="101" t="s">
        <v>50</v>
      </c>
      <c r="C182" s="101" t="s">
        <v>51</v>
      </c>
      <c r="D182" s="77" t="s">
        <v>52</v>
      </c>
      <c r="E182" s="78"/>
      <c r="F182" s="77" t="s">
        <v>53</v>
      </c>
      <c r="G182" s="79"/>
      <c r="H182" s="79"/>
      <c r="I182" s="78"/>
      <c r="J182" s="101" t="s">
        <v>54</v>
      </c>
      <c r="K182" s="101" t="s">
        <v>55</v>
      </c>
      <c r="L182" s="24"/>
      <c r="M182" s="86" t="s">
        <v>56</v>
      </c>
      <c r="N182" s="88"/>
      <c r="O182" s="86" t="s">
        <v>57</v>
      </c>
      <c r="P182" s="88"/>
      <c r="Q182" s="86" t="s">
        <v>58</v>
      </c>
      <c r="R182" s="87"/>
      <c r="S182" s="87"/>
      <c r="T182" s="87"/>
      <c r="U182" s="87"/>
      <c r="V182" s="87"/>
      <c r="W182" s="87"/>
      <c r="X182" s="87"/>
      <c r="Y182" s="88"/>
    </row>
    <row r="183" spans="1:27" ht="38.25" customHeight="1" x14ac:dyDescent="0.25">
      <c r="A183" s="102"/>
      <c r="B183" s="102"/>
      <c r="C183" s="102"/>
      <c r="D183" s="25" t="s">
        <v>59</v>
      </c>
      <c r="E183" s="25" t="s">
        <v>60</v>
      </c>
      <c r="F183" s="26" t="s">
        <v>59</v>
      </c>
      <c r="G183" s="26" t="s">
        <v>60</v>
      </c>
      <c r="H183" s="26" t="s">
        <v>61</v>
      </c>
      <c r="I183" s="26" t="s">
        <v>62</v>
      </c>
      <c r="J183" s="102"/>
      <c r="K183" s="102"/>
      <c r="L183" s="24"/>
      <c r="M183" s="91">
        <v>10</v>
      </c>
      <c r="N183" s="92"/>
      <c r="O183" s="91">
        <v>0</v>
      </c>
      <c r="P183" s="92"/>
      <c r="Q183" s="86">
        <v>0</v>
      </c>
      <c r="R183" s="87"/>
      <c r="S183" s="87"/>
      <c r="T183" s="87"/>
      <c r="U183" s="87"/>
      <c r="V183" s="87"/>
      <c r="W183" s="87"/>
      <c r="X183" s="87"/>
      <c r="Y183" s="88"/>
    </row>
    <row r="184" spans="1:27" ht="38.25" customHeight="1" x14ac:dyDescent="0.25">
      <c r="A184" s="103">
        <v>134652</v>
      </c>
      <c r="B184" s="103">
        <v>1418</v>
      </c>
      <c r="C184" s="103">
        <v>62</v>
      </c>
      <c r="D184" s="103">
        <v>1019</v>
      </c>
      <c r="E184" s="103">
        <v>252</v>
      </c>
      <c r="F184" s="103">
        <v>44</v>
      </c>
      <c r="G184" s="103">
        <v>10</v>
      </c>
      <c r="H184" s="103">
        <v>172</v>
      </c>
      <c r="I184" s="103">
        <v>226</v>
      </c>
      <c r="J184" s="103">
        <v>199</v>
      </c>
      <c r="K184" s="103">
        <v>248</v>
      </c>
      <c r="L184" s="24"/>
      <c r="M184" s="91" t="s">
        <v>63</v>
      </c>
      <c r="N184" s="92"/>
      <c r="O184" s="91" t="s">
        <v>64</v>
      </c>
      <c r="P184" s="92"/>
      <c r="Q184" s="95" t="s">
        <v>65</v>
      </c>
      <c r="R184" s="99"/>
      <c r="S184" s="96"/>
      <c r="T184" s="95" t="s">
        <v>66</v>
      </c>
      <c r="U184" s="99"/>
      <c r="V184" s="99"/>
      <c r="W184" s="99"/>
      <c r="X184" s="99"/>
      <c r="Y184" s="96"/>
    </row>
    <row r="185" spans="1:27" ht="19.5" customHeight="1" x14ac:dyDescent="0.2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27"/>
      <c r="M185" s="91">
        <v>4</v>
      </c>
      <c r="N185" s="92"/>
      <c r="O185" s="91">
        <v>0</v>
      </c>
      <c r="P185" s="92"/>
      <c r="Q185" s="91">
        <v>0</v>
      </c>
      <c r="R185" s="97"/>
      <c r="S185" s="92"/>
      <c r="T185" s="28"/>
      <c r="U185" s="86" t="s">
        <v>0</v>
      </c>
      <c r="V185" s="88"/>
      <c r="W185" s="29" t="s">
        <v>1</v>
      </c>
      <c r="X185" s="86" t="s">
        <v>67</v>
      </c>
      <c r="Y185" s="88"/>
    </row>
    <row r="186" spans="1:27" ht="18" customHeight="1" x14ac:dyDescent="0.25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27"/>
      <c r="M186" s="93"/>
      <c r="N186" s="94"/>
      <c r="O186" s="93"/>
      <c r="P186" s="94"/>
      <c r="Q186" s="93"/>
      <c r="R186" s="98"/>
      <c r="S186" s="94"/>
      <c r="T186" s="30" t="s">
        <v>68</v>
      </c>
      <c r="U186" s="100">
        <v>0</v>
      </c>
      <c r="V186" s="100"/>
      <c r="W186" s="29">
        <v>0</v>
      </c>
      <c r="X186" s="100">
        <v>0</v>
      </c>
      <c r="Y186" s="100"/>
    </row>
    <row r="187" spans="1:27" ht="18" customHeight="1" x14ac:dyDescent="0.25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27"/>
      <c r="M187" s="93"/>
      <c r="N187" s="94"/>
      <c r="O187" s="93"/>
      <c r="P187" s="94"/>
      <c r="Q187" s="93"/>
      <c r="R187" s="98"/>
      <c r="S187" s="94"/>
      <c r="T187" s="30" t="s">
        <v>69</v>
      </c>
      <c r="U187" s="100">
        <v>0</v>
      </c>
      <c r="V187" s="100"/>
      <c r="W187" s="29">
        <v>0</v>
      </c>
      <c r="X187" s="100">
        <v>0</v>
      </c>
      <c r="Y187" s="100"/>
    </row>
    <row r="188" spans="1:27" ht="18" customHeight="1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27"/>
      <c r="M188" s="95"/>
      <c r="N188" s="96"/>
      <c r="O188" s="95"/>
      <c r="P188" s="96"/>
      <c r="Q188" s="95"/>
      <c r="R188" s="99"/>
      <c r="S188" s="96"/>
      <c r="T188" s="30" t="s">
        <v>70</v>
      </c>
      <c r="U188" s="100">
        <v>0</v>
      </c>
      <c r="V188" s="100"/>
      <c r="W188" s="29">
        <v>0</v>
      </c>
      <c r="X188" s="100">
        <v>0</v>
      </c>
      <c r="Y188" s="100"/>
    </row>
    <row r="189" spans="1:27" ht="8.25" customHeight="1" x14ac:dyDescent="0.25">
      <c r="A189" s="31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3"/>
      <c r="M189" s="32"/>
      <c r="N189" s="32"/>
      <c r="O189" s="32"/>
      <c r="P189" s="32"/>
      <c r="Q189" s="32"/>
      <c r="R189" s="34"/>
      <c r="S189" s="34"/>
      <c r="T189" s="34"/>
      <c r="U189" s="34"/>
      <c r="V189" s="34"/>
      <c r="W189" s="32"/>
      <c r="X189" s="32"/>
      <c r="Y189" s="7"/>
    </row>
    <row r="190" spans="1:27" ht="18" customHeight="1" x14ac:dyDescent="0.3">
      <c r="A190" s="18" t="s">
        <v>71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20"/>
      <c r="L190" s="35"/>
      <c r="M190" s="18" t="s">
        <v>72</v>
      </c>
      <c r="N190" s="20"/>
      <c r="O190" s="36"/>
      <c r="P190" s="19"/>
      <c r="Q190" s="19"/>
      <c r="R190" s="19"/>
      <c r="S190" s="19"/>
      <c r="T190" s="19"/>
      <c r="U190" s="19"/>
      <c r="V190" s="19"/>
      <c r="W190" s="22"/>
      <c r="X190" s="22"/>
      <c r="Y190" s="37"/>
    </row>
    <row r="191" spans="1:27" ht="57" customHeight="1" x14ac:dyDescent="0.25">
      <c r="A191" s="71"/>
      <c r="B191" s="72"/>
      <c r="C191" s="72"/>
      <c r="D191" s="72"/>
      <c r="E191" s="73"/>
      <c r="F191" s="68" t="s">
        <v>12</v>
      </c>
      <c r="G191" s="70"/>
      <c r="H191" s="68" t="s">
        <v>13</v>
      </c>
      <c r="I191" s="70"/>
      <c r="J191" s="38" t="s">
        <v>73</v>
      </c>
      <c r="K191" s="39"/>
      <c r="L191" s="40"/>
      <c r="M191" s="77" t="s">
        <v>74</v>
      </c>
      <c r="N191" s="78"/>
      <c r="O191" s="77" t="s">
        <v>75</v>
      </c>
      <c r="P191" s="78"/>
      <c r="Q191" s="77" t="s">
        <v>76</v>
      </c>
      <c r="R191" s="78"/>
      <c r="S191" s="77" t="s">
        <v>77</v>
      </c>
      <c r="T191" s="79"/>
      <c r="U191" s="79"/>
      <c r="V191" s="78"/>
      <c r="W191" s="77" t="s">
        <v>78</v>
      </c>
      <c r="X191" s="79"/>
      <c r="Y191" s="78"/>
    </row>
    <row r="192" spans="1:27" ht="18.75" customHeight="1" x14ac:dyDescent="0.25">
      <c r="A192" s="74"/>
      <c r="B192" s="75"/>
      <c r="C192" s="75"/>
      <c r="D192" s="75"/>
      <c r="E192" s="76"/>
      <c r="F192" s="10" t="s">
        <v>79</v>
      </c>
      <c r="G192" s="10" t="s">
        <v>14</v>
      </c>
      <c r="H192" s="10" t="s">
        <v>79</v>
      </c>
      <c r="I192" s="10" t="s">
        <v>14</v>
      </c>
      <c r="J192" s="10" t="s">
        <v>79</v>
      </c>
      <c r="K192" s="10" t="s">
        <v>14</v>
      </c>
      <c r="L192" s="41"/>
      <c r="M192" s="44" t="s">
        <v>80</v>
      </c>
      <c r="N192" s="44" t="s">
        <v>81</v>
      </c>
      <c r="O192" s="44" t="s">
        <v>80</v>
      </c>
      <c r="P192" s="59" t="s">
        <v>81</v>
      </c>
      <c r="Q192" s="44" t="s">
        <v>80</v>
      </c>
      <c r="R192" s="44" t="s">
        <v>81</v>
      </c>
      <c r="S192" s="44"/>
      <c r="T192" s="42" t="s">
        <v>0</v>
      </c>
      <c r="U192" s="45" t="s">
        <v>1</v>
      </c>
      <c r="V192" s="46" t="s">
        <v>82</v>
      </c>
      <c r="W192" s="42" t="s">
        <v>0</v>
      </c>
      <c r="X192" s="45" t="s">
        <v>1</v>
      </c>
      <c r="Y192" s="46" t="s">
        <v>82</v>
      </c>
    </row>
    <row r="193" spans="1:25" ht="14.4" x14ac:dyDescent="0.3">
      <c r="A193" s="80" t="s">
        <v>83</v>
      </c>
      <c r="B193" s="81"/>
      <c r="C193" s="81"/>
      <c r="D193" s="81"/>
      <c r="E193" s="82"/>
      <c r="F193" s="10">
        <v>182</v>
      </c>
      <c r="G193" s="10">
        <v>0</v>
      </c>
      <c r="H193" s="10">
        <v>0</v>
      </c>
      <c r="I193" s="10">
        <v>0</v>
      </c>
      <c r="J193" s="10">
        <v>0</v>
      </c>
      <c r="K193" s="10">
        <v>1</v>
      </c>
      <c r="L193" s="41"/>
      <c r="M193" s="83">
        <v>58</v>
      </c>
      <c r="N193" s="83">
        <v>398</v>
      </c>
      <c r="O193" s="83">
        <v>25</v>
      </c>
      <c r="P193" s="83">
        <v>128</v>
      </c>
      <c r="Q193" s="83">
        <v>1</v>
      </c>
      <c r="R193" s="83">
        <v>14</v>
      </c>
      <c r="S193" s="47" t="s">
        <v>68</v>
      </c>
      <c r="T193" s="10">
        <v>0</v>
      </c>
      <c r="U193" s="10">
        <v>1</v>
      </c>
      <c r="V193" s="10">
        <v>0</v>
      </c>
      <c r="W193" s="10">
        <v>0</v>
      </c>
      <c r="X193" s="10">
        <v>0</v>
      </c>
      <c r="Y193" s="10">
        <v>0</v>
      </c>
    </row>
    <row r="194" spans="1:25" ht="14.4" x14ac:dyDescent="0.3">
      <c r="A194" s="80" t="s">
        <v>8</v>
      </c>
      <c r="B194" s="81"/>
      <c r="C194" s="81"/>
      <c r="D194" s="81"/>
      <c r="E194" s="82"/>
      <c r="F194" s="10">
        <v>30</v>
      </c>
      <c r="G194" s="10">
        <v>0</v>
      </c>
      <c r="H194" s="10">
        <v>0</v>
      </c>
      <c r="I194" s="10">
        <v>0</v>
      </c>
      <c r="J194" s="10">
        <v>0</v>
      </c>
      <c r="K194" s="10">
        <v>1</v>
      </c>
      <c r="L194" s="41"/>
      <c r="M194" s="84"/>
      <c r="N194" s="84"/>
      <c r="O194" s="84"/>
      <c r="P194" s="84"/>
      <c r="Q194" s="84"/>
      <c r="R194" s="84"/>
      <c r="S194" s="47" t="s">
        <v>69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</row>
    <row r="195" spans="1:25" x14ac:dyDescent="0.25">
      <c r="A195" s="86" t="s">
        <v>84</v>
      </c>
      <c r="B195" s="87"/>
      <c r="C195" s="87"/>
      <c r="D195" s="87"/>
      <c r="E195" s="88"/>
      <c r="F195" s="10">
        <v>4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41"/>
      <c r="M195" s="84"/>
      <c r="N195" s="84"/>
      <c r="O195" s="84"/>
      <c r="P195" s="84"/>
      <c r="Q195" s="84"/>
      <c r="R195" s="84"/>
      <c r="S195" s="89" t="s">
        <v>70</v>
      </c>
      <c r="T195" s="83">
        <v>0</v>
      </c>
      <c r="U195" s="83">
        <v>0</v>
      </c>
      <c r="V195" s="83">
        <v>0</v>
      </c>
      <c r="W195" s="83">
        <v>0</v>
      </c>
      <c r="X195" s="83">
        <v>0</v>
      </c>
      <c r="Y195" s="83">
        <v>0</v>
      </c>
    </row>
    <row r="196" spans="1:25" x14ac:dyDescent="0.25">
      <c r="A196" s="68" t="s">
        <v>7</v>
      </c>
      <c r="B196" s="69"/>
      <c r="C196" s="69"/>
      <c r="D196" s="69"/>
      <c r="E196" s="70"/>
      <c r="F196" s="10">
        <v>216</v>
      </c>
      <c r="G196" s="10">
        <v>0</v>
      </c>
      <c r="H196" s="10">
        <v>0</v>
      </c>
      <c r="I196" s="10">
        <v>0</v>
      </c>
      <c r="J196" s="10">
        <v>0</v>
      </c>
      <c r="K196" s="10">
        <v>2</v>
      </c>
      <c r="L196" s="41"/>
      <c r="M196" s="85"/>
      <c r="N196" s="85"/>
      <c r="O196" s="85"/>
      <c r="P196" s="85"/>
      <c r="Q196" s="85"/>
      <c r="R196" s="85"/>
      <c r="S196" s="90"/>
      <c r="T196" s="85"/>
      <c r="U196" s="85"/>
      <c r="V196" s="85"/>
      <c r="W196" s="85"/>
      <c r="X196" s="85"/>
      <c r="Y196" s="85"/>
    </row>
  </sheetData>
  <mergeCells count="755">
    <mergeCell ref="X12:Y12"/>
    <mergeCell ref="X13:Y13"/>
    <mergeCell ref="A14:I14"/>
    <mergeCell ref="J14:K14"/>
    <mergeCell ref="L14:M14"/>
    <mergeCell ref="V14:W14"/>
    <mergeCell ref="X11:Y11"/>
    <mergeCell ref="H160:I160"/>
    <mergeCell ref="A159:S159"/>
    <mergeCell ref="U159:V159"/>
    <mergeCell ref="J134:K134"/>
    <mergeCell ref="P52:Q52"/>
    <mergeCell ref="R52:S52"/>
    <mergeCell ref="T52:U52"/>
    <mergeCell ref="V52:W52"/>
    <mergeCell ref="J53:K53"/>
    <mergeCell ref="N53:O53"/>
    <mergeCell ref="A50:I50"/>
    <mergeCell ref="J50:K50"/>
    <mergeCell ref="L50:M50"/>
    <mergeCell ref="V50:W50"/>
    <mergeCell ref="X50:Y50"/>
    <mergeCell ref="A51:I51"/>
    <mergeCell ref="J51:K51"/>
    <mergeCell ref="T13:U13"/>
    <mergeCell ref="A12:I12"/>
    <mergeCell ref="N13:O13"/>
    <mergeCell ref="P13:Q13"/>
    <mergeCell ref="R13:S13"/>
    <mergeCell ref="A13:I13"/>
    <mergeCell ref="J13:K13"/>
    <mergeCell ref="L13:M13"/>
    <mergeCell ref="A35:E36"/>
    <mergeCell ref="F35:G35"/>
    <mergeCell ref="H35:I35"/>
    <mergeCell ref="M35:N35"/>
    <mergeCell ref="O35:P35"/>
    <mergeCell ref="Q35:R35"/>
    <mergeCell ref="S35:V35"/>
    <mergeCell ref="A19:G19"/>
    <mergeCell ref="A20:G20"/>
    <mergeCell ref="A21:G21"/>
    <mergeCell ref="A22:G22"/>
    <mergeCell ref="A23:G23"/>
    <mergeCell ref="A26:A27"/>
    <mergeCell ref="B26:B27"/>
    <mergeCell ref="C26:C27"/>
    <mergeCell ref="D26:E26"/>
    <mergeCell ref="A11:I11"/>
    <mergeCell ref="J11:K11"/>
    <mergeCell ref="L11:M11"/>
    <mergeCell ref="V11:W11"/>
    <mergeCell ref="J12:K12"/>
    <mergeCell ref="L12:M12"/>
    <mergeCell ref="V12:W12"/>
    <mergeCell ref="A17:G18"/>
    <mergeCell ref="H17:I17"/>
    <mergeCell ref="L17:M17"/>
    <mergeCell ref="P17:Q17"/>
    <mergeCell ref="R17:S17"/>
    <mergeCell ref="T17:U17"/>
    <mergeCell ref="V17:W17"/>
    <mergeCell ref="A15:I15"/>
    <mergeCell ref="V13:W13"/>
    <mergeCell ref="N11:O11"/>
    <mergeCell ref="P11:Q11"/>
    <mergeCell ref="R11:S11"/>
    <mergeCell ref="T11:U11"/>
    <mergeCell ref="N12:O12"/>
    <mergeCell ref="P12:Q12"/>
    <mergeCell ref="R12:S12"/>
    <mergeCell ref="T12:U12"/>
    <mergeCell ref="X17:Y17"/>
    <mergeCell ref="N14:O14"/>
    <mergeCell ref="P14:Q14"/>
    <mergeCell ref="R14:S14"/>
    <mergeCell ref="T14:U14"/>
    <mergeCell ref="J26:J27"/>
    <mergeCell ref="K26:K27"/>
    <mergeCell ref="M26:N26"/>
    <mergeCell ref="O26:P26"/>
    <mergeCell ref="Q26:Y26"/>
    <mergeCell ref="M27:N27"/>
    <mergeCell ref="O27:P27"/>
    <mergeCell ref="Q27:Y27"/>
    <mergeCell ref="J17:K17"/>
    <mergeCell ref="N17:O17"/>
    <mergeCell ref="X14:Y14"/>
    <mergeCell ref="J15:K15"/>
    <mergeCell ref="L15:M15"/>
    <mergeCell ref="N15:O15"/>
    <mergeCell ref="P15:Q15"/>
    <mergeCell ref="R15:S15"/>
    <mergeCell ref="T15:U15"/>
    <mergeCell ref="V15:W15"/>
    <mergeCell ref="X15:Y15"/>
    <mergeCell ref="A43:D43"/>
    <mergeCell ref="E43:G43"/>
    <mergeCell ref="H43:I43"/>
    <mergeCell ref="J43:K43"/>
    <mergeCell ref="L43:M43"/>
    <mergeCell ref="N43:P43"/>
    <mergeCell ref="W35:Y35"/>
    <mergeCell ref="U32:V32"/>
    <mergeCell ref="A28:A32"/>
    <mergeCell ref="B28:B32"/>
    <mergeCell ref="C28:C32"/>
    <mergeCell ref="D28:D32"/>
    <mergeCell ref="E28:E32"/>
    <mergeCell ref="F28:F32"/>
    <mergeCell ref="G28:G32"/>
    <mergeCell ref="H28:H32"/>
    <mergeCell ref="I28:I32"/>
    <mergeCell ref="J28:J32"/>
    <mergeCell ref="K28:K32"/>
    <mergeCell ref="M28:N28"/>
    <mergeCell ref="O28:P28"/>
    <mergeCell ref="Q28:S28"/>
    <mergeCell ref="T28:Y28"/>
    <mergeCell ref="M29:N32"/>
    <mergeCell ref="X47:Y49"/>
    <mergeCell ref="A48:I49"/>
    <mergeCell ref="A47:I47"/>
    <mergeCell ref="R48:S49"/>
    <mergeCell ref="T48:U49"/>
    <mergeCell ref="V48:W49"/>
    <mergeCell ref="A45:F45"/>
    <mergeCell ref="G45:M45"/>
    <mergeCell ref="Q45:U45"/>
    <mergeCell ref="V45:Y45"/>
    <mergeCell ref="A58:G58"/>
    <mergeCell ref="N50:O50"/>
    <mergeCell ref="P50:Q50"/>
    <mergeCell ref="R50:S50"/>
    <mergeCell ref="T50:U50"/>
    <mergeCell ref="J47:K49"/>
    <mergeCell ref="L47:M49"/>
    <mergeCell ref="N47:O49"/>
    <mergeCell ref="P47:Q49"/>
    <mergeCell ref="R47:W47"/>
    <mergeCell ref="T51:U51"/>
    <mergeCell ref="V51:W51"/>
    <mergeCell ref="P54:Q54"/>
    <mergeCell ref="R54:S54"/>
    <mergeCell ref="T54:U54"/>
    <mergeCell ref="V54:W54"/>
    <mergeCell ref="L51:M51"/>
    <mergeCell ref="N51:O51"/>
    <mergeCell ref="P51:Q51"/>
    <mergeCell ref="R51:S51"/>
    <mergeCell ref="O68:P71"/>
    <mergeCell ref="Q68:S71"/>
    <mergeCell ref="X68:Y68"/>
    <mergeCell ref="U69:V69"/>
    <mergeCell ref="X69:Y69"/>
    <mergeCell ref="U70:V70"/>
    <mergeCell ref="X70:Y70"/>
    <mergeCell ref="U71:V71"/>
    <mergeCell ref="X71:Y71"/>
    <mergeCell ref="J65:J66"/>
    <mergeCell ref="K65:K66"/>
    <mergeCell ref="M65:N65"/>
    <mergeCell ref="O65:P65"/>
    <mergeCell ref="Q65:Y65"/>
    <mergeCell ref="M66:N66"/>
    <mergeCell ref="O66:P66"/>
    <mergeCell ref="Q66:Y66"/>
    <mergeCell ref="T67:Y67"/>
    <mergeCell ref="A84:F84"/>
    <mergeCell ref="G84:M84"/>
    <mergeCell ref="Q84:U84"/>
    <mergeCell ref="V84:Y84"/>
    <mergeCell ref="A76:E76"/>
    <mergeCell ref="M76:M79"/>
    <mergeCell ref="N76:N79"/>
    <mergeCell ref="O76:O79"/>
    <mergeCell ref="P76:P79"/>
    <mergeCell ref="Q76:Q79"/>
    <mergeCell ref="Y78:Y79"/>
    <mergeCell ref="A79:E79"/>
    <mergeCell ref="A80:Y80"/>
    <mergeCell ref="A81:S81"/>
    <mergeCell ref="U81:V81"/>
    <mergeCell ref="A82:D82"/>
    <mergeCell ref="E82:G82"/>
    <mergeCell ref="H82:I82"/>
    <mergeCell ref="J82:K82"/>
    <mergeCell ref="L82:M82"/>
    <mergeCell ref="N82:P82"/>
    <mergeCell ref="Q82:T83"/>
    <mergeCell ref="U82:W83"/>
    <mergeCell ref="X82:Y83"/>
    <mergeCell ref="J86:K88"/>
    <mergeCell ref="L86:M88"/>
    <mergeCell ref="N86:O88"/>
    <mergeCell ref="P86:Q88"/>
    <mergeCell ref="R86:W86"/>
    <mergeCell ref="X86:Y88"/>
    <mergeCell ref="A87:I88"/>
    <mergeCell ref="R87:S88"/>
    <mergeCell ref="T87:U88"/>
    <mergeCell ref="V87:W88"/>
    <mergeCell ref="A86:I86"/>
    <mergeCell ref="Q104:Y104"/>
    <mergeCell ref="M105:N105"/>
    <mergeCell ref="O105:P105"/>
    <mergeCell ref="Q105:Y105"/>
    <mergeCell ref="A106:A110"/>
    <mergeCell ref="N92:O92"/>
    <mergeCell ref="J93:K93"/>
    <mergeCell ref="N93:O93"/>
    <mergeCell ref="J92:K92"/>
    <mergeCell ref="A93:I93"/>
    <mergeCell ref="L93:M93"/>
    <mergeCell ref="P93:Q93"/>
    <mergeCell ref="R93:S93"/>
    <mergeCell ref="T93:U93"/>
    <mergeCell ref="V93:W93"/>
    <mergeCell ref="X93:Y93"/>
    <mergeCell ref="A95:G96"/>
    <mergeCell ref="H95:I95"/>
    <mergeCell ref="J95:K95"/>
    <mergeCell ref="L95:M95"/>
    <mergeCell ref="N95:O95"/>
    <mergeCell ref="P95:Q95"/>
    <mergeCell ref="A104:A105"/>
    <mergeCell ref="B104:B105"/>
    <mergeCell ref="C104:C105"/>
    <mergeCell ref="D104:E104"/>
    <mergeCell ref="F104:I104"/>
    <mergeCell ref="J104:J105"/>
    <mergeCell ref="K104:K105"/>
    <mergeCell ref="M104:N104"/>
    <mergeCell ref="O104:P104"/>
    <mergeCell ref="A119:Y119"/>
    <mergeCell ref="A120:S120"/>
    <mergeCell ref="U120:V120"/>
    <mergeCell ref="A113:E114"/>
    <mergeCell ref="F113:G113"/>
    <mergeCell ref="H113:I113"/>
    <mergeCell ref="M113:N113"/>
    <mergeCell ref="O113:P113"/>
    <mergeCell ref="Q113:R113"/>
    <mergeCell ref="B106:B110"/>
    <mergeCell ref="C106:C110"/>
    <mergeCell ref="D106:D110"/>
    <mergeCell ref="E106:E110"/>
    <mergeCell ref="F106:F110"/>
    <mergeCell ref="G106:G110"/>
    <mergeCell ref="H106:H110"/>
    <mergeCell ref="I106:I110"/>
    <mergeCell ref="R128:S128"/>
    <mergeCell ref="T128:U128"/>
    <mergeCell ref="V128:W128"/>
    <mergeCell ref="X128:Y128"/>
    <mergeCell ref="A129:I129"/>
    <mergeCell ref="L129:M129"/>
    <mergeCell ref="P129:Q129"/>
    <mergeCell ref="R129:S129"/>
    <mergeCell ref="T129:U129"/>
    <mergeCell ref="V129:W129"/>
    <mergeCell ref="X129:Y129"/>
    <mergeCell ref="J128:K128"/>
    <mergeCell ref="N128:O128"/>
    <mergeCell ref="J129:K129"/>
    <mergeCell ref="N129:O129"/>
    <mergeCell ref="A128:I128"/>
    <mergeCell ref="L128:M128"/>
    <mergeCell ref="P128:Q128"/>
    <mergeCell ref="A158:Y158"/>
    <mergeCell ref="A145:A149"/>
    <mergeCell ref="B145:B149"/>
    <mergeCell ref="C145:C149"/>
    <mergeCell ref="J143:J144"/>
    <mergeCell ref="K143:K144"/>
    <mergeCell ref="M143:N143"/>
    <mergeCell ref="O143:P143"/>
    <mergeCell ref="Q143:Y143"/>
    <mergeCell ref="M144:N144"/>
    <mergeCell ref="O144:P144"/>
    <mergeCell ref="Q144:Y144"/>
    <mergeCell ref="D145:D149"/>
    <mergeCell ref="E145:E149"/>
    <mergeCell ref="F145:F149"/>
    <mergeCell ref="G145:G149"/>
    <mergeCell ref="H145:H149"/>
    <mergeCell ref="A143:A144"/>
    <mergeCell ref="B143:B144"/>
    <mergeCell ref="C143:C144"/>
    <mergeCell ref="D143:E143"/>
    <mergeCell ref="F143:I143"/>
    <mergeCell ref="I145:I149"/>
    <mergeCell ref="J145:J149"/>
    <mergeCell ref="X164:Y166"/>
    <mergeCell ref="A165:I166"/>
    <mergeCell ref="R165:S166"/>
    <mergeCell ref="A160:D160"/>
    <mergeCell ref="E160:G160"/>
    <mergeCell ref="J160:K160"/>
    <mergeCell ref="L160:M160"/>
    <mergeCell ref="N160:P160"/>
    <mergeCell ref="Q160:T161"/>
    <mergeCell ref="U160:W161"/>
    <mergeCell ref="X160:Y161"/>
    <mergeCell ref="A162:F162"/>
    <mergeCell ref="G162:M162"/>
    <mergeCell ref="Q162:U162"/>
    <mergeCell ref="V162:Y162"/>
    <mergeCell ref="A164:I164"/>
    <mergeCell ref="T165:U166"/>
    <mergeCell ref="V165:W166"/>
    <mergeCell ref="J164:K166"/>
    <mergeCell ref="L164:M166"/>
    <mergeCell ref="N164:O166"/>
    <mergeCell ref="P164:Q166"/>
    <mergeCell ref="R164:W164"/>
    <mergeCell ref="X173:Y173"/>
    <mergeCell ref="A175:G175"/>
    <mergeCell ref="J170:K170"/>
    <mergeCell ref="J171:K171"/>
    <mergeCell ref="A171:I171"/>
    <mergeCell ref="L171:M171"/>
    <mergeCell ref="N171:O171"/>
    <mergeCell ref="P171:Q171"/>
    <mergeCell ref="R171:S171"/>
    <mergeCell ref="T171:U171"/>
    <mergeCell ref="V171:W171"/>
    <mergeCell ref="X171:Y171"/>
    <mergeCell ref="A173:G174"/>
    <mergeCell ref="H173:I173"/>
    <mergeCell ref="J173:K173"/>
    <mergeCell ref="L173:M173"/>
    <mergeCell ref="N173:O173"/>
    <mergeCell ref="P173:Q173"/>
    <mergeCell ref="R173:S173"/>
    <mergeCell ref="T173:U173"/>
    <mergeCell ref="V173:W173"/>
    <mergeCell ref="A2:Y2"/>
    <mergeCell ref="A3:S3"/>
    <mergeCell ref="U3:V3"/>
    <mergeCell ref="A4:D4"/>
    <mergeCell ref="E4:G4"/>
    <mergeCell ref="H4:I4"/>
    <mergeCell ref="J4:K4"/>
    <mergeCell ref="L4:M4"/>
    <mergeCell ref="N4:P4"/>
    <mergeCell ref="Q4:T5"/>
    <mergeCell ref="U4:W5"/>
    <mergeCell ref="X4:Y5"/>
    <mergeCell ref="A6:F6"/>
    <mergeCell ref="G6:M6"/>
    <mergeCell ref="Q6:U6"/>
    <mergeCell ref="V6:Y6"/>
    <mergeCell ref="A8:I8"/>
    <mergeCell ref="J8:K10"/>
    <mergeCell ref="L8:M10"/>
    <mergeCell ref="N8:O10"/>
    <mergeCell ref="P8:Q10"/>
    <mergeCell ref="R8:W8"/>
    <mergeCell ref="X8:Y10"/>
    <mergeCell ref="A9:I10"/>
    <mergeCell ref="R9:S10"/>
    <mergeCell ref="T9:U10"/>
    <mergeCell ref="V9:W10"/>
    <mergeCell ref="F26:I26"/>
    <mergeCell ref="U31:V31"/>
    <mergeCell ref="X31:Y31"/>
    <mergeCell ref="X32:Y32"/>
    <mergeCell ref="Y39:Y40"/>
    <mergeCell ref="A40:E40"/>
    <mergeCell ref="A41:Y41"/>
    <mergeCell ref="A42:S42"/>
    <mergeCell ref="U42:V42"/>
    <mergeCell ref="R37:R40"/>
    <mergeCell ref="A38:E38"/>
    <mergeCell ref="A39:E39"/>
    <mergeCell ref="A37:E37"/>
    <mergeCell ref="M37:M40"/>
    <mergeCell ref="N37:N40"/>
    <mergeCell ref="O37:O40"/>
    <mergeCell ref="P37:P40"/>
    <mergeCell ref="O29:P32"/>
    <mergeCell ref="Q29:S32"/>
    <mergeCell ref="U29:V29"/>
    <mergeCell ref="X29:Y29"/>
    <mergeCell ref="U30:V30"/>
    <mergeCell ref="X30:Y30"/>
    <mergeCell ref="Q43:T44"/>
    <mergeCell ref="U43:W44"/>
    <mergeCell ref="X43:Y44"/>
    <mergeCell ref="X39:X40"/>
    <mergeCell ref="S39:S40"/>
    <mergeCell ref="T39:T40"/>
    <mergeCell ref="U39:U40"/>
    <mergeCell ref="V39:V40"/>
    <mergeCell ref="W39:W40"/>
    <mergeCell ref="Q37:Q40"/>
    <mergeCell ref="X51:Y51"/>
    <mergeCell ref="A52:I52"/>
    <mergeCell ref="J52:K52"/>
    <mergeCell ref="L52:M52"/>
    <mergeCell ref="N52:O52"/>
    <mergeCell ref="X52:Y52"/>
    <mergeCell ref="A53:I53"/>
    <mergeCell ref="L53:M53"/>
    <mergeCell ref="P53:Q53"/>
    <mergeCell ref="R53:S53"/>
    <mergeCell ref="T53:U53"/>
    <mergeCell ref="V53:W53"/>
    <mergeCell ref="X53:Y53"/>
    <mergeCell ref="X54:Y54"/>
    <mergeCell ref="A56:G57"/>
    <mergeCell ref="H56:I56"/>
    <mergeCell ref="L56:M56"/>
    <mergeCell ref="P56:Q56"/>
    <mergeCell ref="R56:S56"/>
    <mergeCell ref="T56:U56"/>
    <mergeCell ref="V56:W56"/>
    <mergeCell ref="X56:Y56"/>
    <mergeCell ref="N54:O54"/>
    <mergeCell ref="J56:K56"/>
    <mergeCell ref="N56:O56"/>
    <mergeCell ref="J54:K54"/>
    <mergeCell ref="A54:I54"/>
    <mergeCell ref="L54:M54"/>
    <mergeCell ref="A59:G59"/>
    <mergeCell ref="A60:G60"/>
    <mergeCell ref="A61:G61"/>
    <mergeCell ref="A62:G62"/>
    <mergeCell ref="A65:A66"/>
    <mergeCell ref="B65:B66"/>
    <mergeCell ref="C65:C66"/>
    <mergeCell ref="D65:E65"/>
    <mergeCell ref="F65:I65"/>
    <mergeCell ref="A74:E75"/>
    <mergeCell ref="F74:G74"/>
    <mergeCell ref="H74:I74"/>
    <mergeCell ref="M74:N74"/>
    <mergeCell ref="O74:P74"/>
    <mergeCell ref="Q74:R74"/>
    <mergeCell ref="S74:V74"/>
    <mergeCell ref="W74:Y74"/>
    <mergeCell ref="A67:A71"/>
    <mergeCell ref="B67:B71"/>
    <mergeCell ref="C67:C71"/>
    <mergeCell ref="D67:D71"/>
    <mergeCell ref="E67:E71"/>
    <mergeCell ref="F67:F71"/>
    <mergeCell ref="G67:G71"/>
    <mergeCell ref="H67:H71"/>
    <mergeCell ref="I67:I71"/>
    <mergeCell ref="J67:J71"/>
    <mergeCell ref="K67:K71"/>
    <mergeCell ref="M67:N67"/>
    <mergeCell ref="O67:P67"/>
    <mergeCell ref="Q67:S67"/>
    <mergeCell ref="U68:V68"/>
    <mergeCell ref="M68:N71"/>
    <mergeCell ref="R76:R79"/>
    <mergeCell ref="A77:E77"/>
    <mergeCell ref="A78:E78"/>
    <mergeCell ref="S78:S79"/>
    <mergeCell ref="T78:T79"/>
    <mergeCell ref="U78:U79"/>
    <mergeCell ref="V78:V79"/>
    <mergeCell ref="W78:W79"/>
    <mergeCell ref="X78:X79"/>
    <mergeCell ref="R89:S89"/>
    <mergeCell ref="T89:U89"/>
    <mergeCell ref="V89:W89"/>
    <mergeCell ref="X89:Y89"/>
    <mergeCell ref="A90:I90"/>
    <mergeCell ref="L90:M90"/>
    <mergeCell ref="P90:Q90"/>
    <mergeCell ref="R90:S90"/>
    <mergeCell ref="T90:U90"/>
    <mergeCell ref="V90:W90"/>
    <mergeCell ref="X90:Y90"/>
    <mergeCell ref="J89:K89"/>
    <mergeCell ref="N89:O89"/>
    <mergeCell ref="J90:K90"/>
    <mergeCell ref="N90:O90"/>
    <mergeCell ref="A89:I89"/>
    <mergeCell ref="L89:M89"/>
    <mergeCell ref="P89:Q89"/>
    <mergeCell ref="A91:I91"/>
    <mergeCell ref="L91:M91"/>
    <mergeCell ref="P91:Q91"/>
    <mergeCell ref="R91:S91"/>
    <mergeCell ref="T91:U91"/>
    <mergeCell ref="V91:W91"/>
    <mergeCell ref="X91:Y91"/>
    <mergeCell ref="A92:I92"/>
    <mergeCell ref="L92:M92"/>
    <mergeCell ref="P92:Q92"/>
    <mergeCell ref="R92:S92"/>
    <mergeCell ref="T92:U92"/>
    <mergeCell ref="V92:W92"/>
    <mergeCell ref="X92:Y92"/>
    <mergeCell ref="J91:K91"/>
    <mergeCell ref="N91:O91"/>
    <mergeCell ref="R95:S95"/>
    <mergeCell ref="T95:U95"/>
    <mergeCell ref="V95:W95"/>
    <mergeCell ref="X95:Y95"/>
    <mergeCell ref="A97:G97"/>
    <mergeCell ref="A98:G98"/>
    <mergeCell ref="A99:G99"/>
    <mergeCell ref="A100:G100"/>
    <mergeCell ref="A101:G101"/>
    <mergeCell ref="J106:J110"/>
    <mergeCell ref="K106:K110"/>
    <mergeCell ref="M106:N106"/>
    <mergeCell ref="O106:P106"/>
    <mergeCell ref="Q106:S106"/>
    <mergeCell ref="T106:Y106"/>
    <mergeCell ref="M107:N110"/>
    <mergeCell ref="O107:P110"/>
    <mergeCell ref="Q107:S110"/>
    <mergeCell ref="U107:V107"/>
    <mergeCell ref="X107:Y107"/>
    <mergeCell ref="U108:V108"/>
    <mergeCell ref="X108:Y108"/>
    <mergeCell ref="U109:V109"/>
    <mergeCell ref="X109:Y109"/>
    <mergeCell ref="U110:V110"/>
    <mergeCell ref="X110:Y110"/>
    <mergeCell ref="S113:V113"/>
    <mergeCell ref="W113:Y113"/>
    <mergeCell ref="A115:E115"/>
    <mergeCell ref="M115:M118"/>
    <mergeCell ref="N115:N118"/>
    <mergeCell ref="O115:O118"/>
    <mergeCell ref="P115:P118"/>
    <mergeCell ref="Q115:Q118"/>
    <mergeCell ref="R115:R118"/>
    <mergeCell ref="A116:E116"/>
    <mergeCell ref="A117:E117"/>
    <mergeCell ref="S117:S118"/>
    <mergeCell ref="T117:T118"/>
    <mergeCell ref="U117:U118"/>
    <mergeCell ref="V117:V118"/>
    <mergeCell ref="W117:W118"/>
    <mergeCell ref="X117:X118"/>
    <mergeCell ref="Y117:Y118"/>
    <mergeCell ref="A118:E118"/>
    <mergeCell ref="Q121:T122"/>
    <mergeCell ref="U121:W122"/>
    <mergeCell ref="X121:Y122"/>
    <mergeCell ref="A123:F123"/>
    <mergeCell ref="G123:M123"/>
    <mergeCell ref="Q123:U123"/>
    <mergeCell ref="V123:Y123"/>
    <mergeCell ref="A125:I125"/>
    <mergeCell ref="J125:K127"/>
    <mergeCell ref="L125:M127"/>
    <mergeCell ref="N125:O127"/>
    <mergeCell ref="P125:Q127"/>
    <mergeCell ref="R125:W125"/>
    <mergeCell ref="X125:Y127"/>
    <mergeCell ref="A126:I127"/>
    <mergeCell ref="R126:S127"/>
    <mergeCell ref="T126:U127"/>
    <mergeCell ref="V126:W127"/>
    <mergeCell ref="A121:D121"/>
    <mergeCell ref="E121:G121"/>
    <mergeCell ref="H121:I121"/>
    <mergeCell ref="J121:K121"/>
    <mergeCell ref="L121:M121"/>
    <mergeCell ref="N121:P121"/>
    <mergeCell ref="R130:S130"/>
    <mergeCell ref="T130:U130"/>
    <mergeCell ref="V130:W130"/>
    <mergeCell ref="X130:Y130"/>
    <mergeCell ref="A131:I13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J130:K130"/>
    <mergeCell ref="N130:O130"/>
    <mergeCell ref="A130:I130"/>
    <mergeCell ref="L130:M130"/>
    <mergeCell ref="P130:Q130"/>
    <mergeCell ref="R132:S132"/>
    <mergeCell ref="T132:U132"/>
    <mergeCell ref="V132:W132"/>
    <mergeCell ref="X132:Y132"/>
    <mergeCell ref="A136:G136"/>
    <mergeCell ref="A137:G137"/>
    <mergeCell ref="A138:G138"/>
    <mergeCell ref="A139:G139"/>
    <mergeCell ref="A140:G140"/>
    <mergeCell ref="R134:S134"/>
    <mergeCell ref="T134:U134"/>
    <mergeCell ref="V134:W134"/>
    <mergeCell ref="X134:Y134"/>
    <mergeCell ref="A134:G135"/>
    <mergeCell ref="H134:I134"/>
    <mergeCell ref="L134:M134"/>
    <mergeCell ref="N134:O134"/>
    <mergeCell ref="P134:Q134"/>
    <mergeCell ref="A132:I132"/>
    <mergeCell ref="J132:K132"/>
    <mergeCell ref="L132:M132"/>
    <mergeCell ref="N132:O132"/>
    <mergeCell ref="P132:Q132"/>
    <mergeCell ref="K145:K149"/>
    <mergeCell ref="M145:N145"/>
    <mergeCell ref="O145:P145"/>
    <mergeCell ref="Q145:S145"/>
    <mergeCell ref="U156:U157"/>
    <mergeCell ref="V156:V157"/>
    <mergeCell ref="W156:W157"/>
    <mergeCell ref="X156:X157"/>
    <mergeCell ref="T145:Y145"/>
    <mergeCell ref="M146:N149"/>
    <mergeCell ref="O146:P149"/>
    <mergeCell ref="Q146:S149"/>
    <mergeCell ref="U146:V146"/>
    <mergeCell ref="X146:Y146"/>
    <mergeCell ref="U147:V147"/>
    <mergeCell ref="X147:Y147"/>
    <mergeCell ref="U148:V148"/>
    <mergeCell ref="X148:Y148"/>
    <mergeCell ref="U149:V149"/>
    <mergeCell ref="X149:Y149"/>
    <mergeCell ref="A152:E153"/>
    <mergeCell ref="F152:G152"/>
    <mergeCell ref="H152:I152"/>
    <mergeCell ref="M152:N152"/>
    <mergeCell ref="O152:P152"/>
    <mergeCell ref="Q152:R152"/>
    <mergeCell ref="S152:V152"/>
    <mergeCell ref="W152:Y152"/>
    <mergeCell ref="A154:E154"/>
    <mergeCell ref="M154:M157"/>
    <mergeCell ref="N154:N157"/>
    <mergeCell ref="O154:O157"/>
    <mergeCell ref="P154:P157"/>
    <mergeCell ref="Q154:Q157"/>
    <mergeCell ref="R154:R157"/>
    <mergeCell ref="A155:E155"/>
    <mergeCell ref="A156:E156"/>
    <mergeCell ref="S156:S157"/>
    <mergeCell ref="T156:T157"/>
    <mergeCell ref="Y156:Y157"/>
    <mergeCell ref="A157:E157"/>
    <mergeCell ref="X167:Y167"/>
    <mergeCell ref="A168:I168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A167:I167"/>
    <mergeCell ref="J167:K167"/>
    <mergeCell ref="L167:M167"/>
    <mergeCell ref="N167:O167"/>
    <mergeCell ref="P167:Q167"/>
    <mergeCell ref="R167:S167"/>
    <mergeCell ref="T167:U167"/>
    <mergeCell ref="V167:W167"/>
    <mergeCell ref="A169:I169"/>
    <mergeCell ref="L169:M169"/>
    <mergeCell ref="N169:O169"/>
    <mergeCell ref="P169:Q169"/>
    <mergeCell ref="R169:S169"/>
    <mergeCell ref="T169:U169"/>
    <mergeCell ref="V169:W169"/>
    <mergeCell ref="X169:Y169"/>
    <mergeCell ref="A170:I170"/>
    <mergeCell ref="L170:M170"/>
    <mergeCell ref="N170:O170"/>
    <mergeCell ref="P170:Q170"/>
    <mergeCell ref="R170:S170"/>
    <mergeCell ref="T170:U170"/>
    <mergeCell ref="V170:W170"/>
    <mergeCell ref="X170:Y170"/>
    <mergeCell ref="J169:K169"/>
    <mergeCell ref="A176:G176"/>
    <mergeCell ref="A177:G177"/>
    <mergeCell ref="A178:G178"/>
    <mergeCell ref="A179:G179"/>
    <mergeCell ref="A182:A183"/>
    <mergeCell ref="B182:B183"/>
    <mergeCell ref="C182:C183"/>
    <mergeCell ref="D182:E182"/>
    <mergeCell ref="F182:I182"/>
    <mergeCell ref="J182:J183"/>
    <mergeCell ref="K182:K183"/>
    <mergeCell ref="M182:N182"/>
    <mergeCell ref="O182:P182"/>
    <mergeCell ref="Q182:Y182"/>
    <mergeCell ref="M183:N183"/>
    <mergeCell ref="O183:P183"/>
    <mergeCell ref="Q183:Y183"/>
    <mergeCell ref="A184:A188"/>
    <mergeCell ref="B184:B188"/>
    <mergeCell ref="C184:C188"/>
    <mergeCell ref="D184:D188"/>
    <mergeCell ref="E184:E188"/>
    <mergeCell ref="F184:F188"/>
    <mergeCell ref="G184:G188"/>
    <mergeCell ref="H184:H188"/>
    <mergeCell ref="I184:I188"/>
    <mergeCell ref="J184:J188"/>
    <mergeCell ref="K184:K188"/>
    <mergeCell ref="M184:N184"/>
    <mergeCell ref="O184:P184"/>
    <mergeCell ref="Q184:S184"/>
    <mergeCell ref="T184:Y184"/>
    <mergeCell ref="M185:N188"/>
    <mergeCell ref="Y195:Y196"/>
    <mergeCell ref="O185:P188"/>
    <mergeCell ref="Q185:S188"/>
    <mergeCell ref="U185:V185"/>
    <mergeCell ref="X185:Y185"/>
    <mergeCell ref="U186:V186"/>
    <mergeCell ref="X186:Y186"/>
    <mergeCell ref="U187:V187"/>
    <mergeCell ref="X187:Y187"/>
    <mergeCell ref="U188:V188"/>
    <mergeCell ref="X188:Y188"/>
    <mergeCell ref="A196:E196"/>
    <mergeCell ref="A191:E192"/>
    <mergeCell ref="F191:G191"/>
    <mergeCell ref="H191:I191"/>
    <mergeCell ref="M191:N191"/>
    <mergeCell ref="O191:P191"/>
    <mergeCell ref="Q191:R191"/>
    <mergeCell ref="S191:V191"/>
    <mergeCell ref="W191:Y191"/>
    <mergeCell ref="A193:E193"/>
    <mergeCell ref="M193:M196"/>
    <mergeCell ref="N193:N196"/>
    <mergeCell ref="O193:O196"/>
    <mergeCell ref="P193:P196"/>
    <mergeCell ref="Q193:Q196"/>
    <mergeCell ref="R193:R196"/>
    <mergeCell ref="A194:E194"/>
    <mergeCell ref="A195:E195"/>
    <mergeCell ref="S195:S196"/>
    <mergeCell ref="T195:T196"/>
    <mergeCell ref="U195:U196"/>
    <mergeCell ref="V195:V196"/>
    <mergeCell ref="W195:W196"/>
    <mergeCell ref="X195:X196"/>
  </mergeCells>
  <printOptions horizontalCentered="1" verticalCentered="1"/>
  <pageMargins left="0" right="0" top="0.15" bottom="0" header="0.5" footer="0.5"/>
  <pageSetup paperSize="9" scale="70" orientation="landscape" r:id="rId1"/>
  <headerFooter alignWithMargins="0"/>
  <rowBreaks count="4" manualBreakCount="4">
    <brk id="40" max="24" man="1"/>
    <brk id="79" max="24" man="1"/>
    <brk id="118" max="24" man="1"/>
    <brk id="157" max="2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99CC"/>
  </sheetPr>
  <dimension ref="A1:AB196"/>
  <sheetViews>
    <sheetView view="pageBreakPreview" topLeftCell="A181" zoomScale="85" zoomScaleNormal="55" zoomScaleSheetLayoutView="85" workbookViewId="0">
      <selection activeCell="U195" sqref="U195:U196"/>
    </sheetView>
  </sheetViews>
  <sheetFormatPr defaultRowHeight="13.8" x14ac:dyDescent="0.25"/>
  <cols>
    <col min="1" max="1" width="7.88671875" customWidth="1"/>
    <col min="2" max="2" width="11.44140625" customWidth="1"/>
    <col min="3" max="3" width="11" customWidth="1"/>
    <col min="4" max="6" width="7.33203125" customWidth="1"/>
    <col min="7" max="7" width="7.6640625" customWidth="1"/>
    <col min="8" max="8" width="8.33203125" customWidth="1"/>
    <col min="9" max="9" width="7.33203125" customWidth="1"/>
    <col min="10" max="10" width="9.6640625" customWidth="1"/>
    <col min="11" max="11" width="8" customWidth="1"/>
    <col min="12" max="14" width="7.33203125" customWidth="1"/>
    <col min="15" max="15" width="7.5546875" customWidth="1"/>
    <col min="16" max="25" width="7.33203125" customWidth="1"/>
  </cols>
  <sheetData>
    <row r="1" spans="1:28" ht="7.5" customHeight="1" x14ac:dyDescent="0.25"/>
    <row r="2" spans="1:28" ht="18" customHeight="1" x14ac:dyDescent="0.45">
      <c r="A2" s="120" t="s">
        <v>17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</row>
    <row r="3" spans="1:28" ht="21" customHeight="1" x14ac:dyDescent="0.25">
      <c r="A3" s="111" t="s">
        <v>18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"/>
      <c r="U3" s="112" t="s">
        <v>19</v>
      </c>
      <c r="V3" s="112"/>
      <c r="W3" s="1"/>
      <c r="X3" s="1"/>
      <c r="Y3" s="1"/>
    </row>
    <row r="4" spans="1:28" ht="42" customHeight="1" x14ac:dyDescent="0.25">
      <c r="A4" s="113" t="s">
        <v>20</v>
      </c>
      <c r="B4" s="113"/>
      <c r="C4" s="113"/>
      <c r="D4" s="113"/>
      <c r="E4" s="191" t="s">
        <v>89</v>
      </c>
      <c r="F4" s="192"/>
      <c r="G4" s="192"/>
      <c r="H4" s="116" t="s">
        <v>22</v>
      </c>
      <c r="I4" s="116"/>
      <c r="J4" s="115"/>
      <c r="K4" s="115"/>
      <c r="L4" s="116" t="s">
        <v>23</v>
      </c>
      <c r="M4" s="116"/>
      <c r="N4" s="188" t="s">
        <v>15</v>
      </c>
      <c r="O4" s="188"/>
      <c r="P4" s="188"/>
      <c r="Q4" s="118" t="s">
        <v>24</v>
      </c>
      <c r="R4" s="118"/>
      <c r="S4" s="118"/>
      <c r="T4" s="118"/>
      <c r="U4" s="119" t="s">
        <v>25</v>
      </c>
      <c r="V4" s="119"/>
      <c r="W4" s="119"/>
      <c r="X4" s="147" t="s">
        <v>93</v>
      </c>
      <c r="Y4" s="147"/>
    </row>
    <row r="5" spans="1:28" ht="5.25" customHeight="1" x14ac:dyDescent="0.25">
      <c r="Q5" s="118"/>
      <c r="R5" s="118"/>
      <c r="S5" s="118"/>
      <c r="T5" s="118"/>
      <c r="U5" s="119"/>
      <c r="V5" s="119"/>
      <c r="W5" s="119"/>
      <c r="X5" s="147"/>
      <c r="Y5" s="147"/>
    </row>
    <row r="6" spans="1:28" ht="15.75" customHeight="1" x14ac:dyDescent="0.3">
      <c r="A6" s="166" t="s">
        <v>26</v>
      </c>
      <c r="B6" s="166"/>
      <c r="C6" s="166"/>
      <c r="D6" s="166"/>
      <c r="E6" s="166"/>
      <c r="F6" s="166"/>
      <c r="G6" s="167" t="s">
        <v>27</v>
      </c>
      <c r="H6" s="167"/>
      <c r="I6" s="167"/>
      <c r="J6" s="167"/>
      <c r="K6" s="167"/>
      <c r="L6" s="167"/>
      <c r="M6" s="167"/>
      <c r="N6" s="2"/>
      <c r="Q6" s="168" t="s">
        <v>28</v>
      </c>
      <c r="R6" s="168"/>
      <c r="S6" s="168"/>
      <c r="T6" s="168"/>
      <c r="U6" s="168"/>
      <c r="V6" s="148" t="s">
        <v>29</v>
      </c>
      <c r="W6" s="148"/>
      <c r="X6" s="148"/>
      <c r="Y6" s="148"/>
      <c r="AA6" t="s">
        <v>30</v>
      </c>
      <c r="AB6" t="s">
        <v>30</v>
      </c>
    </row>
    <row r="7" spans="1:28" ht="7.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8" ht="15" customHeight="1" x14ac:dyDescent="0.25">
      <c r="A8" s="149" t="s">
        <v>31</v>
      </c>
      <c r="B8" s="150"/>
      <c r="C8" s="150"/>
      <c r="D8" s="150"/>
      <c r="E8" s="150"/>
      <c r="F8" s="150"/>
      <c r="G8" s="150"/>
      <c r="H8" s="150"/>
      <c r="I8" s="151"/>
      <c r="J8" s="152" t="s">
        <v>32</v>
      </c>
      <c r="K8" s="153"/>
      <c r="L8" s="152" t="s">
        <v>33</v>
      </c>
      <c r="M8" s="153"/>
      <c r="N8" s="91" t="s">
        <v>34</v>
      </c>
      <c r="O8" s="92"/>
      <c r="P8" s="152" t="s">
        <v>35</v>
      </c>
      <c r="Q8" s="153"/>
      <c r="R8" s="68" t="s">
        <v>36</v>
      </c>
      <c r="S8" s="69"/>
      <c r="T8" s="69"/>
      <c r="U8" s="69"/>
      <c r="V8" s="69"/>
      <c r="W8" s="70"/>
      <c r="X8" s="152" t="s">
        <v>7</v>
      </c>
      <c r="Y8" s="153"/>
    </row>
    <row r="9" spans="1:28" ht="23.25" customHeight="1" x14ac:dyDescent="0.25">
      <c r="A9" s="158" t="s">
        <v>37</v>
      </c>
      <c r="B9" s="159"/>
      <c r="C9" s="159"/>
      <c r="D9" s="159"/>
      <c r="E9" s="159"/>
      <c r="F9" s="159"/>
      <c r="G9" s="159"/>
      <c r="H9" s="159"/>
      <c r="I9" s="160"/>
      <c r="J9" s="154"/>
      <c r="K9" s="155"/>
      <c r="L9" s="154"/>
      <c r="M9" s="155"/>
      <c r="N9" s="93"/>
      <c r="O9" s="94"/>
      <c r="P9" s="154"/>
      <c r="Q9" s="155"/>
      <c r="R9" s="164" t="s">
        <v>38</v>
      </c>
      <c r="S9" s="164"/>
      <c r="T9" s="164" t="s">
        <v>39</v>
      </c>
      <c r="U9" s="164"/>
      <c r="V9" s="164" t="s">
        <v>40</v>
      </c>
      <c r="W9" s="164"/>
      <c r="X9" s="154"/>
      <c r="Y9" s="155"/>
    </row>
    <row r="10" spans="1:28" x14ac:dyDescent="0.25">
      <c r="A10" s="161"/>
      <c r="B10" s="162"/>
      <c r="C10" s="162"/>
      <c r="D10" s="162"/>
      <c r="E10" s="162"/>
      <c r="F10" s="162"/>
      <c r="G10" s="162"/>
      <c r="H10" s="162"/>
      <c r="I10" s="163"/>
      <c r="J10" s="156"/>
      <c r="K10" s="157"/>
      <c r="L10" s="156"/>
      <c r="M10" s="157"/>
      <c r="N10" s="95"/>
      <c r="O10" s="96"/>
      <c r="P10" s="156"/>
      <c r="Q10" s="157"/>
      <c r="R10" s="165"/>
      <c r="S10" s="165"/>
      <c r="T10" s="165"/>
      <c r="U10" s="165"/>
      <c r="V10" s="165"/>
      <c r="W10" s="165"/>
      <c r="X10" s="156"/>
      <c r="Y10" s="157"/>
    </row>
    <row r="11" spans="1:28" ht="18" customHeight="1" x14ac:dyDescent="0.3">
      <c r="A11" s="106" t="s">
        <v>41</v>
      </c>
      <c r="B11" s="107"/>
      <c r="C11" s="107"/>
      <c r="D11" s="107"/>
      <c r="E11" s="107"/>
      <c r="F11" s="107"/>
      <c r="G11" s="107"/>
      <c r="H11" s="107"/>
      <c r="I11" s="108"/>
      <c r="J11" s="170">
        <v>117</v>
      </c>
      <c r="K11" s="70"/>
      <c r="L11" s="170">
        <v>2</v>
      </c>
      <c r="M11" s="70"/>
      <c r="N11" s="170">
        <v>0</v>
      </c>
      <c r="O11" s="171"/>
      <c r="P11" s="68">
        <v>119</v>
      </c>
      <c r="Q11" s="70"/>
      <c r="R11" s="170">
        <v>0</v>
      </c>
      <c r="S11" s="70"/>
      <c r="T11" s="170">
        <v>1</v>
      </c>
      <c r="U11" s="70"/>
      <c r="V11" s="170">
        <v>0</v>
      </c>
      <c r="W11" s="70"/>
      <c r="X11" s="80">
        <v>120</v>
      </c>
      <c r="Y11" s="82"/>
    </row>
    <row r="12" spans="1:28" ht="18" customHeight="1" x14ac:dyDescent="0.3">
      <c r="A12" s="106" t="s">
        <v>42</v>
      </c>
      <c r="B12" s="107"/>
      <c r="C12" s="107"/>
      <c r="D12" s="107"/>
      <c r="E12" s="107"/>
      <c r="F12" s="107"/>
      <c r="G12" s="107"/>
      <c r="H12" s="107"/>
      <c r="I12" s="108"/>
      <c r="J12" s="170">
        <v>442</v>
      </c>
      <c r="K12" s="70"/>
      <c r="L12" s="170">
        <v>0</v>
      </c>
      <c r="M12" s="70"/>
      <c r="N12" s="170">
        <v>0</v>
      </c>
      <c r="O12" s="171"/>
      <c r="P12" s="68">
        <v>442</v>
      </c>
      <c r="Q12" s="70"/>
      <c r="R12" s="170">
        <v>0</v>
      </c>
      <c r="S12" s="70"/>
      <c r="T12" s="170">
        <v>0</v>
      </c>
      <c r="U12" s="70"/>
      <c r="V12" s="170">
        <v>0</v>
      </c>
      <c r="W12" s="70"/>
      <c r="X12" s="80">
        <v>442</v>
      </c>
      <c r="Y12" s="82"/>
    </row>
    <row r="13" spans="1:28" ht="18" customHeight="1" x14ac:dyDescent="0.3">
      <c r="A13" s="106" t="s">
        <v>43</v>
      </c>
      <c r="B13" s="107"/>
      <c r="C13" s="107"/>
      <c r="D13" s="107"/>
      <c r="E13" s="107"/>
      <c r="F13" s="107"/>
      <c r="G13" s="107"/>
      <c r="H13" s="107"/>
      <c r="I13" s="108"/>
      <c r="J13" s="170">
        <v>1</v>
      </c>
      <c r="K13" s="70"/>
      <c r="L13" s="170">
        <v>0</v>
      </c>
      <c r="M13" s="70"/>
      <c r="N13" s="170">
        <v>0</v>
      </c>
      <c r="O13" s="171"/>
      <c r="P13" s="68">
        <v>1</v>
      </c>
      <c r="Q13" s="70"/>
      <c r="R13" s="170">
        <v>0</v>
      </c>
      <c r="S13" s="70"/>
      <c r="T13" s="170">
        <v>0</v>
      </c>
      <c r="U13" s="70"/>
      <c r="V13" s="170">
        <v>0</v>
      </c>
      <c r="W13" s="70"/>
      <c r="X13" s="80">
        <v>1</v>
      </c>
      <c r="Y13" s="82"/>
    </row>
    <row r="14" spans="1:28" ht="18" customHeight="1" x14ac:dyDescent="0.3">
      <c r="A14" s="106" t="s">
        <v>44</v>
      </c>
      <c r="B14" s="107"/>
      <c r="C14" s="107"/>
      <c r="D14" s="107"/>
      <c r="E14" s="107"/>
      <c r="F14" s="107"/>
      <c r="G14" s="107"/>
      <c r="H14" s="107"/>
      <c r="I14" s="108"/>
      <c r="J14" s="170">
        <v>187</v>
      </c>
      <c r="K14" s="70"/>
      <c r="L14" s="170">
        <v>0</v>
      </c>
      <c r="M14" s="70"/>
      <c r="N14" s="170">
        <v>0</v>
      </c>
      <c r="O14" s="171"/>
      <c r="P14" s="68">
        <v>187</v>
      </c>
      <c r="Q14" s="70"/>
      <c r="R14" s="170">
        <v>0</v>
      </c>
      <c r="S14" s="70"/>
      <c r="T14" s="170">
        <v>0</v>
      </c>
      <c r="U14" s="70"/>
      <c r="V14" s="170">
        <v>0</v>
      </c>
      <c r="W14" s="70"/>
      <c r="X14" s="80">
        <v>187</v>
      </c>
      <c r="Y14" s="82"/>
    </row>
    <row r="15" spans="1:28" ht="18" customHeight="1" x14ac:dyDescent="0.3">
      <c r="A15" s="106" t="s">
        <v>7</v>
      </c>
      <c r="B15" s="107"/>
      <c r="C15" s="107"/>
      <c r="D15" s="107"/>
      <c r="E15" s="107"/>
      <c r="F15" s="107"/>
      <c r="G15" s="107"/>
      <c r="H15" s="107"/>
      <c r="I15" s="108"/>
      <c r="J15" s="68">
        <v>747</v>
      </c>
      <c r="K15" s="70"/>
      <c r="L15" s="68">
        <v>2</v>
      </c>
      <c r="M15" s="70"/>
      <c r="N15" s="68">
        <v>0</v>
      </c>
      <c r="O15" s="70"/>
      <c r="P15" s="68">
        <v>749</v>
      </c>
      <c r="Q15" s="70"/>
      <c r="R15" s="68">
        <v>0</v>
      </c>
      <c r="S15" s="70"/>
      <c r="T15" s="68">
        <v>1</v>
      </c>
      <c r="U15" s="70"/>
      <c r="V15" s="68">
        <v>0</v>
      </c>
      <c r="W15" s="70"/>
      <c r="X15" s="80">
        <v>750</v>
      </c>
      <c r="Y15" s="82"/>
    </row>
    <row r="16" spans="1:28" ht="15.6" x14ac:dyDescent="0.3">
      <c r="A16" s="4" t="s">
        <v>45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6"/>
      <c r="S16" s="6"/>
      <c r="T16" s="6"/>
      <c r="U16" s="6"/>
      <c r="V16" s="6"/>
      <c r="W16" s="6"/>
      <c r="X16" s="6"/>
      <c r="Y16" s="7"/>
    </row>
    <row r="17" spans="1:28" x14ac:dyDescent="0.25">
      <c r="A17" s="71"/>
      <c r="B17" s="72"/>
      <c r="C17" s="72"/>
      <c r="D17" s="72"/>
      <c r="E17" s="72"/>
      <c r="F17" s="72"/>
      <c r="G17" s="73"/>
      <c r="H17" s="68" t="s">
        <v>0</v>
      </c>
      <c r="I17" s="69"/>
      <c r="J17" s="136" t="s">
        <v>1</v>
      </c>
      <c r="K17" s="69"/>
      <c r="L17" s="134" t="s">
        <v>2</v>
      </c>
      <c r="M17" s="69"/>
      <c r="N17" s="134" t="s">
        <v>3</v>
      </c>
      <c r="O17" s="69"/>
      <c r="P17" s="134" t="s">
        <v>4</v>
      </c>
      <c r="Q17" s="135"/>
      <c r="R17" s="134" t="s">
        <v>5</v>
      </c>
      <c r="S17" s="69"/>
      <c r="T17" s="134" t="s">
        <v>6</v>
      </c>
      <c r="U17" s="69"/>
      <c r="V17" s="134" t="s">
        <v>46</v>
      </c>
      <c r="W17" s="69"/>
      <c r="X17" s="134" t="s">
        <v>7</v>
      </c>
      <c r="Y17" s="135"/>
      <c r="Z17" s="8"/>
      <c r="AA17" s="9"/>
      <c r="AB17" s="9"/>
    </row>
    <row r="18" spans="1:28" x14ac:dyDescent="0.25">
      <c r="A18" s="74"/>
      <c r="B18" s="75"/>
      <c r="C18" s="75"/>
      <c r="D18" s="75"/>
      <c r="E18" s="75"/>
      <c r="F18" s="75"/>
      <c r="G18" s="76"/>
      <c r="H18" s="10" t="s">
        <v>10</v>
      </c>
      <c r="I18" s="10" t="s">
        <v>11</v>
      </c>
      <c r="J18" s="10" t="s">
        <v>10</v>
      </c>
      <c r="K18" s="10" t="s">
        <v>11</v>
      </c>
      <c r="L18" s="10" t="s">
        <v>10</v>
      </c>
      <c r="M18" s="10" t="s">
        <v>11</v>
      </c>
      <c r="N18" s="10" t="s">
        <v>10</v>
      </c>
      <c r="O18" s="10" t="s">
        <v>11</v>
      </c>
      <c r="P18" s="10" t="s">
        <v>10</v>
      </c>
      <c r="Q18" s="10" t="s">
        <v>11</v>
      </c>
      <c r="R18" s="10" t="s">
        <v>10</v>
      </c>
      <c r="S18" s="10" t="s">
        <v>11</v>
      </c>
      <c r="T18" s="10" t="s">
        <v>10</v>
      </c>
      <c r="U18" s="10" t="s">
        <v>11</v>
      </c>
      <c r="V18" s="10" t="s">
        <v>10</v>
      </c>
      <c r="W18" s="10" t="s">
        <v>11</v>
      </c>
      <c r="X18" s="10" t="s">
        <v>10</v>
      </c>
      <c r="Y18" s="10" t="s">
        <v>11</v>
      </c>
    </row>
    <row r="19" spans="1:28" ht="18" customHeight="1" x14ac:dyDescent="0.25">
      <c r="A19" s="106" t="s">
        <v>41</v>
      </c>
      <c r="B19" s="107"/>
      <c r="C19" s="107"/>
      <c r="D19" s="107"/>
      <c r="E19" s="107"/>
      <c r="F19" s="107"/>
      <c r="G19" s="108"/>
      <c r="H19" s="57">
        <v>0</v>
      </c>
      <c r="I19" s="57">
        <v>0</v>
      </c>
      <c r="J19" s="57">
        <v>3</v>
      </c>
      <c r="K19" s="57">
        <v>8</v>
      </c>
      <c r="L19" s="57">
        <v>15</v>
      </c>
      <c r="M19" s="57">
        <v>21</v>
      </c>
      <c r="N19" s="57">
        <v>9</v>
      </c>
      <c r="O19" s="57">
        <v>15</v>
      </c>
      <c r="P19" s="57">
        <v>4</v>
      </c>
      <c r="Q19" s="57">
        <v>9</v>
      </c>
      <c r="R19" s="57">
        <v>2</v>
      </c>
      <c r="S19" s="57">
        <v>6</v>
      </c>
      <c r="T19" s="57">
        <v>7</v>
      </c>
      <c r="U19" s="57">
        <v>4</v>
      </c>
      <c r="V19" s="57">
        <v>6</v>
      </c>
      <c r="W19" s="57">
        <v>10</v>
      </c>
      <c r="X19" s="10">
        <v>46</v>
      </c>
      <c r="Y19" s="10">
        <v>73</v>
      </c>
    </row>
    <row r="20" spans="1:28" ht="18" customHeight="1" x14ac:dyDescent="0.25">
      <c r="A20" s="106" t="s">
        <v>42</v>
      </c>
      <c r="B20" s="107"/>
      <c r="C20" s="107"/>
      <c r="D20" s="107"/>
      <c r="E20" s="107"/>
      <c r="F20" s="107"/>
      <c r="G20" s="108"/>
      <c r="H20" s="57">
        <v>104</v>
      </c>
      <c r="I20" s="57">
        <v>106</v>
      </c>
      <c r="J20" s="57">
        <v>39</v>
      </c>
      <c r="K20" s="57">
        <v>31</v>
      </c>
      <c r="L20" s="57">
        <v>19</v>
      </c>
      <c r="M20" s="57">
        <v>18</v>
      </c>
      <c r="N20" s="57">
        <v>17</v>
      </c>
      <c r="O20" s="57">
        <v>18</v>
      </c>
      <c r="P20" s="57">
        <v>11</v>
      </c>
      <c r="Q20" s="57">
        <v>17</v>
      </c>
      <c r="R20" s="57">
        <v>9</v>
      </c>
      <c r="S20" s="57">
        <v>12</v>
      </c>
      <c r="T20" s="57">
        <v>4</v>
      </c>
      <c r="U20" s="57">
        <v>15</v>
      </c>
      <c r="V20" s="57">
        <v>16</v>
      </c>
      <c r="W20" s="57">
        <v>6</v>
      </c>
      <c r="X20" s="10">
        <v>219</v>
      </c>
      <c r="Y20" s="10">
        <v>223</v>
      </c>
    </row>
    <row r="21" spans="1:28" ht="18" customHeight="1" x14ac:dyDescent="0.25">
      <c r="A21" s="106" t="s">
        <v>43</v>
      </c>
      <c r="B21" s="107"/>
      <c r="C21" s="107"/>
      <c r="D21" s="107"/>
      <c r="E21" s="107"/>
      <c r="F21" s="107"/>
      <c r="G21" s="108"/>
      <c r="H21" s="57">
        <v>0</v>
      </c>
      <c r="I21" s="57">
        <v>0</v>
      </c>
      <c r="J21" s="57">
        <v>0</v>
      </c>
      <c r="K21" s="57">
        <v>1</v>
      </c>
      <c r="L21" s="57">
        <v>0</v>
      </c>
      <c r="M21" s="57">
        <v>0</v>
      </c>
      <c r="N21" s="57">
        <v>0</v>
      </c>
      <c r="O21" s="57">
        <v>0</v>
      </c>
      <c r="P21" s="57">
        <v>0</v>
      </c>
      <c r="Q21" s="57">
        <v>0</v>
      </c>
      <c r="R21" s="57">
        <v>0</v>
      </c>
      <c r="S21" s="57">
        <v>0</v>
      </c>
      <c r="T21" s="57">
        <v>0</v>
      </c>
      <c r="U21" s="57">
        <v>0</v>
      </c>
      <c r="V21" s="57">
        <v>0</v>
      </c>
      <c r="W21" s="57">
        <v>0</v>
      </c>
      <c r="X21" s="10">
        <v>0</v>
      </c>
      <c r="Y21" s="10">
        <v>1</v>
      </c>
    </row>
    <row r="22" spans="1:28" ht="18" customHeight="1" x14ac:dyDescent="0.25">
      <c r="A22" s="106" t="s">
        <v>44</v>
      </c>
      <c r="B22" s="107"/>
      <c r="C22" s="107"/>
      <c r="D22" s="107"/>
      <c r="E22" s="107"/>
      <c r="F22" s="107"/>
      <c r="G22" s="108"/>
      <c r="H22" s="57">
        <v>18</v>
      </c>
      <c r="I22" s="57">
        <v>17</v>
      </c>
      <c r="J22" s="57">
        <v>18</v>
      </c>
      <c r="K22" s="57">
        <v>10</v>
      </c>
      <c r="L22" s="57">
        <v>21</v>
      </c>
      <c r="M22" s="57">
        <v>13</v>
      </c>
      <c r="N22" s="57">
        <v>12</v>
      </c>
      <c r="O22" s="57">
        <v>15</v>
      </c>
      <c r="P22" s="57">
        <v>10</v>
      </c>
      <c r="Q22" s="57">
        <v>15</v>
      </c>
      <c r="R22" s="57">
        <v>6</v>
      </c>
      <c r="S22" s="57">
        <v>5</v>
      </c>
      <c r="T22" s="57">
        <v>3</v>
      </c>
      <c r="U22" s="57">
        <v>7</v>
      </c>
      <c r="V22" s="57">
        <v>15</v>
      </c>
      <c r="W22" s="57">
        <v>2</v>
      </c>
      <c r="X22" s="10">
        <v>103</v>
      </c>
      <c r="Y22" s="10">
        <v>84</v>
      </c>
    </row>
    <row r="23" spans="1:28" ht="18" customHeight="1" x14ac:dyDescent="0.25">
      <c r="A23" s="106" t="s">
        <v>7</v>
      </c>
      <c r="B23" s="107"/>
      <c r="C23" s="107"/>
      <c r="D23" s="107"/>
      <c r="E23" s="107"/>
      <c r="F23" s="107"/>
      <c r="G23" s="108"/>
      <c r="H23" s="10">
        <v>122</v>
      </c>
      <c r="I23" s="10">
        <v>123</v>
      </c>
      <c r="J23" s="10">
        <v>60</v>
      </c>
      <c r="K23" s="10">
        <v>50</v>
      </c>
      <c r="L23" s="10">
        <v>55</v>
      </c>
      <c r="M23" s="10">
        <v>52</v>
      </c>
      <c r="N23" s="10">
        <v>38</v>
      </c>
      <c r="O23" s="10">
        <v>48</v>
      </c>
      <c r="P23" s="10">
        <v>25</v>
      </c>
      <c r="Q23" s="10">
        <v>41</v>
      </c>
      <c r="R23" s="10">
        <v>17</v>
      </c>
      <c r="S23" s="10">
        <v>23</v>
      </c>
      <c r="T23" s="10">
        <v>14</v>
      </c>
      <c r="U23" s="10">
        <v>26</v>
      </c>
      <c r="V23" s="10">
        <v>37</v>
      </c>
      <c r="W23" s="10">
        <v>18</v>
      </c>
      <c r="X23" s="10">
        <v>368</v>
      </c>
      <c r="Y23" s="10">
        <v>381</v>
      </c>
    </row>
    <row r="24" spans="1:28" ht="6.75" customHeight="1" x14ac:dyDescent="0.25">
      <c r="A24" s="11"/>
      <c r="B24" s="12"/>
      <c r="C24" s="12"/>
      <c r="D24" s="12"/>
      <c r="E24" s="12"/>
      <c r="F24" s="13"/>
      <c r="G24" s="13"/>
      <c r="H24" s="13"/>
      <c r="I24" s="13"/>
      <c r="J24" s="13"/>
      <c r="K24" s="13"/>
      <c r="L24" s="14"/>
      <c r="M24" s="13"/>
      <c r="N24" s="15"/>
      <c r="O24" s="16"/>
      <c r="P24" s="13"/>
      <c r="Q24" s="13"/>
      <c r="R24" s="13"/>
      <c r="S24" s="13"/>
      <c r="T24" s="13"/>
      <c r="U24" s="13"/>
      <c r="V24" s="13"/>
      <c r="W24" s="13"/>
      <c r="X24" s="13"/>
      <c r="Y24" s="17"/>
    </row>
    <row r="25" spans="1:28" ht="18" customHeight="1" x14ac:dyDescent="0.3">
      <c r="A25" s="18" t="s">
        <v>47</v>
      </c>
      <c r="B25" s="19"/>
      <c r="C25" s="19"/>
      <c r="D25" s="19"/>
      <c r="E25" s="19"/>
      <c r="F25" s="19"/>
      <c r="G25" s="19"/>
      <c r="H25" s="19"/>
      <c r="I25" s="19"/>
      <c r="J25" s="19"/>
      <c r="K25" s="20"/>
      <c r="L25" s="21"/>
      <c r="M25" s="18" t="s">
        <v>48</v>
      </c>
      <c r="N25" s="19"/>
      <c r="O25" s="19"/>
      <c r="P25" s="19"/>
      <c r="Q25" s="22"/>
      <c r="R25" s="22"/>
      <c r="S25" s="22"/>
      <c r="T25" s="22"/>
      <c r="U25" s="22"/>
      <c r="V25" s="22"/>
      <c r="W25" s="22"/>
      <c r="X25" s="22"/>
      <c r="Y25" s="23"/>
    </row>
    <row r="26" spans="1:28" ht="57.75" customHeight="1" x14ac:dyDescent="0.25">
      <c r="A26" s="101" t="s">
        <v>49</v>
      </c>
      <c r="B26" s="101" t="s">
        <v>50</v>
      </c>
      <c r="C26" s="101" t="s">
        <v>51</v>
      </c>
      <c r="D26" s="77" t="s">
        <v>52</v>
      </c>
      <c r="E26" s="78"/>
      <c r="F26" s="77" t="s">
        <v>53</v>
      </c>
      <c r="G26" s="79"/>
      <c r="H26" s="79"/>
      <c r="I26" s="78"/>
      <c r="J26" s="101" t="s">
        <v>54</v>
      </c>
      <c r="K26" s="101" t="s">
        <v>55</v>
      </c>
      <c r="L26" s="24"/>
      <c r="M26" s="86" t="s">
        <v>56</v>
      </c>
      <c r="N26" s="88"/>
      <c r="O26" s="86" t="s">
        <v>57</v>
      </c>
      <c r="P26" s="88"/>
      <c r="Q26" s="86" t="s">
        <v>58</v>
      </c>
      <c r="R26" s="87"/>
      <c r="S26" s="87"/>
      <c r="T26" s="87"/>
      <c r="U26" s="87"/>
      <c r="V26" s="87"/>
      <c r="W26" s="87"/>
      <c r="X26" s="87"/>
      <c r="Y26" s="88"/>
    </row>
    <row r="27" spans="1:28" ht="38.25" customHeight="1" x14ac:dyDescent="0.25">
      <c r="A27" s="102"/>
      <c r="B27" s="102"/>
      <c r="C27" s="102"/>
      <c r="D27" s="25" t="s">
        <v>59</v>
      </c>
      <c r="E27" s="25" t="s">
        <v>60</v>
      </c>
      <c r="F27" s="26" t="s">
        <v>59</v>
      </c>
      <c r="G27" s="26" t="s">
        <v>60</v>
      </c>
      <c r="H27" s="26" t="s">
        <v>61</v>
      </c>
      <c r="I27" s="26" t="s">
        <v>62</v>
      </c>
      <c r="J27" s="102"/>
      <c r="K27" s="102"/>
      <c r="L27" s="24"/>
      <c r="M27" s="193">
        <v>0</v>
      </c>
      <c r="N27" s="92"/>
      <c r="O27" s="193">
        <v>0</v>
      </c>
      <c r="P27" s="92"/>
      <c r="Q27" s="194">
        <v>0</v>
      </c>
      <c r="R27" s="87"/>
      <c r="S27" s="87"/>
      <c r="T27" s="87"/>
      <c r="U27" s="87"/>
      <c r="V27" s="87"/>
      <c r="W27" s="87"/>
      <c r="X27" s="87"/>
      <c r="Y27" s="88"/>
    </row>
    <row r="28" spans="1:28" ht="38.25" customHeight="1" x14ac:dyDescent="0.25">
      <c r="A28" s="103">
        <v>179930</v>
      </c>
      <c r="B28" s="103">
        <v>3347</v>
      </c>
      <c r="C28" s="103"/>
      <c r="D28" s="103">
        <v>2762</v>
      </c>
      <c r="E28" s="164">
        <v>0</v>
      </c>
      <c r="F28" s="103">
        <v>105</v>
      </c>
      <c r="G28" s="164">
        <v>0</v>
      </c>
      <c r="H28" s="164">
        <v>0</v>
      </c>
      <c r="I28" s="164">
        <v>105</v>
      </c>
      <c r="J28" s="103">
        <v>107</v>
      </c>
      <c r="K28" s="103">
        <v>124</v>
      </c>
      <c r="L28" s="24"/>
      <c r="M28" s="91" t="s">
        <v>63</v>
      </c>
      <c r="N28" s="92"/>
      <c r="O28" s="91" t="s">
        <v>64</v>
      </c>
      <c r="P28" s="92"/>
      <c r="Q28" s="95" t="s">
        <v>65</v>
      </c>
      <c r="R28" s="99"/>
      <c r="S28" s="96"/>
      <c r="T28" s="95" t="s">
        <v>66</v>
      </c>
      <c r="U28" s="99"/>
      <c r="V28" s="99"/>
      <c r="W28" s="99"/>
      <c r="X28" s="99"/>
      <c r="Y28" s="96"/>
    </row>
    <row r="29" spans="1:28" ht="19.5" customHeight="1" x14ac:dyDescent="0.25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27"/>
      <c r="M29" s="91"/>
      <c r="N29" s="92"/>
      <c r="O29" s="91"/>
      <c r="P29" s="92"/>
      <c r="Q29" s="91"/>
      <c r="R29" s="97"/>
      <c r="S29" s="92"/>
      <c r="T29" s="28"/>
      <c r="U29" s="86" t="s">
        <v>0</v>
      </c>
      <c r="V29" s="88"/>
      <c r="W29" s="29" t="s">
        <v>1</v>
      </c>
      <c r="X29" s="86" t="s">
        <v>67</v>
      </c>
      <c r="Y29" s="88"/>
    </row>
    <row r="30" spans="1:28" ht="18" customHeight="1" x14ac:dyDescent="0.25">
      <c r="A30" s="189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27"/>
      <c r="M30" s="93"/>
      <c r="N30" s="94"/>
      <c r="O30" s="93"/>
      <c r="P30" s="94"/>
      <c r="Q30" s="93"/>
      <c r="R30" s="98"/>
      <c r="S30" s="94"/>
      <c r="T30" s="30" t="s">
        <v>68</v>
      </c>
      <c r="U30" s="100"/>
      <c r="V30" s="100"/>
      <c r="W30" s="29"/>
      <c r="X30" s="100"/>
      <c r="Y30" s="100"/>
    </row>
    <row r="31" spans="1:28" ht="18" customHeight="1" x14ac:dyDescent="0.25">
      <c r="A31" s="189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27"/>
      <c r="M31" s="93"/>
      <c r="N31" s="94"/>
      <c r="O31" s="93"/>
      <c r="P31" s="94"/>
      <c r="Q31" s="93"/>
      <c r="R31" s="98"/>
      <c r="S31" s="94"/>
      <c r="T31" s="30" t="s">
        <v>69</v>
      </c>
      <c r="U31" s="100"/>
      <c r="V31" s="100"/>
      <c r="W31" s="29"/>
      <c r="X31" s="100"/>
      <c r="Y31" s="100"/>
    </row>
    <row r="32" spans="1:28" ht="18" customHeight="1" x14ac:dyDescent="0.25">
      <c r="A32" s="165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27"/>
      <c r="M32" s="95"/>
      <c r="N32" s="96"/>
      <c r="O32" s="95"/>
      <c r="P32" s="96"/>
      <c r="Q32" s="95"/>
      <c r="R32" s="99"/>
      <c r="S32" s="96"/>
      <c r="T32" s="30" t="s">
        <v>70</v>
      </c>
      <c r="U32" s="100"/>
      <c r="V32" s="100"/>
      <c r="W32" s="29"/>
      <c r="X32" s="100"/>
      <c r="Y32" s="100"/>
    </row>
    <row r="33" spans="1:25" x14ac:dyDescent="0.2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3"/>
      <c r="M33" s="32"/>
      <c r="N33" s="32"/>
      <c r="O33" s="32"/>
      <c r="P33" s="32"/>
      <c r="Q33" s="32"/>
      <c r="R33" s="34"/>
      <c r="S33" s="34"/>
      <c r="T33" s="34"/>
      <c r="U33" s="34"/>
      <c r="V33" s="34"/>
      <c r="W33" s="32"/>
      <c r="X33" s="32"/>
      <c r="Y33" s="7"/>
    </row>
    <row r="34" spans="1:25" ht="15.6" x14ac:dyDescent="0.3">
      <c r="A34" s="18" t="s">
        <v>71</v>
      </c>
      <c r="B34" s="19"/>
      <c r="C34" s="19"/>
      <c r="D34" s="19"/>
      <c r="E34" s="19"/>
      <c r="F34" s="19"/>
      <c r="G34" s="19"/>
      <c r="H34" s="19"/>
      <c r="I34" s="19"/>
      <c r="J34" s="19"/>
      <c r="K34" s="20"/>
      <c r="L34" s="35"/>
      <c r="M34" s="18" t="s">
        <v>72</v>
      </c>
      <c r="N34" s="20"/>
      <c r="O34" s="36"/>
      <c r="P34" s="19"/>
      <c r="Q34" s="19"/>
      <c r="R34" s="19"/>
      <c r="S34" s="19"/>
      <c r="T34" s="19"/>
      <c r="U34" s="19"/>
      <c r="V34" s="19"/>
      <c r="W34" s="22"/>
      <c r="X34" s="22"/>
      <c r="Y34" s="37"/>
    </row>
    <row r="35" spans="1:25" ht="44.25" customHeight="1" x14ac:dyDescent="0.25">
      <c r="A35" s="71"/>
      <c r="B35" s="72"/>
      <c r="C35" s="72"/>
      <c r="D35" s="72"/>
      <c r="E35" s="73"/>
      <c r="F35" s="68" t="s">
        <v>12</v>
      </c>
      <c r="G35" s="70"/>
      <c r="H35" s="68" t="s">
        <v>13</v>
      </c>
      <c r="I35" s="70"/>
      <c r="J35" s="38" t="s">
        <v>73</v>
      </c>
      <c r="K35" s="39"/>
      <c r="L35" s="40"/>
      <c r="M35" s="77" t="s">
        <v>74</v>
      </c>
      <c r="N35" s="78"/>
      <c r="O35" s="77" t="s">
        <v>75</v>
      </c>
      <c r="P35" s="78"/>
      <c r="Q35" s="77" t="s">
        <v>76</v>
      </c>
      <c r="R35" s="78"/>
      <c r="S35" s="77" t="s">
        <v>77</v>
      </c>
      <c r="T35" s="79"/>
      <c r="U35" s="79"/>
      <c r="V35" s="78"/>
      <c r="W35" s="77" t="s">
        <v>78</v>
      </c>
      <c r="X35" s="79"/>
      <c r="Y35" s="78"/>
    </row>
    <row r="36" spans="1:25" ht="20.25" customHeight="1" x14ac:dyDescent="0.25">
      <c r="A36" s="74"/>
      <c r="B36" s="75"/>
      <c r="C36" s="75"/>
      <c r="D36" s="75"/>
      <c r="E36" s="76"/>
      <c r="F36" s="10" t="s">
        <v>79</v>
      </c>
      <c r="G36" s="10" t="s">
        <v>14</v>
      </c>
      <c r="H36" s="10" t="s">
        <v>79</v>
      </c>
      <c r="I36" s="10" t="s">
        <v>14</v>
      </c>
      <c r="J36" s="10" t="s">
        <v>79</v>
      </c>
      <c r="K36" s="10" t="s">
        <v>14</v>
      </c>
      <c r="L36" s="41"/>
      <c r="M36" s="42" t="s">
        <v>80</v>
      </c>
      <c r="N36" s="42" t="s">
        <v>81</v>
      </c>
      <c r="O36" s="42" t="s">
        <v>80</v>
      </c>
      <c r="P36" s="43" t="s">
        <v>81</v>
      </c>
      <c r="Q36" s="42" t="s">
        <v>80</v>
      </c>
      <c r="R36" s="42" t="s">
        <v>81</v>
      </c>
      <c r="S36" s="44"/>
      <c r="T36" s="42" t="s">
        <v>0</v>
      </c>
      <c r="U36" s="45" t="s">
        <v>1</v>
      </c>
      <c r="V36" s="46" t="s">
        <v>82</v>
      </c>
      <c r="W36" s="42" t="s">
        <v>0</v>
      </c>
      <c r="X36" s="45" t="s">
        <v>1</v>
      </c>
      <c r="Y36" s="46" t="s">
        <v>82</v>
      </c>
    </row>
    <row r="37" spans="1:25" ht="14.4" x14ac:dyDescent="0.3">
      <c r="A37" s="80" t="s">
        <v>83</v>
      </c>
      <c r="B37" s="81"/>
      <c r="C37" s="81"/>
      <c r="D37" s="81"/>
      <c r="E37" s="82"/>
      <c r="F37" s="29">
        <v>79</v>
      </c>
      <c r="G37" s="29">
        <v>1</v>
      </c>
      <c r="H37" s="29">
        <v>0</v>
      </c>
      <c r="I37" s="29">
        <v>0</v>
      </c>
      <c r="J37" s="29">
        <v>0</v>
      </c>
      <c r="K37" s="29">
        <v>0</v>
      </c>
      <c r="L37" s="41"/>
      <c r="M37" s="83">
        <v>0</v>
      </c>
      <c r="N37" s="83">
        <v>57</v>
      </c>
      <c r="O37" s="83">
        <v>47</v>
      </c>
      <c r="P37" s="83">
        <v>99</v>
      </c>
      <c r="Q37" s="83">
        <v>0</v>
      </c>
      <c r="R37" s="83">
        <v>0</v>
      </c>
      <c r="S37" s="47" t="s">
        <v>68</v>
      </c>
      <c r="T37" s="29"/>
      <c r="U37" s="29"/>
      <c r="V37" s="29">
        <v>2</v>
      </c>
      <c r="W37" s="29"/>
      <c r="X37" s="29"/>
      <c r="Y37" s="29"/>
    </row>
    <row r="38" spans="1:25" ht="14.4" x14ac:dyDescent="0.3">
      <c r="A38" s="80" t="s">
        <v>8</v>
      </c>
      <c r="B38" s="81"/>
      <c r="C38" s="81"/>
      <c r="D38" s="81"/>
      <c r="E38" s="82"/>
      <c r="F38" s="29">
        <v>2</v>
      </c>
      <c r="G38" s="29">
        <v>0</v>
      </c>
      <c r="H38" s="29">
        <v>0</v>
      </c>
      <c r="I38" s="29">
        <v>0</v>
      </c>
      <c r="J38" s="29">
        <v>0</v>
      </c>
      <c r="K38" s="29">
        <v>0</v>
      </c>
      <c r="L38" s="41"/>
      <c r="M38" s="84"/>
      <c r="N38" s="84"/>
      <c r="O38" s="84"/>
      <c r="P38" s="84"/>
      <c r="Q38" s="84"/>
      <c r="R38" s="84"/>
      <c r="S38" s="47" t="s">
        <v>69</v>
      </c>
      <c r="T38" s="29"/>
      <c r="U38" s="29"/>
      <c r="V38" s="29"/>
      <c r="W38" s="29"/>
      <c r="X38" s="29"/>
      <c r="Y38" s="29"/>
    </row>
    <row r="39" spans="1:25" ht="15" customHeight="1" x14ac:dyDescent="0.25">
      <c r="A39" s="86" t="s">
        <v>84</v>
      </c>
      <c r="B39" s="87"/>
      <c r="C39" s="87"/>
      <c r="D39" s="87"/>
      <c r="E39" s="88"/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41"/>
      <c r="M39" s="84"/>
      <c r="N39" s="84"/>
      <c r="O39" s="84"/>
      <c r="P39" s="84"/>
      <c r="Q39" s="84"/>
      <c r="R39" s="84"/>
      <c r="S39" s="89" t="s">
        <v>70</v>
      </c>
      <c r="T39" s="83"/>
      <c r="U39" s="83"/>
      <c r="V39" s="83"/>
      <c r="W39" s="83"/>
      <c r="X39" s="83"/>
      <c r="Y39" s="83"/>
    </row>
    <row r="40" spans="1:25" x14ac:dyDescent="0.25">
      <c r="A40" s="68" t="s">
        <v>7</v>
      </c>
      <c r="B40" s="69"/>
      <c r="C40" s="69"/>
      <c r="D40" s="69"/>
      <c r="E40" s="70"/>
      <c r="F40" s="10">
        <v>81</v>
      </c>
      <c r="G40" s="10">
        <v>1</v>
      </c>
      <c r="H40" s="10">
        <v>0</v>
      </c>
      <c r="I40" s="10">
        <v>0</v>
      </c>
      <c r="J40" s="10">
        <v>0</v>
      </c>
      <c r="K40" s="10">
        <v>0</v>
      </c>
      <c r="L40" s="41"/>
      <c r="M40" s="85"/>
      <c r="N40" s="85"/>
      <c r="O40" s="85"/>
      <c r="P40" s="85"/>
      <c r="Q40" s="85"/>
      <c r="R40" s="85"/>
      <c r="S40" s="90"/>
      <c r="T40" s="85"/>
      <c r="U40" s="85"/>
      <c r="V40" s="85"/>
      <c r="W40" s="85"/>
      <c r="X40" s="85"/>
      <c r="Y40" s="85"/>
    </row>
    <row r="41" spans="1:25" ht="23.4" x14ac:dyDescent="0.45">
      <c r="A41" s="120" t="s">
        <v>17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</row>
    <row r="42" spans="1:25" ht="23.4" x14ac:dyDescent="0.25">
      <c r="A42" s="111" t="s">
        <v>18</v>
      </c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"/>
      <c r="U42" s="112" t="s">
        <v>19</v>
      </c>
      <c r="V42" s="112"/>
      <c r="W42" s="1"/>
      <c r="X42" s="1"/>
      <c r="Y42" s="1"/>
    </row>
    <row r="43" spans="1:25" ht="26.25" customHeight="1" x14ac:dyDescent="0.25">
      <c r="A43" s="113" t="s">
        <v>20</v>
      </c>
      <c r="B43" s="113"/>
      <c r="C43" s="113"/>
      <c r="D43" s="113"/>
      <c r="E43" s="195" t="s">
        <v>89</v>
      </c>
      <c r="F43" s="195"/>
      <c r="G43" s="195"/>
      <c r="H43" s="116" t="s">
        <v>22</v>
      </c>
      <c r="I43" s="116"/>
      <c r="J43" s="115">
        <v>0</v>
      </c>
      <c r="K43" s="115"/>
      <c r="L43" s="116" t="s">
        <v>23</v>
      </c>
      <c r="M43" s="116"/>
      <c r="N43" s="188" t="s">
        <v>15</v>
      </c>
      <c r="O43" s="188"/>
      <c r="P43" s="188"/>
      <c r="Q43" s="118" t="s">
        <v>24</v>
      </c>
      <c r="R43" s="118"/>
      <c r="S43" s="118"/>
      <c r="T43" s="118"/>
      <c r="U43" s="119" t="s">
        <v>85</v>
      </c>
      <c r="V43" s="119"/>
      <c r="W43" s="119"/>
      <c r="X43" s="147" t="s">
        <v>93</v>
      </c>
      <c r="Y43" s="147"/>
    </row>
    <row r="44" spans="1:25" ht="15" customHeight="1" x14ac:dyDescent="0.25">
      <c r="Q44" s="118"/>
      <c r="R44" s="118"/>
      <c r="S44" s="118"/>
      <c r="T44" s="118"/>
      <c r="U44" s="119"/>
      <c r="V44" s="119"/>
      <c r="W44" s="119"/>
      <c r="X44" s="147"/>
      <c r="Y44" s="147"/>
    </row>
    <row r="45" spans="1:25" ht="15.75" customHeight="1" x14ac:dyDescent="0.3">
      <c r="A45" s="166" t="s">
        <v>26</v>
      </c>
      <c r="B45" s="166"/>
      <c r="C45" s="166"/>
      <c r="D45" s="166"/>
      <c r="E45" s="166"/>
      <c r="F45" s="166"/>
      <c r="G45" s="167" t="s">
        <v>27</v>
      </c>
      <c r="H45" s="167"/>
      <c r="I45" s="167"/>
      <c r="J45" s="167"/>
      <c r="K45" s="167"/>
      <c r="L45" s="167"/>
      <c r="M45" s="167"/>
      <c r="N45" s="2"/>
      <c r="Q45" s="168" t="s">
        <v>28</v>
      </c>
      <c r="R45" s="168"/>
      <c r="S45" s="168"/>
      <c r="T45" s="168"/>
      <c r="U45" s="168"/>
      <c r="V45" s="148" t="s">
        <v>29</v>
      </c>
      <c r="W45" s="148"/>
      <c r="X45" s="148"/>
      <c r="Y45" s="148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" customHeight="1" x14ac:dyDescent="0.25">
      <c r="A47" s="149" t="s">
        <v>31</v>
      </c>
      <c r="B47" s="150"/>
      <c r="C47" s="150"/>
      <c r="D47" s="150"/>
      <c r="E47" s="150"/>
      <c r="F47" s="150"/>
      <c r="G47" s="150"/>
      <c r="H47" s="150"/>
      <c r="I47" s="151"/>
      <c r="J47" s="152" t="s">
        <v>32</v>
      </c>
      <c r="K47" s="153"/>
      <c r="L47" s="152" t="s">
        <v>33</v>
      </c>
      <c r="M47" s="153"/>
      <c r="N47" s="91" t="s">
        <v>34</v>
      </c>
      <c r="O47" s="92"/>
      <c r="P47" s="152" t="s">
        <v>35</v>
      </c>
      <c r="Q47" s="153"/>
      <c r="R47" s="68" t="s">
        <v>36</v>
      </c>
      <c r="S47" s="69"/>
      <c r="T47" s="69"/>
      <c r="U47" s="69"/>
      <c r="V47" s="69"/>
      <c r="W47" s="70"/>
      <c r="X47" s="152" t="s">
        <v>7</v>
      </c>
      <c r="Y47" s="153"/>
    </row>
    <row r="48" spans="1:25" ht="15" customHeight="1" x14ac:dyDescent="0.25">
      <c r="A48" s="158" t="s">
        <v>37</v>
      </c>
      <c r="B48" s="159"/>
      <c r="C48" s="159"/>
      <c r="D48" s="159"/>
      <c r="E48" s="159"/>
      <c r="F48" s="159"/>
      <c r="G48" s="159"/>
      <c r="H48" s="159"/>
      <c r="I48" s="160"/>
      <c r="J48" s="154"/>
      <c r="K48" s="155"/>
      <c r="L48" s="154"/>
      <c r="M48" s="155"/>
      <c r="N48" s="93"/>
      <c r="O48" s="94"/>
      <c r="P48" s="154"/>
      <c r="Q48" s="155"/>
      <c r="R48" s="164" t="s">
        <v>38</v>
      </c>
      <c r="S48" s="164"/>
      <c r="T48" s="164" t="s">
        <v>39</v>
      </c>
      <c r="U48" s="164"/>
      <c r="V48" s="164" t="s">
        <v>40</v>
      </c>
      <c r="W48" s="164"/>
      <c r="X48" s="154"/>
      <c r="Y48" s="155"/>
    </row>
    <row r="49" spans="1:28" x14ac:dyDescent="0.25">
      <c r="A49" s="161"/>
      <c r="B49" s="162"/>
      <c r="C49" s="162"/>
      <c r="D49" s="162"/>
      <c r="E49" s="162"/>
      <c r="F49" s="162"/>
      <c r="G49" s="162"/>
      <c r="H49" s="162"/>
      <c r="I49" s="163"/>
      <c r="J49" s="156"/>
      <c r="K49" s="157"/>
      <c r="L49" s="156"/>
      <c r="M49" s="157"/>
      <c r="N49" s="95"/>
      <c r="O49" s="96"/>
      <c r="P49" s="156"/>
      <c r="Q49" s="157"/>
      <c r="R49" s="165"/>
      <c r="S49" s="165"/>
      <c r="T49" s="165"/>
      <c r="U49" s="165"/>
      <c r="V49" s="165"/>
      <c r="W49" s="165"/>
      <c r="X49" s="156"/>
      <c r="Y49" s="157"/>
    </row>
    <row r="50" spans="1:28" ht="18" customHeight="1" x14ac:dyDescent="0.3">
      <c r="A50" s="106" t="s">
        <v>41</v>
      </c>
      <c r="B50" s="107"/>
      <c r="C50" s="107"/>
      <c r="D50" s="107"/>
      <c r="E50" s="107"/>
      <c r="F50" s="107"/>
      <c r="G50" s="107"/>
      <c r="H50" s="107"/>
      <c r="I50" s="108"/>
      <c r="J50" s="170">
        <v>107</v>
      </c>
      <c r="K50" s="70"/>
      <c r="L50" s="170">
        <v>3</v>
      </c>
      <c r="M50" s="70"/>
      <c r="N50" s="170">
        <v>0</v>
      </c>
      <c r="O50" s="70"/>
      <c r="P50" s="68">
        <v>110</v>
      </c>
      <c r="Q50" s="70"/>
      <c r="R50" s="170">
        <v>0</v>
      </c>
      <c r="S50" s="70"/>
      <c r="T50" s="170">
        <v>0</v>
      </c>
      <c r="U50" s="70"/>
      <c r="V50" s="170">
        <v>0</v>
      </c>
      <c r="W50" s="70"/>
      <c r="X50" s="80">
        <v>110</v>
      </c>
      <c r="Y50" s="82"/>
    </row>
    <row r="51" spans="1:28" ht="18" customHeight="1" x14ac:dyDescent="0.3">
      <c r="A51" s="106" t="s">
        <v>42</v>
      </c>
      <c r="B51" s="107"/>
      <c r="C51" s="107"/>
      <c r="D51" s="107"/>
      <c r="E51" s="107"/>
      <c r="F51" s="107"/>
      <c r="G51" s="107"/>
      <c r="H51" s="107"/>
      <c r="I51" s="108"/>
      <c r="J51" s="170">
        <v>542</v>
      </c>
      <c r="K51" s="70"/>
      <c r="L51" s="170">
        <v>0</v>
      </c>
      <c r="M51" s="70"/>
      <c r="N51" s="170">
        <v>1</v>
      </c>
      <c r="O51" s="70"/>
      <c r="P51" s="68">
        <v>543</v>
      </c>
      <c r="Q51" s="70"/>
      <c r="R51" s="170">
        <v>0</v>
      </c>
      <c r="S51" s="70"/>
      <c r="T51" s="170">
        <v>0</v>
      </c>
      <c r="U51" s="70"/>
      <c r="V51" s="170">
        <v>1</v>
      </c>
      <c r="W51" s="70"/>
      <c r="X51" s="80">
        <v>544</v>
      </c>
      <c r="Y51" s="82"/>
    </row>
    <row r="52" spans="1:28" ht="18" customHeight="1" x14ac:dyDescent="0.3">
      <c r="A52" s="106" t="s">
        <v>43</v>
      </c>
      <c r="B52" s="107"/>
      <c r="C52" s="107"/>
      <c r="D52" s="107"/>
      <c r="E52" s="107"/>
      <c r="F52" s="107"/>
      <c r="G52" s="107"/>
      <c r="H52" s="107"/>
      <c r="I52" s="108"/>
      <c r="J52" s="170">
        <v>0</v>
      </c>
      <c r="K52" s="70"/>
      <c r="L52" s="170">
        <v>0</v>
      </c>
      <c r="M52" s="70"/>
      <c r="N52" s="170">
        <v>0</v>
      </c>
      <c r="O52" s="70"/>
      <c r="P52" s="68">
        <v>0</v>
      </c>
      <c r="Q52" s="70"/>
      <c r="R52" s="170">
        <v>0</v>
      </c>
      <c r="S52" s="70"/>
      <c r="T52" s="170">
        <v>0</v>
      </c>
      <c r="U52" s="70"/>
      <c r="V52" s="170">
        <v>0</v>
      </c>
      <c r="W52" s="70"/>
      <c r="X52" s="80">
        <v>0</v>
      </c>
      <c r="Y52" s="82"/>
    </row>
    <row r="53" spans="1:28" ht="18" customHeight="1" x14ac:dyDescent="0.3">
      <c r="A53" s="106" t="s">
        <v>44</v>
      </c>
      <c r="B53" s="107"/>
      <c r="C53" s="107"/>
      <c r="D53" s="107"/>
      <c r="E53" s="107"/>
      <c r="F53" s="107"/>
      <c r="G53" s="107"/>
      <c r="H53" s="107"/>
      <c r="I53" s="108"/>
      <c r="J53" s="170">
        <v>216</v>
      </c>
      <c r="K53" s="70"/>
      <c r="L53" s="170">
        <v>0</v>
      </c>
      <c r="M53" s="70"/>
      <c r="N53" s="170">
        <v>1</v>
      </c>
      <c r="O53" s="70"/>
      <c r="P53" s="68">
        <v>217</v>
      </c>
      <c r="Q53" s="70"/>
      <c r="R53" s="170">
        <v>0</v>
      </c>
      <c r="S53" s="70"/>
      <c r="T53" s="170">
        <v>0</v>
      </c>
      <c r="U53" s="70"/>
      <c r="V53" s="170">
        <v>0</v>
      </c>
      <c r="W53" s="70"/>
      <c r="X53" s="80">
        <v>217</v>
      </c>
      <c r="Y53" s="82"/>
    </row>
    <row r="54" spans="1:28" ht="18" customHeight="1" x14ac:dyDescent="0.3">
      <c r="A54" s="106" t="s">
        <v>7</v>
      </c>
      <c r="B54" s="107"/>
      <c r="C54" s="107"/>
      <c r="D54" s="107"/>
      <c r="E54" s="107"/>
      <c r="F54" s="107"/>
      <c r="G54" s="107"/>
      <c r="H54" s="107"/>
      <c r="I54" s="108"/>
      <c r="J54" s="68">
        <v>865</v>
      </c>
      <c r="K54" s="70"/>
      <c r="L54" s="68">
        <v>3</v>
      </c>
      <c r="M54" s="70"/>
      <c r="N54" s="68">
        <v>2</v>
      </c>
      <c r="O54" s="70"/>
      <c r="P54" s="68">
        <v>870</v>
      </c>
      <c r="Q54" s="70"/>
      <c r="R54" s="68">
        <v>0</v>
      </c>
      <c r="S54" s="70"/>
      <c r="T54" s="68">
        <v>0</v>
      </c>
      <c r="U54" s="70"/>
      <c r="V54" s="68">
        <v>1</v>
      </c>
      <c r="W54" s="70"/>
      <c r="X54" s="80">
        <v>871</v>
      </c>
      <c r="Y54" s="82"/>
    </row>
    <row r="55" spans="1:28" ht="15.6" x14ac:dyDescent="0.3">
      <c r="A55" s="4" t="s">
        <v>45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6"/>
      <c r="S55" s="6"/>
      <c r="T55" s="6"/>
      <c r="U55" s="6"/>
      <c r="V55" s="6"/>
      <c r="W55" s="6"/>
      <c r="X55" s="6"/>
      <c r="Y55" s="7"/>
    </row>
    <row r="56" spans="1:28" x14ac:dyDescent="0.25">
      <c r="A56" s="71"/>
      <c r="B56" s="72"/>
      <c r="C56" s="72"/>
      <c r="D56" s="72"/>
      <c r="E56" s="72"/>
      <c r="F56" s="72"/>
      <c r="G56" s="73"/>
      <c r="H56" s="68" t="s">
        <v>0</v>
      </c>
      <c r="I56" s="69"/>
      <c r="J56" s="136" t="s">
        <v>1</v>
      </c>
      <c r="K56" s="69"/>
      <c r="L56" s="134" t="s">
        <v>2</v>
      </c>
      <c r="M56" s="69"/>
      <c r="N56" s="134" t="s">
        <v>3</v>
      </c>
      <c r="O56" s="69"/>
      <c r="P56" s="134" t="s">
        <v>4</v>
      </c>
      <c r="Q56" s="135"/>
      <c r="R56" s="134" t="s">
        <v>5</v>
      </c>
      <c r="S56" s="69"/>
      <c r="T56" s="134" t="s">
        <v>6</v>
      </c>
      <c r="U56" s="69"/>
      <c r="V56" s="134" t="s">
        <v>46</v>
      </c>
      <c r="W56" s="69"/>
      <c r="X56" s="134" t="s">
        <v>7</v>
      </c>
      <c r="Y56" s="135"/>
      <c r="Z56" s="8"/>
      <c r="AA56" s="9"/>
      <c r="AB56" s="9"/>
    </row>
    <row r="57" spans="1:28" x14ac:dyDescent="0.25">
      <c r="A57" s="74"/>
      <c r="B57" s="75"/>
      <c r="C57" s="75"/>
      <c r="D57" s="75"/>
      <c r="E57" s="75"/>
      <c r="F57" s="75"/>
      <c r="G57" s="76"/>
      <c r="H57" s="10" t="s">
        <v>10</v>
      </c>
      <c r="I57" s="10" t="s">
        <v>11</v>
      </c>
      <c r="J57" s="10" t="s">
        <v>10</v>
      </c>
      <c r="K57" s="10" t="s">
        <v>11</v>
      </c>
      <c r="L57" s="10" t="s">
        <v>10</v>
      </c>
      <c r="M57" s="10" t="s">
        <v>11</v>
      </c>
      <c r="N57" s="10" t="s">
        <v>10</v>
      </c>
      <c r="O57" s="10" t="s">
        <v>11</v>
      </c>
      <c r="P57" s="10" t="s">
        <v>10</v>
      </c>
      <c r="Q57" s="10" t="s">
        <v>11</v>
      </c>
      <c r="R57" s="10" t="s">
        <v>10</v>
      </c>
      <c r="S57" s="10" t="s">
        <v>11</v>
      </c>
      <c r="T57" s="10" t="s">
        <v>10</v>
      </c>
      <c r="U57" s="10" t="s">
        <v>11</v>
      </c>
      <c r="V57" s="10" t="s">
        <v>10</v>
      </c>
      <c r="W57" s="10" t="s">
        <v>11</v>
      </c>
      <c r="X57" s="10" t="s">
        <v>10</v>
      </c>
      <c r="Y57" s="10" t="s">
        <v>11</v>
      </c>
    </row>
    <row r="58" spans="1:28" ht="18" customHeight="1" x14ac:dyDescent="0.25">
      <c r="A58" s="106" t="s">
        <v>41</v>
      </c>
      <c r="B58" s="107"/>
      <c r="C58" s="107"/>
      <c r="D58" s="107"/>
      <c r="E58" s="107"/>
      <c r="F58" s="107"/>
      <c r="G58" s="108"/>
      <c r="H58" s="57">
        <v>0</v>
      </c>
      <c r="I58" s="57">
        <v>0</v>
      </c>
      <c r="J58" s="57">
        <v>1</v>
      </c>
      <c r="K58" s="57">
        <v>1</v>
      </c>
      <c r="L58" s="57">
        <v>10</v>
      </c>
      <c r="M58" s="57">
        <v>11</v>
      </c>
      <c r="N58" s="57">
        <v>19</v>
      </c>
      <c r="O58" s="57">
        <v>18</v>
      </c>
      <c r="P58" s="57">
        <v>13</v>
      </c>
      <c r="Q58" s="57">
        <v>6</v>
      </c>
      <c r="R58" s="57">
        <v>9</v>
      </c>
      <c r="S58" s="57">
        <v>6</v>
      </c>
      <c r="T58" s="57">
        <v>2</v>
      </c>
      <c r="U58" s="57">
        <v>1</v>
      </c>
      <c r="V58" s="57">
        <v>11</v>
      </c>
      <c r="W58" s="57">
        <v>2</v>
      </c>
      <c r="X58" s="10">
        <v>65</v>
      </c>
      <c r="Y58" s="10">
        <v>45</v>
      </c>
    </row>
    <row r="59" spans="1:28" ht="18" customHeight="1" x14ac:dyDescent="0.25">
      <c r="A59" s="106" t="s">
        <v>42</v>
      </c>
      <c r="B59" s="107"/>
      <c r="C59" s="107"/>
      <c r="D59" s="107"/>
      <c r="E59" s="107"/>
      <c r="F59" s="107"/>
      <c r="G59" s="108"/>
      <c r="H59" s="57">
        <v>138</v>
      </c>
      <c r="I59" s="57">
        <v>104</v>
      </c>
      <c r="J59" s="57">
        <v>40</v>
      </c>
      <c r="K59" s="57">
        <v>41</v>
      </c>
      <c r="L59" s="57">
        <v>24</v>
      </c>
      <c r="M59" s="57">
        <v>36</v>
      </c>
      <c r="N59" s="57">
        <v>16</v>
      </c>
      <c r="O59" s="57">
        <v>22</v>
      </c>
      <c r="P59" s="57">
        <v>20</v>
      </c>
      <c r="Q59" s="57">
        <v>17</v>
      </c>
      <c r="R59" s="57">
        <v>13</v>
      </c>
      <c r="S59" s="57">
        <v>13</v>
      </c>
      <c r="T59" s="57">
        <v>7</v>
      </c>
      <c r="U59" s="57">
        <v>20</v>
      </c>
      <c r="V59" s="57">
        <v>24</v>
      </c>
      <c r="W59" s="57">
        <v>8</v>
      </c>
      <c r="X59" s="10">
        <v>282</v>
      </c>
      <c r="Y59" s="10">
        <v>261</v>
      </c>
    </row>
    <row r="60" spans="1:28" ht="18" customHeight="1" x14ac:dyDescent="0.25">
      <c r="A60" s="106" t="s">
        <v>43</v>
      </c>
      <c r="B60" s="107"/>
      <c r="C60" s="107"/>
      <c r="D60" s="107"/>
      <c r="E60" s="107"/>
      <c r="F60" s="107"/>
      <c r="G60" s="108"/>
      <c r="H60" s="57">
        <v>0</v>
      </c>
      <c r="I60" s="57">
        <v>0</v>
      </c>
      <c r="J60" s="57">
        <v>0</v>
      </c>
      <c r="K60" s="57">
        <v>0</v>
      </c>
      <c r="L60" s="57">
        <v>0</v>
      </c>
      <c r="M60" s="57">
        <v>0</v>
      </c>
      <c r="N60" s="57">
        <v>0</v>
      </c>
      <c r="O60" s="57">
        <v>0</v>
      </c>
      <c r="P60" s="57">
        <v>0</v>
      </c>
      <c r="Q60" s="57">
        <v>0</v>
      </c>
      <c r="R60" s="57">
        <v>0</v>
      </c>
      <c r="S60" s="57">
        <v>0</v>
      </c>
      <c r="T60" s="57">
        <v>0</v>
      </c>
      <c r="U60" s="57">
        <v>0</v>
      </c>
      <c r="V60" s="57">
        <v>0</v>
      </c>
      <c r="W60" s="57">
        <v>0</v>
      </c>
      <c r="X60" s="10">
        <v>0</v>
      </c>
      <c r="Y60" s="10">
        <v>0</v>
      </c>
    </row>
    <row r="61" spans="1:28" ht="18" customHeight="1" x14ac:dyDescent="0.25">
      <c r="A61" s="106" t="s">
        <v>44</v>
      </c>
      <c r="B61" s="107"/>
      <c r="C61" s="107"/>
      <c r="D61" s="107"/>
      <c r="E61" s="107"/>
      <c r="F61" s="107"/>
      <c r="G61" s="108"/>
      <c r="H61" s="57">
        <v>27</v>
      </c>
      <c r="I61" s="57">
        <v>12</v>
      </c>
      <c r="J61" s="57">
        <v>17</v>
      </c>
      <c r="K61" s="57">
        <v>17</v>
      </c>
      <c r="L61" s="57">
        <v>26</v>
      </c>
      <c r="M61" s="57">
        <v>24</v>
      </c>
      <c r="N61" s="57">
        <v>16</v>
      </c>
      <c r="O61" s="57">
        <v>16</v>
      </c>
      <c r="P61" s="57">
        <v>16</v>
      </c>
      <c r="Q61" s="57">
        <v>9</v>
      </c>
      <c r="R61" s="57">
        <v>8</v>
      </c>
      <c r="S61" s="57">
        <v>3</v>
      </c>
      <c r="T61" s="57">
        <v>9</v>
      </c>
      <c r="U61" s="57">
        <v>7</v>
      </c>
      <c r="V61" s="57">
        <v>7</v>
      </c>
      <c r="W61" s="57">
        <v>3</v>
      </c>
      <c r="X61" s="10">
        <v>126</v>
      </c>
      <c r="Y61" s="10">
        <v>91</v>
      </c>
    </row>
    <row r="62" spans="1:28" ht="18" customHeight="1" x14ac:dyDescent="0.25">
      <c r="A62" s="106" t="s">
        <v>7</v>
      </c>
      <c r="B62" s="107"/>
      <c r="C62" s="107"/>
      <c r="D62" s="107"/>
      <c r="E62" s="107"/>
      <c r="F62" s="107"/>
      <c r="G62" s="108"/>
      <c r="H62" s="10">
        <v>165</v>
      </c>
      <c r="I62" s="10">
        <v>116</v>
      </c>
      <c r="J62" s="10">
        <v>58</v>
      </c>
      <c r="K62" s="10">
        <v>59</v>
      </c>
      <c r="L62" s="10">
        <v>60</v>
      </c>
      <c r="M62" s="10">
        <v>71</v>
      </c>
      <c r="N62" s="10">
        <v>51</v>
      </c>
      <c r="O62" s="10">
        <v>56</v>
      </c>
      <c r="P62" s="10">
        <v>49</v>
      </c>
      <c r="Q62" s="10">
        <v>32</v>
      </c>
      <c r="R62" s="10">
        <v>30</v>
      </c>
      <c r="S62" s="10">
        <v>22</v>
      </c>
      <c r="T62" s="10">
        <v>18</v>
      </c>
      <c r="U62" s="10">
        <v>28</v>
      </c>
      <c r="V62" s="10">
        <v>42</v>
      </c>
      <c r="W62" s="10">
        <v>13</v>
      </c>
      <c r="X62" s="10">
        <v>473</v>
      </c>
      <c r="Y62" s="10">
        <v>397</v>
      </c>
    </row>
    <row r="63" spans="1:28" ht="6.75" customHeight="1" x14ac:dyDescent="0.25">
      <c r="A63" s="11"/>
      <c r="B63" s="12"/>
      <c r="C63" s="12"/>
      <c r="D63" s="12"/>
      <c r="E63" s="12"/>
      <c r="F63" s="13"/>
      <c r="G63" s="13"/>
      <c r="H63" s="13"/>
      <c r="I63" s="13"/>
      <c r="J63" s="13"/>
      <c r="K63" s="13"/>
      <c r="L63" s="14"/>
      <c r="M63" s="13"/>
      <c r="N63" s="15"/>
      <c r="O63" s="16"/>
      <c r="P63" s="13"/>
      <c r="Q63" s="13"/>
      <c r="R63" s="13"/>
      <c r="S63" s="13"/>
      <c r="T63" s="13"/>
      <c r="U63" s="13"/>
      <c r="V63" s="13"/>
      <c r="W63" s="13"/>
      <c r="X63" s="13"/>
      <c r="Y63" s="17"/>
    </row>
    <row r="64" spans="1:28" ht="18" customHeight="1" x14ac:dyDescent="0.3">
      <c r="A64" s="18" t="s">
        <v>47</v>
      </c>
      <c r="B64" s="19"/>
      <c r="C64" s="19"/>
      <c r="D64" s="19"/>
      <c r="E64" s="19"/>
      <c r="F64" s="19"/>
      <c r="G64" s="19"/>
      <c r="H64" s="19"/>
      <c r="I64" s="19"/>
      <c r="J64" s="19"/>
      <c r="K64" s="20"/>
      <c r="L64" s="21"/>
      <c r="M64" s="18" t="s">
        <v>48</v>
      </c>
      <c r="N64" s="19"/>
      <c r="O64" s="19"/>
      <c r="P64" s="19"/>
      <c r="Q64" s="22"/>
      <c r="R64" s="22"/>
      <c r="S64" s="22"/>
      <c r="T64" s="22"/>
      <c r="U64" s="22"/>
      <c r="V64" s="22"/>
      <c r="W64" s="22"/>
      <c r="X64" s="22"/>
      <c r="Y64" s="23"/>
    </row>
    <row r="65" spans="1:25" ht="46.5" customHeight="1" x14ac:dyDescent="0.25">
      <c r="A65" s="101" t="s">
        <v>49</v>
      </c>
      <c r="B65" s="101" t="s">
        <v>50</v>
      </c>
      <c r="C65" s="101" t="s">
        <v>51</v>
      </c>
      <c r="D65" s="77" t="s">
        <v>52</v>
      </c>
      <c r="E65" s="78"/>
      <c r="F65" s="77" t="s">
        <v>53</v>
      </c>
      <c r="G65" s="79"/>
      <c r="H65" s="79"/>
      <c r="I65" s="78"/>
      <c r="J65" s="101" t="s">
        <v>54</v>
      </c>
      <c r="K65" s="101" t="s">
        <v>55</v>
      </c>
      <c r="L65" s="24"/>
      <c r="M65" s="86" t="s">
        <v>56</v>
      </c>
      <c r="N65" s="88"/>
      <c r="O65" s="86" t="s">
        <v>57</v>
      </c>
      <c r="P65" s="88"/>
      <c r="Q65" s="86" t="s">
        <v>58</v>
      </c>
      <c r="R65" s="87"/>
      <c r="S65" s="87"/>
      <c r="T65" s="87"/>
      <c r="U65" s="87"/>
      <c r="V65" s="87"/>
      <c r="W65" s="87"/>
      <c r="X65" s="87"/>
      <c r="Y65" s="88"/>
    </row>
    <row r="66" spans="1:25" ht="27.75" customHeight="1" x14ac:dyDescent="0.25">
      <c r="A66" s="102"/>
      <c r="B66" s="102"/>
      <c r="C66" s="102"/>
      <c r="D66" s="25" t="s">
        <v>59</v>
      </c>
      <c r="E66" s="25" t="s">
        <v>60</v>
      </c>
      <c r="F66" s="26" t="s">
        <v>59</v>
      </c>
      <c r="G66" s="26" t="s">
        <v>60</v>
      </c>
      <c r="H66" s="26" t="s">
        <v>61</v>
      </c>
      <c r="I66" s="26" t="s">
        <v>62</v>
      </c>
      <c r="J66" s="102"/>
      <c r="K66" s="102"/>
      <c r="L66" s="24"/>
      <c r="M66" s="193">
        <v>0</v>
      </c>
      <c r="N66" s="92"/>
      <c r="O66" s="193">
        <v>0</v>
      </c>
      <c r="P66" s="92"/>
      <c r="Q66" s="194">
        <v>0</v>
      </c>
      <c r="R66" s="87"/>
      <c r="S66" s="87"/>
      <c r="T66" s="87"/>
      <c r="U66" s="87"/>
      <c r="V66" s="87"/>
      <c r="W66" s="87"/>
      <c r="X66" s="87"/>
      <c r="Y66" s="88"/>
    </row>
    <row r="67" spans="1:25" ht="42.75" customHeight="1" x14ac:dyDescent="0.25">
      <c r="A67" s="103">
        <v>224618</v>
      </c>
      <c r="B67" s="103">
        <v>2520</v>
      </c>
      <c r="C67" s="103"/>
      <c r="D67" s="103">
        <v>2239</v>
      </c>
      <c r="E67" s="164"/>
      <c r="F67" s="103">
        <v>98</v>
      </c>
      <c r="G67" s="164">
        <v>0</v>
      </c>
      <c r="H67" s="164">
        <v>0</v>
      </c>
      <c r="I67" s="164">
        <v>98</v>
      </c>
      <c r="J67" s="103">
        <v>102</v>
      </c>
      <c r="K67" s="103">
        <v>221</v>
      </c>
      <c r="L67" s="24"/>
      <c r="M67" s="91" t="s">
        <v>63</v>
      </c>
      <c r="N67" s="92"/>
      <c r="O67" s="91" t="s">
        <v>64</v>
      </c>
      <c r="P67" s="92"/>
      <c r="Q67" s="95" t="s">
        <v>65</v>
      </c>
      <c r="R67" s="99"/>
      <c r="S67" s="96"/>
      <c r="T67" s="95" t="s">
        <v>66</v>
      </c>
      <c r="U67" s="99"/>
      <c r="V67" s="99"/>
      <c r="W67" s="99"/>
      <c r="X67" s="99"/>
      <c r="Y67" s="96"/>
    </row>
    <row r="68" spans="1:25" ht="15" customHeight="1" x14ac:dyDescent="0.25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27"/>
      <c r="M68" s="91"/>
      <c r="N68" s="92"/>
      <c r="O68" s="91"/>
      <c r="P68" s="92"/>
      <c r="Q68" s="91"/>
      <c r="R68" s="97"/>
      <c r="S68" s="92"/>
      <c r="T68" s="28"/>
      <c r="U68" s="86" t="s">
        <v>0</v>
      </c>
      <c r="V68" s="88"/>
      <c r="W68" s="29" t="s">
        <v>1</v>
      </c>
      <c r="X68" s="86" t="s">
        <v>67</v>
      </c>
      <c r="Y68" s="88"/>
    </row>
    <row r="69" spans="1:25" x14ac:dyDescent="0.25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27"/>
      <c r="M69" s="93"/>
      <c r="N69" s="94"/>
      <c r="O69" s="93"/>
      <c r="P69" s="94"/>
      <c r="Q69" s="93"/>
      <c r="R69" s="98"/>
      <c r="S69" s="94"/>
      <c r="T69" s="30" t="s">
        <v>68</v>
      </c>
      <c r="U69" s="100"/>
      <c r="V69" s="100"/>
      <c r="W69" s="29"/>
      <c r="X69" s="100"/>
      <c r="Y69" s="100"/>
    </row>
    <row r="70" spans="1:25" x14ac:dyDescent="0.25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27"/>
      <c r="M70" s="93"/>
      <c r="N70" s="94"/>
      <c r="O70" s="93"/>
      <c r="P70" s="94"/>
      <c r="Q70" s="93"/>
      <c r="R70" s="98"/>
      <c r="S70" s="94"/>
      <c r="T70" s="30" t="s">
        <v>69</v>
      </c>
      <c r="U70" s="100"/>
      <c r="V70" s="100"/>
      <c r="W70" s="29"/>
      <c r="X70" s="100"/>
      <c r="Y70" s="100"/>
    </row>
    <row r="71" spans="1:25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27"/>
      <c r="M71" s="95"/>
      <c r="N71" s="96"/>
      <c r="O71" s="95"/>
      <c r="P71" s="96"/>
      <c r="Q71" s="95"/>
      <c r="R71" s="99"/>
      <c r="S71" s="96"/>
      <c r="T71" s="30" t="s">
        <v>70</v>
      </c>
      <c r="U71" s="100"/>
      <c r="V71" s="100"/>
      <c r="W71" s="29"/>
      <c r="X71" s="100"/>
      <c r="Y71" s="100"/>
    </row>
    <row r="72" spans="1:25" x14ac:dyDescent="0.25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3"/>
      <c r="M72" s="32"/>
      <c r="N72" s="32"/>
      <c r="O72" s="32"/>
      <c r="P72" s="32"/>
      <c r="Q72" s="32"/>
      <c r="R72" s="34"/>
      <c r="S72" s="34"/>
      <c r="T72" s="34"/>
      <c r="U72" s="34"/>
      <c r="V72" s="34"/>
      <c r="W72" s="32"/>
      <c r="X72" s="32"/>
      <c r="Y72" s="7"/>
    </row>
    <row r="73" spans="1:25" ht="15.6" x14ac:dyDescent="0.3">
      <c r="A73" s="18" t="s">
        <v>71</v>
      </c>
      <c r="B73" s="19"/>
      <c r="C73" s="19"/>
      <c r="D73" s="19"/>
      <c r="E73" s="19"/>
      <c r="F73" s="19"/>
      <c r="G73" s="19"/>
      <c r="H73" s="19"/>
      <c r="I73" s="19"/>
      <c r="J73" s="19"/>
      <c r="K73" s="20"/>
      <c r="L73" s="35"/>
      <c r="M73" s="18" t="s">
        <v>72</v>
      </c>
      <c r="N73" s="20"/>
      <c r="O73" s="36"/>
      <c r="P73" s="19"/>
      <c r="Q73" s="19"/>
      <c r="R73" s="19"/>
      <c r="S73" s="19"/>
      <c r="T73" s="19"/>
      <c r="U73" s="19"/>
      <c r="V73" s="19"/>
      <c r="W73" s="22"/>
      <c r="X73" s="22"/>
      <c r="Y73" s="37"/>
    </row>
    <row r="74" spans="1:25" ht="35.25" customHeight="1" x14ac:dyDescent="0.25">
      <c r="A74" s="71"/>
      <c r="B74" s="72"/>
      <c r="C74" s="72"/>
      <c r="D74" s="72"/>
      <c r="E74" s="73"/>
      <c r="F74" s="68" t="s">
        <v>12</v>
      </c>
      <c r="G74" s="70"/>
      <c r="H74" s="68" t="s">
        <v>13</v>
      </c>
      <c r="I74" s="70"/>
      <c r="J74" s="38" t="s">
        <v>73</v>
      </c>
      <c r="K74" s="39"/>
      <c r="L74" s="40"/>
      <c r="M74" s="77" t="s">
        <v>74</v>
      </c>
      <c r="N74" s="78"/>
      <c r="O74" s="77" t="s">
        <v>75</v>
      </c>
      <c r="P74" s="78"/>
      <c r="Q74" s="77" t="s">
        <v>76</v>
      </c>
      <c r="R74" s="78"/>
      <c r="S74" s="77" t="s">
        <v>77</v>
      </c>
      <c r="T74" s="79"/>
      <c r="U74" s="79"/>
      <c r="V74" s="78"/>
      <c r="W74" s="77" t="s">
        <v>78</v>
      </c>
      <c r="X74" s="79"/>
      <c r="Y74" s="78"/>
    </row>
    <row r="75" spans="1:25" ht="17.25" customHeight="1" x14ac:dyDescent="0.25">
      <c r="A75" s="74"/>
      <c r="B75" s="75"/>
      <c r="C75" s="75"/>
      <c r="D75" s="75"/>
      <c r="E75" s="76"/>
      <c r="F75" s="10" t="s">
        <v>79</v>
      </c>
      <c r="G75" s="10" t="s">
        <v>14</v>
      </c>
      <c r="H75" s="10" t="s">
        <v>79</v>
      </c>
      <c r="I75" s="10" t="s">
        <v>14</v>
      </c>
      <c r="J75" s="10" t="s">
        <v>79</v>
      </c>
      <c r="K75" s="10" t="s">
        <v>14</v>
      </c>
      <c r="L75" s="41"/>
      <c r="M75" s="42" t="s">
        <v>80</v>
      </c>
      <c r="N75" s="42" t="s">
        <v>81</v>
      </c>
      <c r="O75" s="42" t="s">
        <v>80</v>
      </c>
      <c r="P75" s="43" t="s">
        <v>81</v>
      </c>
      <c r="Q75" s="42" t="s">
        <v>80</v>
      </c>
      <c r="R75" s="42" t="s">
        <v>81</v>
      </c>
      <c r="S75" s="44"/>
      <c r="T75" s="42" t="s">
        <v>0</v>
      </c>
      <c r="U75" s="45" t="s">
        <v>1</v>
      </c>
      <c r="V75" s="46" t="s">
        <v>82</v>
      </c>
      <c r="W75" s="42" t="s">
        <v>0</v>
      </c>
      <c r="X75" s="45" t="s">
        <v>1</v>
      </c>
      <c r="Y75" s="46" t="s">
        <v>82</v>
      </c>
    </row>
    <row r="76" spans="1:25" ht="14.4" x14ac:dyDescent="0.3">
      <c r="A76" s="80" t="s">
        <v>83</v>
      </c>
      <c r="B76" s="81"/>
      <c r="C76" s="81"/>
      <c r="D76" s="81"/>
      <c r="E76" s="82"/>
      <c r="F76" s="29">
        <v>65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41"/>
      <c r="M76" s="83"/>
      <c r="N76" s="83">
        <v>98</v>
      </c>
      <c r="O76" s="83">
        <v>59</v>
      </c>
      <c r="P76" s="83">
        <v>211</v>
      </c>
      <c r="Q76" s="83">
        <v>1</v>
      </c>
      <c r="R76" s="83">
        <v>6</v>
      </c>
      <c r="S76" s="47" t="s">
        <v>68</v>
      </c>
      <c r="T76" s="29">
        <v>0</v>
      </c>
      <c r="U76" s="29"/>
      <c r="V76" s="29">
        <v>0</v>
      </c>
      <c r="W76" s="29"/>
      <c r="X76" s="29"/>
      <c r="Y76" s="29"/>
    </row>
    <row r="77" spans="1:25" ht="14.4" x14ac:dyDescent="0.3">
      <c r="A77" s="80" t="s">
        <v>8</v>
      </c>
      <c r="B77" s="81"/>
      <c r="C77" s="81"/>
      <c r="D77" s="81"/>
      <c r="E77" s="82"/>
      <c r="F77" s="29">
        <v>2</v>
      </c>
      <c r="G77" s="29">
        <v>0</v>
      </c>
      <c r="H77" s="29">
        <v>0</v>
      </c>
      <c r="I77" s="29">
        <v>0</v>
      </c>
      <c r="J77" s="29">
        <v>0</v>
      </c>
      <c r="K77" s="29">
        <v>0</v>
      </c>
      <c r="L77" s="41"/>
      <c r="M77" s="84"/>
      <c r="N77" s="84"/>
      <c r="O77" s="84"/>
      <c r="P77" s="84"/>
      <c r="Q77" s="84"/>
      <c r="R77" s="84"/>
      <c r="S77" s="47" t="s">
        <v>69</v>
      </c>
      <c r="T77" s="29"/>
      <c r="U77" s="29"/>
      <c r="V77" s="29"/>
      <c r="W77" s="29"/>
      <c r="X77" s="29"/>
      <c r="Y77" s="29"/>
    </row>
    <row r="78" spans="1:25" ht="15" customHeight="1" x14ac:dyDescent="0.25">
      <c r="A78" s="86" t="s">
        <v>84</v>
      </c>
      <c r="B78" s="87"/>
      <c r="C78" s="87"/>
      <c r="D78" s="87"/>
      <c r="E78" s="88"/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0</v>
      </c>
      <c r="L78" s="41"/>
      <c r="M78" s="84"/>
      <c r="N78" s="84"/>
      <c r="O78" s="84"/>
      <c r="P78" s="84"/>
      <c r="Q78" s="84"/>
      <c r="R78" s="84"/>
      <c r="S78" s="89" t="s">
        <v>70</v>
      </c>
      <c r="T78" s="83"/>
      <c r="U78" s="83"/>
      <c r="V78" s="83"/>
      <c r="W78" s="83"/>
      <c r="X78" s="83"/>
      <c r="Y78" s="83"/>
    </row>
    <row r="79" spans="1:25" x14ac:dyDescent="0.25">
      <c r="A79" s="68" t="s">
        <v>7</v>
      </c>
      <c r="B79" s="69"/>
      <c r="C79" s="69"/>
      <c r="D79" s="69"/>
      <c r="E79" s="70"/>
      <c r="F79" s="10">
        <v>67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41"/>
      <c r="M79" s="85"/>
      <c r="N79" s="85"/>
      <c r="O79" s="85"/>
      <c r="P79" s="85"/>
      <c r="Q79" s="85"/>
      <c r="R79" s="85"/>
      <c r="S79" s="90"/>
      <c r="T79" s="85"/>
      <c r="U79" s="85"/>
      <c r="V79" s="85"/>
      <c r="W79" s="85"/>
      <c r="X79" s="85"/>
      <c r="Y79" s="85"/>
    </row>
    <row r="80" spans="1:25" ht="23.4" x14ac:dyDescent="0.45">
      <c r="A80" s="120" t="s">
        <v>17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</row>
    <row r="81" spans="1:28" ht="23.4" x14ac:dyDescent="0.25">
      <c r="A81" s="111" t="s">
        <v>18</v>
      </c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"/>
      <c r="U81" s="112" t="s">
        <v>19</v>
      </c>
      <c r="V81" s="112"/>
      <c r="W81" s="1"/>
      <c r="X81" s="1"/>
      <c r="Y81" s="1"/>
    </row>
    <row r="82" spans="1:28" ht="32.25" customHeight="1" x14ac:dyDescent="0.25">
      <c r="A82" s="113" t="s">
        <v>20</v>
      </c>
      <c r="B82" s="113"/>
      <c r="C82" s="113"/>
      <c r="D82" s="113"/>
      <c r="E82" s="196" t="s">
        <v>89</v>
      </c>
      <c r="F82" s="196"/>
      <c r="G82" s="196"/>
      <c r="H82" s="116" t="s">
        <v>22</v>
      </c>
      <c r="I82" s="116"/>
      <c r="J82" s="115">
        <v>0</v>
      </c>
      <c r="K82" s="115"/>
      <c r="L82" s="116" t="s">
        <v>23</v>
      </c>
      <c r="M82" s="116"/>
      <c r="N82" s="188" t="s">
        <v>15</v>
      </c>
      <c r="O82" s="188"/>
      <c r="P82" s="188"/>
      <c r="Q82" s="118" t="s">
        <v>24</v>
      </c>
      <c r="R82" s="118"/>
      <c r="S82" s="118"/>
      <c r="T82" s="118"/>
      <c r="U82" s="119" t="s">
        <v>86</v>
      </c>
      <c r="V82" s="119"/>
      <c r="W82" s="119"/>
      <c r="X82" s="147" t="s">
        <v>93</v>
      </c>
      <c r="Y82" s="147"/>
    </row>
    <row r="83" spans="1:28" ht="15" customHeight="1" x14ac:dyDescent="0.25">
      <c r="Q83" s="118"/>
      <c r="R83" s="118"/>
      <c r="S83" s="118"/>
      <c r="T83" s="118"/>
      <c r="U83" s="119"/>
      <c r="V83" s="119"/>
      <c r="W83" s="119"/>
      <c r="X83" s="147"/>
      <c r="Y83" s="147"/>
    </row>
    <row r="84" spans="1:28" ht="15.75" customHeight="1" x14ac:dyDescent="0.3">
      <c r="A84" s="166" t="s">
        <v>26</v>
      </c>
      <c r="B84" s="166"/>
      <c r="C84" s="166"/>
      <c r="D84" s="166"/>
      <c r="E84" s="166"/>
      <c r="F84" s="166"/>
      <c r="G84" s="167" t="s">
        <v>27</v>
      </c>
      <c r="H84" s="167"/>
      <c r="I84" s="167"/>
      <c r="J84" s="167"/>
      <c r="K84" s="167"/>
      <c r="L84" s="167"/>
      <c r="M84" s="167"/>
      <c r="N84" s="2"/>
      <c r="Q84" s="168" t="s">
        <v>28</v>
      </c>
      <c r="R84" s="168"/>
      <c r="S84" s="168"/>
      <c r="T84" s="168"/>
      <c r="U84" s="168"/>
      <c r="V84" s="148" t="s">
        <v>29</v>
      </c>
      <c r="W84" s="148"/>
      <c r="X84" s="148"/>
      <c r="Y84" s="148"/>
    </row>
    <row r="85" spans="1:28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8" ht="15" customHeight="1" x14ac:dyDescent="0.25">
      <c r="A86" s="149" t="s">
        <v>31</v>
      </c>
      <c r="B86" s="150"/>
      <c r="C86" s="150"/>
      <c r="D86" s="150"/>
      <c r="E86" s="150"/>
      <c r="F86" s="150"/>
      <c r="G86" s="150"/>
      <c r="H86" s="150"/>
      <c r="I86" s="151"/>
      <c r="J86" s="152" t="s">
        <v>32</v>
      </c>
      <c r="K86" s="153"/>
      <c r="L86" s="152" t="s">
        <v>33</v>
      </c>
      <c r="M86" s="153"/>
      <c r="N86" s="91" t="s">
        <v>34</v>
      </c>
      <c r="O86" s="92"/>
      <c r="P86" s="152" t="s">
        <v>35</v>
      </c>
      <c r="Q86" s="153"/>
      <c r="R86" s="68" t="s">
        <v>36</v>
      </c>
      <c r="S86" s="69"/>
      <c r="T86" s="69"/>
      <c r="U86" s="69"/>
      <c r="V86" s="69"/>
      <c r="W86" s="70"/>
      <c r="X86" s="152" t="s">
        <v>7</v>
      </c>
      <c r="Y86" s="153"/>
    </row>
    <row r="87" spans="1:28" ht="23.25" customHeight="1" x14ac:dyDescent="0.25">
      <c r="A87" s="158" t="s">
        <v>37</v>
      </c>
      <c r="B87" s="159"/>
      <c r="C87" s="159"/>
      <c r="D87" s="159"/>
      <c r="E87" s="159"/>
      <c r="F87" s="159"/>
      <c r="G87" s="159"/>
      <c r="H87" s="159"/>
      <c r="I87" s="160"/>
      <c r="J87" s="154"/>
      <c r="K87" s="155"/>
      <c r="L87" s="154"/>
      <c r="M87" s="155"/>
      <c r="N87" s="93"/>
      <c r="O87" s="94"/>
      <c r="P87" s="154"/>
      <c r="Q87" s="155"/>
      <c r="R87" s="164" t="s">
        <v>38</v>
      </c>
      <c r="S87" s="164"/>
      <c r="T87" s="164" t="s">
        <v>39</v>
      </c>
      <c r="U87" s="164"/>
      <c r="V87" s="164" t="s">
        <v>40</v>
      </c>
      <c r="W87" s="164"/>
      <c r="X87" s="154"/>
      <c r="Y87" s="155"/>
    </row>
    <row r="88" spans="1:28" x14ac:dyDescent="0.25">
      <c r="A88" s="161"/>
      <c r="B88" s="162"/>
      <c r="C88" s="162"/>
      <c r="D88" s="162"/>
      <c r="E88" s="162"/>
      <c r="F88" s="162"/>
      <c r="G88" s="162"/>
      <c r="H88" s="162"/>
      <c r="I88" s="163"/>
      <c r="J88" s="156"/>
      <c r="K88" s="157"/>
      <c r="L88" s="156"/>
      <c r="M88" s="157"/>
      <c r="N88" s="95"/>
      <c r="O88" s="96"/>
      <c r="P88" s="156"/>
      <c r="Q88" s="157"/>
      <c r="R88" s="165"/>
      <c r="S88" s="165"/>
      <c r="T88" s="165"/>
      <c r="U88" s="165"/>
      <c r="V88" s="165"/>
      <c r="W88" s="165"/>
      <c r="X88" s="156"/>
      <c r="Y88" s="157"/>
    </row>
    <row r="89" spans="1:28" ht="18" customHeight="1" x14ac:dyDescent="0.3">
      <c r="A89" s="106" t="s">
        <v>41</v>
      </c>
      <c r="B89" s="107"/>
      <c r="C89" s="107"/>
      <c r="D89" s="107"/>
      <c r="E89" s="107"/>
      <c r="F89" s="107"/>
      <c r="G89" s="107"/>
      <c r="H89" s="107"/>
      <c r="I89" s="108"/>
      <c r="J89" s="170">
        <v>103</v>
      </c>
      <c r="K89" s="171"/>
      <c r="L89" s="170">
        <v>1</v>
      </c>
      <c r="M89" s="171"/>
      <c r="N89" s="170">
        <v>2</v>
      </c>
      <c r="O89" s="171"/>
      <c r="P89" s="170">
        <v>106</v>
      </c>
      <c r="Q89" s="171"/>
      <c r="R89" s="170">
        <v>0</v>
      </c>
      <c r="S89" s="171"/>
      <c r="T89" s="170">
        <v>0</v>
      </c>
      <c r="U89" s="171"/>
      <c r="V89" s="170">
        <v>0</v>
      </c>
      <c r="W89" s="171"/>
      <c r="X89" s="172">
        <v>106</v>
      </c>
      <c r="Y89" s="173"/>
    </row>
    <row r="90" spans="1:28" ht="18" customHeight="1" x14ac:dyDescent="0.3">
      <c r="A90" s="106" t="s">
        <v>42</v>
      </c>
      <c r="B90" s="107"/>
      <c r="C90" s="107"/>
      <c r="D90" s="107"/>
      <c r="E90" s="107"/>
      <c r="F90" s="107"/>
      <c r="G90" s="107"/>
      <c r="H90" s="107"/>
      <c r="I90" s="108"/>
      <c r="J90" s="170">
        <v>902</v>
      </c>
      <c r="K90" s="171"/>
      <c r="L90" s="170">
        <v>0</v>
      </c>
      <c r="M90" s="171"/>
      <c r="N90" s="170">
        <v>4</v>
      </c>
      <c r="O90" s="171"/>
      <c r="P90" s="170">
        <v>906</v>
      </c>
      <c r="Q90" s="171"/>
      <c r="R90" s="170">
        <v>0</v>
      </c>
      <c r="S90" s="171"/>
      <c r="T90" s="170">
        <v>0</v>
      </c>
      <c r="U90" s="171"/>
      <c r="V90" s="170">
        <v>0</v>
      </c>
      <c r="W90" s="171"/>
      <c r="X90" s="172">
        <v>906</v>
      </c>
      <c r="Y90" s="173"/>
    </row>
    <row r="91" spans="1:28" ht="18" customHeight="1" x14ac:dyDescent="0.3">
      <c r="A91" s="106" t="s">
        <v>43</v>
      </c>
      <c r="B91" s="107"/>
      <c r="C91" s="107"/>
      <c r="D91" s="107"/>
      <c r="E91" s="107"/>
      <c r="F91" s="107"/>
      <c r="G91" s="107"/>
      <c r="H91" s="107"/>
      <c r="I91" s="108"/>
      <c r="J91" s="170">
        <v>0</v>
      </c>
      <c r="K91" s="171"/>
      <c r="L91" s="170">
        <v>0</v>
      </c>
      <c r="M91" s="171"/>
      <c r="N91" s="170">
        <v>0</v>
      </c>
      <c r="O91" s="171"/>
      <c r="P91" s="170">
        <v>0</v>
      </c>
      <c r="Q91" s="171"/>
      <c r="R91" s="170">
        <v>0</v>
      </c>
      <c r="S91" s="171"/>
      <c r="T91" s="170">
        <v>0</v>
      </c>
      <c r="U91" s="171"/>
      <c r="V91" s="170">
        <v>0</v>
      </c>
      <c r="W91" s="171"/>
      <c r="X91" s="172">
        <v>0</v>
      </c>
      <c r="Y91" s="173"/>
    </row>
    <row r="92" spans="1:28" ht="18" customHeight="1" x14ac:dyDescent="0.3">
      <c r="A92" s="106" t="s">
        <v>44</v>
      </c>
      <c r="B92" s="107"/>
      <c r="C92" s="107"/>
      <c r="D92" s="107"/>
      <c r="E92" s="107"/>
      <c r="F92" s="107"/>
      <c r="G92" s="107"/>
      <c r="H92" s="107"/>
      <c r="I92" s="108"/>
      <c r="J92" s="170">
        <v>360</v>
      </c>
      <c r="K92" s="171"/>
      <c r="L92" s="170">
        <v>0</v>
      </c>
      <c r="M92" s="171"/>
      <c r="N92" s="170">
        <v>1</v>
      </c>
      <c r="O92" s="171"/>
      <c r="P92" s="170">
        <v>361</v>
      </c>
      <c r="Q92" s="171"/>
      <c r="R92" s="170">
        <v>0</v>
      </c>
      <c r="S92" s="171"/>
      <c r="T92" s="170">
        <v>0</v>
      </c>
      <c r="U92" s="171"/>
      <c r="V92" s="170">
        <v>0</v>
      </c>
      <c r="W92" s="171"/>
      <c r="X92" s="172">
        <v>361</v>
      </c>
      <c r="Y92" s="173"/>
    </row>
    <row r="93" spans="1:28" ht="18" customHeight="1" x14ac:dyDescent="0.3">
      <c r="A93" s="106" t="s">
        <v>7</v>
      </c>
      <c r="B93" s="107"/>
      <c r="C93" s="107"/>
      <c r="D93" s="107"/>
      <c r="E93" s="107"/>
      <c r="F93" s="107"/>
      <c r="G93" s="107"/>
      <c r="H93" s="107"/>
      <c r="I93" s="108"/>
      <c r="J93" s="170">
        <v>1365</v>
      </c>
      <c r="K93" s="171"/>
      <c r="L93" s="170">
        <v>1</v>
      </c>
      <c r="M93" s="171"/>
      <c r="N93" s="170">
        <v>7</v>
      </c>
      <c r="O93" s="171"/>
      <c r="P93" s="170">
        <v>1373</v>
      </c>
      <c r="Q93" s="171"/>
      <c r="R93" s="170">
        <v>0</v>
      </c>
      <c r="S93" s="171"/>
      <c r="T93" s="170">
        <v>0</v>
      </c>
      <c r="U93" s="171"/>
      <c r="V93" s="170">
        <v>0</v>
      </c>
      <c r="W93" s="171"/>
      <c r="X93" s="172">
        <v>1373</v>
      </c>
      <c r="Y93" s="173"/>
    </row>
    <row r="94" spans="1:28" ht="15.6" x14ac:dyDescent="0.3">
      <c r="A94" s="4" t="s">
        <v>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"/>
      <c r="S94" s="6"/>
      <c r="T94" s="6"/>
      <c r="U94" s="6"/>
      <c r="V94" s="6"/>
      <c r="W94" s="6"/>
      <c r="X94" s="6"/>
      <c r="Y94" s="7"/>
    </row>
    <row r="95" spans="1:28" x14ac:dyDescent="0.25">
      <c r="A95" s="71"/>
      <c r="B95" s="72"/>
      <c r="C95" s="72"/>
      <c r="D95" s="72"/>
      <c r="E95" s="72"/>
      <c r="F95" s="72"/>
      <c r="G95" s="73"/>
      <c r="H95" s="68" t="s">
        <v>0</v>
      </c>
      <c r="I95" s="69"/>
      <c r="J95" s="136" t="s">
        <v>1</v>
      </c>
      <c r="K95" s="69"/>
      <c r="L95" s="134" t="s">
        <v>2</v>
      </c>
      <c r="M95" s="69"/>
      <c r="N95" s="134" t="s">
        <v>3</v>
      </c>
      <c r="O95" s="69"/>
      <c r="P95" s="134" t="s">
        <v>4</v>
      </c>
      <c r="Q95" s="135"/>
      <c r="R95" s="134" t="s">
        <v>5</v>
      </c>
      <c r="S95" s="69"/>
      <c r="T95" s="134" t="s">
        <v>6</v>
      </c>
      <c r="U95" s="69"/>
      <c r="V95" s="134" t="s">
        <v>46</v>
      </c>
      <c r="W95" s="69"/>
      <c r="X95" s="134" t="s">
        <v>7</v>
      </c>
      <c r="Y95" s="135"/>
      <c r="Z95" s="8"/>
      <c r="AA95" s="9"/>
      <c r="AB95" s="9"/>
    </row>
    <row r="96" spans="1:28" x14ac:dyDescent="0.25">
      <c r="A96" s="74"/>
      <c r="B96" s="75"/>
      <c r="C96" s="75"/>
      <c r="D96" s="75"/>
      <c r="E96" s="75"/>
      <c r="F96" s="75"/>
      <c r="G96" s="76"/>
      <c r="H96" s="10" t="s">
        <v>10</v>
      </c>
      <c r="I96" s="10" t="s">
        <v>11</v>
      </c>
      <c r="J96" s="10" t="s">
        <v>10</v>
      </c>
      <c r="K96" s="10" t="s">
        <v>11</v>
      </c>
      <c r="L96" s="10" t="s">
        <v>10</v>
      </c>
      <c r="M96" s="10" t="s">
        <v>11</v>
      </c>
      <c r="N96" s="10" t="s">
        <v>10</v>
      </c>
      <c r="O96" s="10" t="s">
        <v>11</v>
      </c>
      <c r="P96" s="10" t="s">
        <v>10</v>
      </c>
      <c r="Q96" s="10" t="s">
        <v>11</v>
      </c>
      <c r="R96" s="10" t="s">
        <v>10</v>
      </c>
      <c r="S96" s="10" t="s">
        <v>11</v>
      </c>
      <c r="T96" s="10" t="s">
        <v>10</v>
      </c>
      <c r="U96" s="10" t="s">
        <v>11</v>
      </c>
      <c r="V96" s="10" t="s">
        <v>10</v>
      </c>
      <c r="W96" s="10" t="s">
        <v>11</v>
      </c>
      <c r="X96" s="10" t="s">
        <v>10</v>
      </c>
      <c r="Y96" s="10" t="s">
        <v>11</v>
      </c>
    </row>
    <row r="97" spans="1:25" x14ac:dyDescent="0.25">
      <c r="A97" s="106" t="s">
        <v>41</v>
      </c>
      <c r="B97" s="107"/>
      <c r="C97" s="107"/>
      <c r="D97" s="107"/>
      <c r="E97" s="107"/>
      <c r="F97" s="107"/>
      <c r="G97" s="108"/>
      <c r="H97" s="51">
        <v>0</v>
      </c>
      <c r="I97" s="51">
        <v>0</v>
      </c>
      <c r="J97" s="51">
        <v>0</v>
      </c>
      <c r="K97" s="51">
        <v>4</v>
      </c>
      <c r="L97" s="51">
        <v>15</v>
      </c>
      <c r="M97" s="51">
        <v>21</v>
      </c>
      <c r="N97" s="51">
        <v>10</v>
      </c>
      <c r="O97" s="51">
        <v>9</v>
      </c>
      <c r="P97" s="51">
        <v>6</v>
      </c>
      <c r="Q97" s="51">
        <v>2</v>
      </c>
      <c r="R97" s="51">
        <v>3</v>
      </c>
      <c r="S97" s="51">
        <v>8</v>
      </c>
      <c r="T97" s="51">
        <v>5</v>
      </c>
      <c r="U97" s="51">
        <v>1</v>
      </c>
      <c r="V97" s="51">
        <v>12</v>
      </c>
      <c r="W97" s="51">
        <v>10</v>
      </c>
      <c r="X97" s="10">
        <v>51</v>
      </c>
      <c r="Y97" s="10">
        <v>55</v>
      </c>
    </row>
    <row r="98" spans="1:25" x14ac:dyDescent="0.25">
      <c r="A98" s="106" t="s">
        <v>42</v>
      </c>
      <c r="B98" s="107"/>
      <c r="C98" s="107"/>
      <c r="D98" s="107"/>
      <c r="E98" s="107"/>
      <c r="F98" s="107"/>
      <c r="G98" s="108"/>
      <c r="H98" s="51">
        <v>334</v>
      </c>
      <c r="I98" s="51">
        <v>238</v>
      </c>
      <c r="J98" s="51">
        <v>59</v>
      </c>
      <c r="K98" s="51">
        <v>53</v>
      </c>
      <c r="L98" s="51">
        <v>20</v>
      </c>
      <c r="M98" s="51">
        <v>42</v>
      </c>
      <c r="N98" s="51">
        <v>23</v>
      </c>
      <c r="O98" s="51">
        <v>27</v>
      </c>
      <c r="P98" s="51">
        <v>11</v>
      </c>
      <c r="Q98" s="51">
        <v>16</v>
      </c>
      <c r="R98" s="51">
        <v>15</v>
      </c>
      <c r="S98" s="51">
        <v>18</v>
      </c>
      <c r="T98" s="51">
        <v>12</v>
      </c>
      <c r="U98" s="51">
        <v>11</v>
      </c>
      <c r="V98" s="51">
        <v>21</v>
      </c>
      <c r="W98" s="51">
        <v>6</v>
      </c>
      <c r="X98" s="10">
        <v>495</v>
      </c>
      <c r="Y98" s="10">
        <v>411</v>
      </c>
    </row>
    <row r="99" spans="1:25" x14ac:dyDescent="0.25">
      <c r="A99" s="106" t="s">
        <v>43</v>
      </c>
      <c r="B99" s="107"/>
      <c r="C99" s="107"/>
      <c r="D99" s="107"/>
      <c r="E99" s="107"/>
      <c r="F99" s="107"/>
      <c r="G99" s="108"/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1">
        <v>0</v>
      </c>
      <c r="U99" s="51">
        <v>0</v>
      </c>
      <c r="V99" s="51">
        <v>0</v>
      </c>
      <c r="W99" s="51">
        <v>0</v>
      </c>
      <c r="X99" s="10">
        <v>0</v>
      </c>
      <c r="Y99" s="10">
        <v>0</v>
      </c>
    </row>
    <row r="100" spans="1:25" x14ac:dyDescent="0.25">
      <c r="A100" s="106" t="s">
        <v>44</v>
      </c>
      <c r="B100" s="107"/>
      <c r="C100" s="107"/>
      <c r="D100" s="107"/>
      <c r="E100" s="107"/>
      <c r="F100" s="107"/>
      <c r="G100" s="108"/>
      <c r="H100" s="51">
        <v>86</v>
      </c>
      <c r="I100" s="51">
        <v>73</v>
      </c>
      <c r="J100" s="51">
        <v>18</v>
      </c>
      <c r="K100" s="51">
        <v>14</v>
      </c>
      <c r="L100" s="51">
        <v>30</v>
      </c>
      <c r="M100" s="51">
        <v>35</v>
      </c>
      <c r="N100" s="51">
        <v>14</v>
      </c>
      <c r="O100" s="51">
        <v>12</v>
      </c>
      <c r="P100" s="51">
        <v>14</v>
      </c>
      <c r="Q100" s="51">
        <v>13</v>
      </c>
      <c r="R100" s="51">
        <v>13</v>
      </c>
      <c r="S100" s="51">
        <v>9</v>
      </c>
      <c r="T100" s="51">
        <v>6</v>
      </c>
      <c r="U100" s="51">
        <v>5</v>
      </c>
      <c r="V100" s="51">
        <v>12</v>
      </c>
      <c r="W100" s="51">
        <v>7</v>
      </c>
      <c r="X100" s="10">
        <v>193</v>
      </c>
      <c r="Y100" s="10">
        <v>168</v>
      </c>
    </row>
    <row r="101" spans="1:25" x14ac:dyDescent="0.25">
      <c r="A101" s="106" t="s">
        <v>7</v>
      </c>
      <c r="B101" s="107"/>
      <c r="C101" s="107"/>
      <c r="D101" s="107"/>
      <c r="E101" s="107"/>
      <c r="F101" s="107"/>
      <c r="G101" s="108"/>
      <c r="H101" s="10">
        <v>420</v>
      </c>
      <c r="I101" s="10">
        <v>311</v>
      </c>
      <c r="J101" s="10">
        <v>77</v>
      </c>
      <c r="K101" s="10">
        <v>71</v>
      </c>
      <c r="L101" s="10">
        <v>65</v>
      </c>
      <c r="M101" s="10">
        <v>98</v>
      </c>
      <c r="N101" s="10">
        <v>47</v>
      </c>
      <c r="O101" s="10">
        <v>48</v>
      </c>
      <c r="P101" s="10">
        <v>31</v>
      </c>
      <c r="Q101" s="10">
        <v>31</v>
      </c>
      <c r="R101" s="10">
        <v>31</v>
      </c>
      <c r="S101" s="10">
        <v>35</v>
      </c>
      <c r="T101" s="10">
        <v>23</v>
      </c>
      <c r="U101" s="10">
        <v>17</v>
      </c>
      <c r="V101" s="10">
        <v>45</v>
      </c>
      <c r="W101" s="10">
        <v>23</v>
      </c>
      <c r="X101" s="10">
        <v>739</v>
      </c>
      <c r="Y101" s="10">
        <v>634</v>
      </c>
    </row>
    <row r="102" spans="1:25" x14ac:dyDescent="0.25">
      <c r="A102" s="11"/>
      <c r="B102" s="12"/>
      <c r="C102" s="12"/>
      <c r="D102" s="12"/>
      <c r="E102" s="12"/>
      <c r="F102" s="13"/>
      <c r="G102" s="13"/>
      <c r="H102" s="13"/>
      <c r="I102" s="13"/>
      <c r="J102" s="13"/>
      <c r="K102" s="13"/>
      <c r="L102" s="14"/>
      <c r="M102" s="13"/>
      <c r="N102" s="15"/>
      <c r="O102" s="16"/>
      <c r="P102" s="13"/>
      <c r="Q102" s="13"/>
      <c r="R102" s="13"/>
      <c r="S102" s="13"/>
      <c r="T102" s="13"/>
      <c r="U102" s="13"/>
      <c r="V102" s="13"/>
      <c r="W102" s="13"/>
      <c r="X102" s="13"/>
      <c r="Y102" s="17"/>
    </row>
    <row r="103" spans="1:25" ht="15.6" x14ac:dyDescent="0.3">
      <c r="A103" s="18" t="s">
        <v>47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20"/>
      <c r="L103" s="21"/>
      <c r="M103" s="18" t="s">
        <v>48</v>
      </c>
      <c r="N103" s="19"/>
      <c r="O103" s="19"/>
      <c r="P103" s="19"/>
      <c r="Q103" s="22"/>
      <c r="R103" s="22"/>
      <c r="S103" s="22"/>
      <c r="T103" s="22"/>
      <c r="U103" s="22"/>
      <c r="V103" s="22"/>
      <c r="W103" s="22"/>
      <c r="X103" s="22"/>
      <c r="Y103" s="23"/>
    </row>
    <row r="104" spans="1:25" ht="46.5" customHeight="1" x14ac:dyDescent="0.25">
      <c r="A104" s="101" t="s">
        <v>49</v>
      </c>
      <c r="B104" s="101" t="s">
        <v>50</v>
      </c>
      <c r="C104" s="101" t="s">
        <v>51</v>
      </c>
      <c r="D104" s="77" t="s">
        <v>52</v>
      </c>
      <c r="E104" s="78"/>
      <c r="F104" s="77" t="s">
        <v>53</v>
      </c>
      <c r="G104" s="79"/>
      <c r="H104" s="79"/>
      <c r="I104" s="78"/>
      <c r="J104" s="101" t="s">
        <v>54</v>
      </c>
      <c r="K104" s="101" t="s">
        <v>55</v>
      </c>
      <c r="L104" s="24"/>
      <c r="M104" s="86" t="s">
        <v>56</v>
      </c>
      <c r="N104" s="88"/>
      <c r="O104" s="86" t="s">
        <v>57</v>
      </c>
      <c r="P104" s="88"/>
      <c r="Q104" s="86" t="s">
        <v>58</v>
      </c>
      <c r="R104" s="87"/>
      <c r="S104" s="87"/>
      <c r="T104" s="87"/>
      <c r="U104" s="87"/>
      <c r="V104" s="87"/>
      <c r="W104" s="87"/>
      <c r="X104" s="87"/>
      <c r="Y104" s="88"/>
    </row>
    <row r="105" spans="1:25" ht="30" customHeight="1" x14ac:dyDescent="0.25">
      <c r="A105" s="102"/>
      <c r="B105" s="102"/>
      <c r="C105" s="102"/>
      <c r="D105" s="25" t="s">
        <v>59</v>
      </c>
      <c r="E105" s="25" t="s">
        <v>60</v>
      </c>
      <c r="F105" s="26" t="s">
        <v>59</v>
      </c>
      <c r="G105" s="26" t="s">
        <v>60</v>
      </c>
      <c r="H105" s="26" t="s">
        <v>61</v>
      </c>
      <c r="I105" s="26" t="s">
        <v>62</v>
      </c>
      <c r="J105" s="102"/>
      <c r="K105" s="102"/>
      <c r="L105" s="24"/>
      <c r="M105" s="193"/>
      <c r="N105" s="92"/>
      <c r="O105" s="193">
        <v>0</v>
      </c>
      <c r="P105" s="92"/>
      <c r="Q105" s="194">
        <v>0</v>
      </c>
      <c r="R105" s="87"/>
      <c r="S105" s="87"/>
      <c r="T105" s="87"/>
      <c r="U105" s="87"/>
      <c r="V105" s="87"/>
      <c r="W105" s="87"/>
      <c r="X105" s="87"/>
      <c r="Y105" s="88"/>
    </row>
    <row r="106" spans="1:25" ht="39" customHeight="1" x14ac:dyDescent="0.25">
      <c r="A106" s="103">
        <v>159991</v>
      </c>
      <c r="B106" s="103">
        <v>3441</v>
      </c>
      <c r="C106" s="164"/>
      <c r="D106" s="103">
        <v>2107</v>
      </c>
      <c r="E106" s="164"/>
      <c r="F106" s="103">
        <v>87</v>
      </c>
      <c r="G106" s="164"/>
      <c r="H106" s="164"/>
      <c r="I106" s="164">
        <v>87</v>
      </c>
      <c r="J106" s="103">
        <v>107</v>
      </c>
      <c r="K106" s="103">
        <v>202</v>
      </c>
      <c r="L106" s="24"/>
      <c r="M106" s="91" t="s">
        <v>63</v>
      </c>
      <c r="N106" s="92"/>
      <c r="O106" s="91" t="s">
        <v>64</v>
      </c>
      <c r="P106" s="92"/>
      <c r="Q106" s="95" t="s">
        <v>65</v>
      </c>
      <c r="R106" s="99"/>
      <c r="S106" s="96"/>
      <c r="T106" s="95" t="s">
        <v>66</v>
      </c>
      <c r="U106" s="99"/>
      <c r="V106" s="99"/>
      <c r="W106" s="99"/>
      <c r="X106" s="99"/>
      <c r="Y106" s="96"/>
    </row>
    <row r="107" spans="1:25" ht="15" customHeight="1" x14ac:dyDescent="0.25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27"/>
      <c r="M107" s="91"/>
      <c r="N107" s="92"/>
      <c r="O107" s="91"/>
      <c r="P107" s="92"/>
      <c r="Q107" s="91"/>
      <c r="R107" s="97"/>
      <c r="S107" s="92"/>
      <c r="T107" s="28"/>
      <c r="U107" s="86" t="s">
        <v>0</v>
      </c>
      <c r="V107" s="88"/>
      <c r="W107" s="29" t="s">
        <v>1</v>
      </c>
      <c r="X107" s="86" t="s">
        <v>67</v>
      </c>
      <c r="Y107" s="88"/>
    </row>
    <row r="108" spans="1:25" x14ac:dyDescent="0.25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27"/>
      <c r="M108" s="93"/>
      <c r="N108" s="94"/>
      <c r="O108" s="93"/>
      <c r="P108" s="94"/>
      <c r="Q108" s="93"/>
      <c r="R108" s="98"/>
      <c r="S108" s="94"/>
      <c r="T108" s="30" t="s">
        <v>68</v>
      </c>
      <c r="U108" s="100"/>
      <c r="V108" s="100"/>
      <c r="W108" s="29"/>
      <c r="X108" s="100"/>
      <c r="Y108" s="100"/>
    </row>
    <row r="109" spans="1:25" x14ac:dyDescent="0.25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27"/>
      <c r="M109" s="93"/>
      <c r="N109" s="94"/>
      <c r="O109" s="93"/>
      <c r="P109" s="94"/>
      <c r="Q109" s="93"/>
      <c r="R109" s="98"/>
      <c r="S109" s="94"/>
      <c r="T109" s="30" t="s">
        <v>69</v>
      </c>
      <c r="U109" s="100"/>
      <c r="V109" s="100"/>
      <c r="W109" s="29"/>
      <c r="X109" s="100"/>
      <c r="Y109" s="100"/>
    </row>
    <row r="110" spans="1:25" x14ac:dyDescent="0.25">
      <c r="A110" s="165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27"/>
      <c r="M110" s="95"/>
      <c r="N110" s="96"/>
      <c r="O110" s="95"/>
      <c r="P110" s="96"/>
      <c r="Q110" s="95"/>
      <c r="R110" s="99"/>
      <c r="S110" s="96"/>
      <c r="T110" s="30" t="s">
        <v>70</v>
      </c>
      <c r="U110" s="100"/>
      <c r="V110" s="100"/>
      <c r="W110" s="29"/>
      <c r="X110" s="100"/>
      <c r="Y110" s="100"/>
    </row>
    <row r="111" spans="1:25" x14ac:dyDescent="0.25">
      <c r="A111" s="31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3"/>
      <c r="M111" s="32"/>
      <c r="N111" s="32"/>
      <c r="O111" s="32"/>
      <c r="P111" s="32"/>
      <c r="Q111" s="32"/>
      <c r="R111" s="34"/>
      <c r="S111" s="34"/>
      <c r="T111" s="34"/>
      <c r="U111" s="34"/>
      <c r="V111" s="34"/>
      <c r="W111" s="32"/>
      <c r="X111" s="32"/>
      <c r="Y111" s="7"/>
    </row>
    <row r="112" spans="1:25" ht="15.6" x14ac:dyDescent="0.3">
      <c r="A112" s="18" t="s">
        <v>71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20"/>
      <c r="L112" s="35"/>
      <c r="M112" s="18" t="s">
        <v>72</v>
      </c>
      <c r="N112" s="20"/>
      <c r="O112" s="36"/>
      <c r="P112" s="19"/>
      <c r="Q112" s="19"/>
      <c r="R112" s="19"/>
      <c r="S112" s="19"/>
      <c r="T112" s="19"/>
      <c r="U112" s="19"/>
      <c r="V112" s="19"/>
      <c r="W112" s="22"/>
      <c r="X112" s="22"/>
      <c r="Y112" s="37"/>
    </row>
    <row r="113" spans="1:25" ht="54" customHeight="1" x14ac:dyDescent="0.25">
      <c r="A113" s="71"/>
      <c r="B113" s="72"/>
      <c r="C113" s="72"/>
      <c r="D113" s="72"/>
      <c r="E113" s="73"/>
      <c r="F113" s="68" t="s">
        <v>12</v>
      </c>
      <c r="G113" s="70"/>
      <c r="H113" s="68" t="s">
        <v>13</v>
      </c>
      <c r="I113" s="70"/>
      <c r="J113" s="38" t="s">
        <v>73</v>
      </c>
      <c r="K113" s="39"/>
      <c r="L113" s="40"/>
      <c r="M113" s="77" t="s">
        <v>74</v>
      </c>
      <c r="N113" s="78"/>
      <c r="O113" s="77" t="s">
        <v>75</v>
      </c>
      <c r="P113" s="78"/>
      <c r="Q113" s="77" t="s">
        <v>76</v>
      </c>
      <c r="R113" s="78"/>
      <c r="S113" s="77" t="s">
        <v>77</v>
      </c>
      <c r="T113" s="79"/>
      <c r="U113" s="79"/>
      <c r="V113" s="78"/>
      <c r="W113" s="77" t="s">
        <v>78</v>
      </c>
      <c r="X113" s="79"/>
      <c r="Y113" s="78"/>
    </row>
    <row r="114" spans="1:25" ht="24.75" customHeight="1" x14ac:dyDescent="0.25">
      <c r="A114" s="74"/>
      <c r="B114" s="75"/>
      <c r="C114" s="75"/>
      <c r="D114" s="75"/>
      <c r="E114" s="76"/>
      <c r="F114" s="10" t="s">
        <v>79</v>
      </c>
      <c r="G114" s="10" t="s">
        <v>14</v>
      </c>
      <c r="H114" s="10" t="s">
        <v>79</v>
      </c>
      <c r="I114" s="10" t="s">
        <v>14</v>
      </c>
      <c r="J114" s="10" t="s">
        <v>79</v>
      </c>
      <c r="K114" s="10" t="s">
        <v>14</v>
      </c>
      <c r="L114" s="41"/>
      <c r="M114" s="42" t="s">
        <v>80</v>
      </c>
      <c r="N114" s="42" t="s">
        <v>81</v>
      </c>
      <c r="O114" s="42" t="s">
        <v>80</v>
      </c>
      <c r="P114" s="43" t="s">
        <v>81</v>
      </c>
      <c r="Q114" s="42" t="s">
        <v>80</v>
      </c>
      <c r="R114" s="42" t="s">
        <v>81</v>
      </c>
      <c r="S114" s="44"/>
      <c r="T114" s="42" t="s">
        <v>0</v>
      </c>
      <c r="U114" s="45" t="s">
        <v>1</v>
      </c>
      <c r="V114" s="46" t="s">
        <v>82</v>
      </c>
      <c r="W114" s="42" t="s">
        <v>0</v>
      </c>
      <c r="X114" s="45" t="s">
        <v>1</v>
      </c>
      <c r="Y114" s="46" t="s">
        <v>82</v>
      </c>
    </row>
    <row r="115" spans="1:25" ht="14.4" x14ac:dyDescent="0.3">
      <c r="A115" s="80" t="s">
        <v>83</v>
      </c>
      <c r="B115" s="81"/>
      <c r="C115" s="81"/>
      <c r="D115" s="81"/>
      <c r="E115" s="82"/>
      <c r="F115" s="29">
        <v>62</v>
      </c>
      <c r="G115" s="29">
        <v>0</v>
      </c>
      <c r="H115" s="29">
        <v>0</v>
      </c>
      <c r="I115" s="29">
        <v>0</v>
      </c>
      <c r="J115" s="29">
        <v>0</v>
      </c>
      <c r="K115" s="29">
        <v>0</v>
      </c>
      <c r="L115" s="41"/>
      <c r="M115" s="83"/>
      <c r="N115" s="83">
        <v>84</v>
      </c>
      <c r="O115" s="83">
        <v>15</v>
      </c>
      <c r="P115" s="83">
        <v>102</v>
      </c>
      <c r="Q115" s="83">
        <v>0</v>
      </c>
      <c r="R115" s="83">
        <v>3</v>
      </c>
      <c r="S115" s="47" t="s">
        <v>68</v>
      </c>
      <c r="T115" s="29">
        <v>0</v>
      </c>
      <c r="U115" s="29"/>
      <c r="V115" s="29">
        <v>0</v>
      </c>
      <c r="W115" s="29"/>
      <c r="X115" s="29"/>
      <c r="Y115" s="29"/>
    </row>
    <row r="116" spans="1:25" ht="14.4" x14ac:dyDescent="0.3">
      <c r="A116" s="80" t="s">
        <v>8</v>
      </c>
      <c r="B116" s="81"/>
      <c r="C116" s="81"/>
      <c r="D116" s="81"/>
      <c r="E116" s="82"/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41"/>
      <c r="M116" s="84"/>
      <c r="N116" s="84"/>
      <c r="O116" s="84"/>
      <c r="P116" s="84"/>
      <c r="Q116" s="84"/>
      <c r="R116" s="84"/>
      <c r="S116" s="47" t="s">
        <v>69</v>
      </c>
      <c r="T116" s="29"/>
      <c r="U116" s="29"/>
      <c r="V116" s="29"/>
      <c r="W116" s="29"/>
      <c r="X116" s="29"/>
      <c r="Y116" s="29"/>
    </row>
    <row r="117" spans="1:25" ht="15" customHeight="1" x14ac:dyDescent="0.25">
      <c r="A117" s="86" t="s">
        <v>84</v>
      </c>
      <c r="B117" s="87"/>
      <c r="C117" s="87"/>
      <c r="D117" s="87"/>
      <c r="E117" s="88"/>
      <c r="F117" s="29">
        <v>1</v>
      </c>
      <c r="G117" s="29">
        <v>0</v>
      </c>
      <c r="H117" s="29">
        <v>0</v>
      </c>
      <c r="I117" s="29">
        <v>0</v>
      </c>
      <c r="J117" s="29">
        <v>0</v>
      </c>
      <c r="K117" s="29">
        <v>0</v>
      </c>
      <c r="L117" s="41"/>
      <c r="M117" s="84"/>
      <c r="N117" s="84"/>
      <c r="O117" s="84"/>
      <c r="P117" s="84"/>
      <c r="Q117" s="84"/>
      <c r="R117" s="84"/>
      <c r="S117" s="89" t="s">
        <v>70</v>
      </c>
      <c r="T117" s="83"/>
      <c r="U117" s="83"/>
      <c r="V117" s="83"/>
      <c r="W117" s="83"/>
      <c r="X117" s="83"/>
      <c r="Y117" s="83"/>
    </row>
    <row r="118" spans="1:25" x14ac:dyDescent="0.25">
      <c r="A118" s="68" t="s">
        <v>7</v>
      </c>
      <c r="B118" s="69"/>
      <c r="C118" s="69"/>
      <c r="D118" s="69"/>
      <c r="E118" s="70"/>
      <c r="F118" s="10">
        <v>63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41"/>
      <c r="M118" s="85"/>
      <c r="N118" s="85"/>
      <c r="O118" s="85"/>
      <c r="P118" s="85"/>
      <c r="Q118" s="85"/>
      <c r="R118" s="85"/>
      <c r="S118" s="90"/>
      <c r="T118" s="85"/>
      <c r="U118" s="85"/>
      <c r="V118" s="85"/>
      <c r="W118" s="85"/>
      <c r="X118" s="85"/>
      <c r="Y118" s="85"/>
    </row>
    <row r="119" spans="1:25" ht="23.4" x14ac:dyDescent="0.45">
      <c r="A119" s="120" t="s">
        <v>17</v>
      </c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</row>
    <row r="120" spans="1:25" ht="23.4" x14ac:dyDescent="0.25">
      <c r="A120" s="111" t="s">
        <v>18</v>
      </c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"/>
      <c r="U120" s="112" t="s">
        <v>19</v>
      </c>
      <c r="V120" s="112"/>
      <c r="W120" s="1"/>
      <c r="X120" s="1"/>
      <c r="Y120" s="1"/>
    </row>
    <row r="121" spans="1:25" ht="26.25" customHeight="1" x14ac:dyDescent="0.25">
      <c r="A121" s="113" t="s">
        <v>20</v>
      </c>
      <c r="B121" s="113"/>
      <c r="C121" s="113"/>
      <c r="D121" s="113"/>
      <c r="E121" s="197" t="s">
        <v>89</v>
      </c>
      <c r="F121" s="197"/>
      <c r="G121" s="197"/>
      <c r="H121" s="116" t="s">
        <v>22</v>
      </c>
      <c r="I121" s="116"/>
      <c r="J121" s="115">
        <v>0</v>
      </c>
      <c r="K121" s="115"/>
      <c r="L121" s="116" t="s">
        <v>23</v>
      </c>
      <c r="M121" s="116"/>
      <c r="N121" s="188" t="s">
        <v>15</v>
      </c>
      <c r="O121" s="188"/>
      <c r="P121" s="188"/>
      <c r="Q121" s="118" t="s">
        <v>24</v>
      </c>
      <c r="R121" s="118"/>
      <c r="S121" s="118"/>
      <c r="T121" s="118"/>
      <c r="U121" s="119" t="s">
        <v>87</v>
      </c>
      <c r="V121" s="119"/>
      <c r="W121" s="119"/>
      <c r="X121" s="147" t="s">
        <v>93</v>
      </c>
      <c r="Y121" s="147"/>
    </row>
    <row r="122" spans="1:25" ht="15" customHeight="1" x14ac:dyDescent="0.25">
      <c r="Q122" s="118"/>
      <c r="R122" s="118"/>
      <c r="S122" s="118"/>
      <c r="T122" s="118"/>
      <c r="U122" s="119"/>
      <c r="V122" s="119"/>
      <c r="W122" s="119"/>
      <c r="X122" s="147"/>
      <c r="Y122" s="147"/>
    </row>
    <row r="123" spans="1:25" ht="15.75" customHeight="1" x14ac:dyDescent="0.3">
      <c r="A123" s="166" t="s">
        <v>26</v>
      </c>
      <c r="B123" s="166"/>
      <c r="C123" s="166"/>
      <c r="D123" s="166"/>
      <c r="E123" s="166"/>
      <c r="F123" s="166"/>
      <c r="G123" s="167" t="s">
        <v>27</v>
      </c>
      <c r="H123" s="167"/>
      <c r="I123" s="167"/>
      <c r="J123" s="167"/>
      <c r="K123" s="167"/>
      <c r="L123" s="167"/>
      <c r="M123" s="167"/>
      <c r="N123" s="2"/>
      <c r="Q123" s="168" t="s">
        <v>28</v>
      </c>
      <c r="R123" s="168"/>
      <c r="S123" s="168"/>
      <c r="T123" s="168"/>
      <c r="U123" s="168"/>
      <c r="V123" s="148" t="s">
        <v>29</v>
      </c>
      <c r="W123" s="148"/>
      <c r="X123" s="148"/>
      <c r="Y123" s="148"/>
    </row>
    <row r="124" spans="1:2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 customHeight="1" x14ac:dyDescent="0.25">
      <c r="A125" s="149" t="s">
        <v>31</v>
      </c>
      <c r="B125" s="150"/>
      <c r="C125" s="150"/>
      <c r="D125" s="150"/>
      <c r="E125" s="150"/>
      <c r="F125" s="150"/>
      <c r="G125" s="150"/>
      <c r="H125" s="150"/>
      <c r="I125" s="151"/>
      <c r="J125" s="152" t="s">
        <v>32</v>
      </c>
      <c r="K125" s="153"/>
      <c r="L125" s="152" t="s">
        <v>33</v>
      </c>
      <c r="M125" s="153"/>
      <c r="N125" s="91" t="s">
        <v>34</v>
      </c>
      <c r="O125" s="92"/>
      <c r="P125" s="152" t="s">
        <v>35</v>
      </c>
      <c r="Q125" s="153"/>
      <c r="R125" s="68" t="s">
        <v>36</v>
      </c>
      <c r="S125" s="69"/>
      <c r="T125" s="69"/>
      <c r="U125" s="69"/>
      <c r="V125" s="69"/>
      <c r="W125" s="70"/>
      <c r="X125" s="152" t="s">
        <v>7</v>
      </c>
      <c r="Y125" s="153"/>
    </row>
    <row r="126" spans="1:25" ht="15" customHeight="1" x14ac:dyDescent="0.25">
      <c r="A126" s="158" t="s">
        <v>37</v>
      </c>
      <c r="B126" s="159"/>
      <c r="C126" s="159"/>
      <c r="D126" s="159"/>
      <c r="E126" s="159"/>
      <c r="F126" s="159"/>
      <c r="G126" s="159"/>
      <c r="H126" s="159"/>
      <c r="I126" s="160"/>
      <c r="J126" s="154"/>
      <c r="K126" s="155"/>
      <c r="L126" s="154"/>
      <c r="M126" s="155"/>
      <c r="N126" s="93"/>
      <c r="O126" s="94"/>
      <c r="P126" s="154"/>
      <c r="Q126" s="155"/>
      <c r="R126" s="164" t="s">
        <v>38</v>
      </c>
      <c r="S126" s="164"/>
      <c r="T126" s="164" t="s">
        <v>39</v>
      </c>
      <c r="U126" s="164"/>
      <c r="V126" s="164" t="s">
        <v>40</v>
      </c>
      <c r="W126" s="164"/>
      <c r="X126" s="154"/>
      <c r="Y126" s="155"/>
    </row>
    <row r="127" spans="1:25" x14ac:dyDescent="0.25">
      <c r="A127" s="161"/>
      <c r="B127" s="162"/>
      <c r="C127" s="162"/>
      <c r="D127" s="162"/>
      <c r="E127" s="162"/>
      <c r="F127" s="162"/>
      <c r="G127" s="162"/>
      <c r="H127" s="162"/>
      <c r="I127" s="163"/>
      <c r="J127" s="156"/>
      <c r="K127" s="157"/>
      <c r="L127" s="156"/>
      <c r="M127" s="157"/>
      <c r="N127" s="95"/>
      <c r="O127" s="96"/>
      <c r="P127" s="156"/>
      <c r="Q127" s="157"/>
      <c r="R127" s="165"/>
      <c r="S127" s="165"/>
      <c r="T127" s="165"/>
      <c r="U127" s="165"/>
      <c r="V127" s="165"/>
      <c r="W127" s="165"/>
      <c r="X127" s="156"/>
      <c r="Y127" s="157"/>
    </row>
    <row r="128" spans="1:25" ht="14.4" x14ac:dyDescent="0.3">
      <c r="A128" s="106" t="s">
        <v>41</v>
      </c>
      <c r="B128" s="107"/>
      <c r="C128" s="107"/>
      <c r="D128" s="107"/>
      <c r="E128" s="107"/>
      <c r="F128" s="107"/>
      <c r="G128" s="107"/>
      <c r="H128" s="107"/>
      <c r="I128" s="108"/>
      <c r="J128" s="170">
        <v>96</v>
      </c>
      <c r="K128" s="171"/>
      <c r="L128" s="170">
        <v>0</v>
      </c>
      <c r="M128" s="171"/>
      <c r="N128" s="170">
        <v>0</v>
      </c>
      <c r="O128" s="171"/>
      <c r="P128" s="170">
        <v>96</v>
      </c>
      <c r="Q128" s="171"/>
      <c r="R128" s="170">
        <v>0</v>
      </c>
      <c r="S128" s="171"/>
      <c r="T128" s="170">
        <v>0</v>
      </c>
      <c r="U128" s="171"/>
      <c r="V128" s="170">
        <v>0</v>
      </c>
      <c r="W128" s="171"/>
      <c r="X128" s="172">
        <v>96</v>
      </c>
      <c r="Y128" s="173"/>
    </row>
    <row r="129" spans="1:28" ht="18" customHeight="1" x14ac:dyDescent="0.3">
      <c r="A129" s="106" t="s">
        <v>42</v>
      </c>
      <c r="B129" s="107"/>
      <c r="C129" s="107"/>
      <c r="D129" s="107"/>
      <c r="E129" s="107"/>
      <c r="F129" s="107"/>
      <c r="G129" s="107"/>
      <c r="H129" s="107"/>
      <c r="I129" s="108"/>
      <c r="J129" s="170">
        <v>702</v>
      </c>
      <c r="K129" s="171"/>
      <c r="L129" s="170">
        <v>1</v>
      </c>
      <c r="M129" s="171"/>
      <c r="N129" s="170">
        <v>1</v>
      </c>
      <c r="O129" s="171"/>
      <c r="P129" s="170">
        <v>704</v>
      </c>
      <c r="Q129" s="171"/>
      <c r="R129" s="170">
        <v>0</v>
      </c>
      <c r="S129" s="171"/>
      <c r="T129" s="170">
        <v>0</v>
      </c>
      <c r="U129" s="171"/>
      <c r="V129" s="170">
        <v>0</v>
      </c>
      <c r="W129" s="171"/>
      <c r="X129" s="172">
        <v>704</v>
      </c>
      <c r="Y129" s="173"/>
    </row>
    <row r="130" spans="1:28" ht="18" customHeight="1" x14ac:dyDescent="0.3">
      <c r="A130" s="106" t="s">
        <v>43</v>
      </c>
      <c r="B130" s="107"/>
      <c r="C130" s="107"/>
      <c r="D130" s="107"/>
      <c r="E130" s="107"/>
      <c r="F130" s="107"/>
      <c r="G130" s="107"/>
      <c r="H130" s="107"/>
      <c r="I130" s="108"/>
      <c r="J130" s="170">
        <v>0</v>
      </c>
      <c r="K130" s="171"/>
      <c r="L130" s="170">
        <v>0</v>
      </c>
      <c r="M130" s="171"/>
      <c r="N130" s="170">
        <v>0</v>
      </c>
      <c r="O130" s="171"/>
      <c r="P130" s="170">
        <v>0</v>
      </c>
      <c r="Q130" s="171"/>
      <c r="R130" s="170">
        <v>0</v>
      </c>
      <c r="S130" s="171"/>
      <c r="T130" s="170">
        <v>0</v>
      </c>
      <c r="U130" s="171"/>
      <c r="V130" s="170">
        <v>0</v>
      </c>
      <c r="W130" s="171"/>
      <c r="X130" s="172">
        <v>0</v>
      </c>
      <c r="Y130" s="173"/>
    </row>
    <row r="131" spans="1:28" ht="18" customHeight="1" x14ac:dyDescent="0.3">
      <c r="A131" s="106" t="s">
        <v>44</v>
      </c>
      <c r="B131" s="107"/>
      <c r="C131" s="107"/>
      <c r="D131" s="107"/>
      <c r="E131" s="107"/>
      <c r="F131" s="107"/>
      <c r="G131" s="107"/>
      <c r="H131" s="107"/>
      <c r="I131" s="108"/>
      <c r="J131" s="170">
        <v>295</v>
      </c>
      <c r="K131" s="171"/>
      <c r="L131" s="170">
        <v>0</v>
      </c>
      <c r="M131" s="171"/>
      <c r="N131" s="170">
        <v>0</v>
      </c>
      <c r="O131" s="171"/>
      <c r="P131" s="170">
        <v>295</v>
      </c>
      <c r="Q131" s="171"/>
      <c r="R131" s="170">
        <v>0</v>
      </c>
      <c r="S131" s="171"/>
      <c r="T131" s="170">
        <v>0</v>
      </c>
      <c r="U131" s="171"/>
      <c r="V131" s="170">
        <v>0</v>
      </c>
      <c r="W131" s="171"/>
      <c r="X131" s="172">
        <v>295</v>
      </c>
      <c r="Y131" s="173"/>
    </row>
    <row r="132" spans="1:28" ht="18" customHeight="1" x14ac:dyDescent="0.3">
      <c r="A132" s="106" t="s">
        <v>7</v>
      </c>
      <c r="B132" s="107"/>
      <c r="C132" s="107"/>
      <c r="D132" s="107"/>
      <c r="E132" s="107"/>
      <c r="F132" s="107"/>
      <c r="G132" s="107"/>
      <c r="H132" s="107"/>
      <c r="I132" s="108"/>
      <c r="J132" s="170">
        <v>1093</v>
      </c>
      <c r="K132" s="171"/>
      <c r="L132" s="170">
        <v>1</v>
      </c>
      <c r="M132" s="171"/>
      <c r="N132" s="170">
        <v>1</v>
      </c>
      <c r="O132" s="171"/>
      <c r="P132" s="170">
        <v>1095</v>
      </c>
      <c r="Q132" s="171"/>
      <c r="R132" s="170">
        <v>0</v>
      </c>
      <c r="S132" s="171"/>
      <c r="T132" s="170">
        <v>0</v>
      </c>
      <c r="U132" s="171"/>
      <c r="V132" s="170">
        <v>0</v>
      </c>
      <c r="W132" s="171"/>
      <c r="X132" s="172">
        <v>1095</v>
      </c>
      <c r="Y132" s="173"/>
    </row>
    <row r="133" spans="1:28" ht="15.6" x14ac:dyDescent="0.3">
      <c r="A133" s="4" t="s">
        <v>45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"/>
      <c r="S133" s="6"/>
      <c r="T133" s="6"/>
      <c r="U133" s="6"/>
      <c r="V133" s="6"/>
      <c r="W133" s="6"/>
      <c r="X133" s="6"/>
      <c r="Y133" s="7"/>
    </row>
    <row r="134" spans="1:28" x14ac:dyDescent="0.25">
      <c r="A134" s="71"/>
      <c r="B134" s="72"/>
      <c r="C134" s="72"/>
      <c r="D134" s="72"/>
      <c r="E134" s="72"/>
      <c r="F134" s="72"/>
      <c r="G134" s="73"/>
      <c r="H134" s="68" t="s">
        <v>0</v>
      </c>
      <c r="I134" s="69"/>
      <c r="J134" s="136" t="s">
        <v>1</v>
      </c>
      <c r="K134" s="69"/>
      <c r="L134" s="134" t="s">
        <v>2</v>
      </c>
      <c r="M134" s="69"/>
      <c r="N134" s="134" t="s">
        <v>3</v>
      </c>
      <c r="O134" s="69"/>
      <c r="P134" s="134" t="s">
        <v>4</v>
      </c>
      <c r="Q134" s="135"/>
      <c r="R134" s="134" t="s">
        <v>5</v>
      </c>
      <c r="S134" s="69"/>
      <c r="T134" s="134" t="s">
        <v>6</v>
      </c>
      <c r="U134" s="69"/>
      <c r="V134" s="134" t="s">
        <v>46</v>
      </c>
      <c r="W134" s="69"/>
      <c r="X134" s="134" t="s">
        <v>7</v>
      </c>
      <c r="Y134" s="135"/>
      <c r="Z134" s="8"/>
      <c r="AA134" s="9"/>
      <c r="AB134" s="9"/>
    </row>
    <row r="135" spans="1:28" x14ac:dyDescent="0.25">
      <c r="A135" s="74"/>
      <c r="B135" s="75"/>
      <c r="C135" s="75"/>
      <c r="D135" s="75"/>
      <c r="E135" s="75"/>
      <c r="F135" s="75"/>
      <c r="G135" s="76"/>
      <c r="H135" s="10" t="s">
        <v>10</v>
      </c>
      <c r="I135" s="10" t="s">
        <v>11</v>
      </c>
      <c r="J135" s="10" t="s">
        <v>10</v>
      </c>
      <c r="K135" s="10" t="s">
        <v>11</v>
      </c>
      <c r="L135" s="10" t="s">
        <v>10</v>
      </c>
      <c r="M135" s="10" t="s">
        <v>11</v>
      </c>
      <c r="N135" s="10" t="s">
        <v>10</v>
      </c>
      <c r="O135" s="10" t="s">
        <v>11</v>
      </c>
      <c r="P135" s="10" t="s">
        <v>10</v>
      </c>
      <c r="Q135" s="10" t="s">
        <v>11</v>
      </c>
      <c r="R135" s="10" t="s">
        <v>10</v>
      </c>
      <c r="S135" s="10" t="s">
        <v>11</v>
      </c>
      <c r="T135" s="10" t="s">
        <v>10</v>
      </c>
      <c r="U135" s="10" t="s">
        <v>11</v>
      </c>
      <c r="V135" s="10" t="s">
        <v>10</v>
      </c>
      <c r="W135" s="10" t="s">
        <v>11</v>
      </c>
      <c r="X135" s="10" t="s">
        <v>10</v>
      </c>
      <c r="Y135" s="10" t="s">
        <v>11</v>
      </c>
    </row>
    <row r="136" spans="1:28" ht="18" customHeight="1" x14ac:dyDescent="0.25">
      <c r="A136" s="106" t="s">
        <v>41</v>
      </c>
      <c r="B136" s="107"/>
      <c r="C136" s="107"/>
      <c r="D136" s="107"/>
      <c r="E136" s="107"/>
      <c r="F136" s="107"/>
      <c r="G136" s="108"/>
      <c r="H136" s="57">
        <v>1</v>
      </c>
      <c r="I136" s="57">
        <v>0</v>
      </c>
      <c r="J136" s="57">
        <v>4</v>
      </c>
      <c r="K136" s="57">
        <v>6</v>
      </c>
      <c r="L136" s="57">
        <v>8</v>
      </c>
      <c r="M136" s="57">
        <v>12</v>
      </c>
      <c r="N136" s="57">
        <v>12</v>
      </c>
      <c r="O136" s="57">
        <v>8</v>
      </c>
      <c r="P136" s="57">
        <v>4</v>
      </c>
      <c r="Q136" s="57">
        <v>6</v>
      </c>
      <c r="R136" s="57">
        <v>5</v>
      </c>
      <c r="S136" s="57">
        <v>5</v>
      </c>
      <c r="T136" s="57">
        <v>6</v>
      </c>
      <c r="U136" s="57">
        <v>7</v>
      </c>
      <c r="V136" s="57">
        <v>7</v>
      </c>
      <c r="W136" s="57">
        <v>5</v>
      </c>
      <c r="X136" s="10">
        <v>47</v>
      </c>
      <c r="Y136" s="10">
        <v>49</v>
      </c>
    </row>
    <row r="137" spans="1:28" ht="18" customHeight="1" x14ac:dyDescent="0.25">
      <c r="A137" s="106" t="s">
        <v>42</v>
      </c>
      <c r="B137" s="107"/>
      <c r="C137" s="107"/>
      <c r="D137" s="107"/>
      <c r="E137" s="107"/>
      <c r="F137" s="107"/>
      <c r="G137" s="108"/>
      <c r="H137" s="57">
        <v>232</v>
      </c>
      <c r="I137" s="57">
        <v>157</v>
      </c>
      <c r="J137" s="57">
        <v>65</v>
      </c>
      <c r="K137" s="57">
        <v>53</v>
      </c>
      <c r="L137" s="57">
        <v>27</v>
      </c>
      <c r="M137" s="57">
        <v>34</v>
      </c>
      <c r="N137" s="57">
        <v>20</v>
      </c>
      <c r="O137" s="57">
        <v>25</v>
      </c>
      <c r="P137" s="57">
        <v>14</v>
      </c>
      <c r="Q137" s="57">
        <v>15</v>
      </c>
      <c r="R137" s="57">
        <v>12</v>
      </c>
      <c r="S137" s="57">
        <v>10</v>
      </c>
      <c r="T137" s="57">
        <v>12</v>
      </c>
      <c r="U137" s="57">
        <v>12</v>
      </c>
      <c r="V137" s="57">
        <v>13</v>
      </c>
      <c r="W137" s="57">
        <v>3</v>
      </c>
      <c r="X137" s="10">
        <v>395</v>
      </c>
      <c r="Y137" s="10">
        <v>309</v>
      </c>
    </row>
    <row r="138" spans="1:28" ht="18" customHeight="1" x14ac:dyDescent="0.25">
      <c r="A138" s="106" t="s">
        <v>43</v>
      </c>
      <c r="B138" s="107"/>
      <c r="C138" s="107"/>
      <c r="D138" s="107"/>
      <c r="E138" s="107"/>
      <c r="F138" s="107"/>
      <c r="G138" s="108"/>
      <c r="H138" s="57">
        <v>0</v>
      </c>
      <c r="I138" s="57">
        <v>0</v>
      </c>
      <c r="J138" s="57">
        <v>0</v>
      </c>
      <c r="K138" s="57">
        <v>0</v>
      </c>
      <c r="L138" s="57">
        <v>0</v>
      </c>
      <c r="M138" s="57">
        <v>0</v>
      </c>
      <c r="N138" s="57">
        <v>0</v>
      </c>
      <c r="O138" s="57">
        <v>0</v>
      </c>
      <c r="P138" s="57">
        <v>0</v>
      </c>
      <c r="Q138" s="57">
        <v>0</v>
      </c>
      <c r="R138" s="57">
        <v>0</v>
      </c>
      <c r="S138" s="57">
        <v>0</v>
      </c>
      <c r="T138" s="57">
        <v>0</v>
      </c>
      <c r="U138" s="57">
        <v>0</v>
      </c>
      <c r="V138" s="57">
        <v>0</v>
      </c>
      <c r="W138" s="57">
        <v>0</v>
      </c>
      <c r="X138" s="10">
        <v>0</v>
      </c>
      <c r="Y138" s="10">
        <v>0</v>
      </c>
    </row>
    <row r="139" spans="1:28" ht="18" customHeight="1" x14ac:dyDescent="0.25">
      <c r="A139" s="106" t="s">
        <v>44</v>
      </c>
      <c r="B139" s="107"/>
      <c r="C139" s="107"/>
      <c r="D139" s="107"/>
      <c r="E139" s="107"/>
      <c r="F139" s="107"/>
      <c r="G139" s="108"/>
      <c r="H139" s="57">
        <v>66</v>
      </c>
      <c r="I139" s="57">
        <v>44</v>
      </c>
      <c r="J139" s="57">
        <v>20</v>
      </c>
      <c r="K139" s="57">
        <v>19</v>
      </c>
      <c r="L139" s="57">
        <v>35</v>
      </c>
      <c r="M139" s="57">
        <v>17</v>
      </c>
      <c r="N139" s="57">
        <v>9</v>
      </c>
      <c r="O139" s="57">
        <v>20</v>
      </c>
      <c r="P139" s="57">
        <v>12</v>
      </c>
      <c r="Q139" s="57">
        <v>10</v>
      </c>
      <c r="R139" s="57">
        <v>8</v>
      </c>
      <c r="S139" s="57">
        <v>10</v>
      </c>
      <c r="T139" s="57">
        <v>6</v>
      </c>
      <c r="U139" s="57">
        <v>1</v>
      </c>
      <c r="V139" s="57">
        <v>8</v>
      </c>
      <c r="W139" s="57">
        <v>10</v>
      </c>
      <c r="X139" s="10">
        <v>164</v>
      </c>
      <c r="Y139" s="10">
        <v>131</v>
      </c>
    </row>
    <row r="140" spans="1:28" ht="18" customHeight="1" x14ac:dyDescent="0.25">
      <c r="A140" s="106" t="s">
        <v>7</v>
      </c>
      <c r="B140" s="107"/>
      <c r="C140" s="107"/>
      <c r="D140" s="107"/>
      <c r="E140" s="107"/>
      <c r="F140" s="107"/>
      <c r="G140" s="108"/>
      <c r="H140" s="10">
        <v>299</v>
      </c>
      <c r="I140" s="10">
        <v>201</v>
      </c>
      <c r="J140" s="10">
        <v>89</v>
      </c>
      <c r="K140" s="10">
        <v>78</v>
      </c>
      <c r="L140" s="10">
        <v>70</v>
      </c>
      <c r="M140" s="10">
        <v>63</v>
      </c>
      <c r="N140" s="10">
        <v>41</v>
      </c>
      <c r="O140" s="10">
        <v>53</v>
      </c>
      <c r="P140" s="10">
        <v>30</v>
      </c>
      <c r="Q140" s="10">
        <v>31</v>
      </c>
      <c r="R140" s="10">
        <v>25</v>
      </c>
      <c r="S140" s="10">
        <v>25</v>
      </c>
      <c r="T140" s="10">
        <v>24</v>
      </c>
      <c r="U140" s="10">
        <v>20</v>
      </c>
      <c r="V140" s="10">
        <v>28</v>
      </c>
      <c r="W140" s="10">
        <v>18</v>
      </c>
      <c r="X140" s="10">
        <v>606</v>
      </c>
      <c r="Y140" s="10">
        <v>489</v>
      </c>
    </row>
    <row r="141" spans="1:28" ht="6.75" customHeight="1" x14ac:dyDescent="0.25">
      <c r="A141" s="11"/>
      <c r="B141" s="12"/>
      <c r="C141" s="12"/>
      <c r="D141" s="12"/>
      <c r="E141" s="12"/>
      <c r="F141" s="13"/>
      <c r="G141" s="13"/>
      <c r="H141" s="13"/>
      <c r="I141" s="13"/>
      <c r="J141" s="13"/>
      <c r="K141" s="13"/>
      <c r="L141" s="14"/>
      <c r="M141" s="13"/>
      <c r="N141" s="15"/>
      <c r="O141" s="16"/>
      <c r="P141" s="13"/>
      <c r="Q141" s="13"/>
      <c r="R141" s="13"/>
      <c r="S141" s="13"/>
      <c r="T141" s="13"/>
      <c r="U141" s="13"/>
      <c r="V141" s="13"/>
      <c r="W141" s="13"/>
      <c r="X141" s="13"/>
      <c r="Y141" s="17"/>
    </row>
    <row r="142" spans="1:28" ht="18" customHeight="1" x14ac:dyDescent="0.3">
      <c r="A142" s="18" t="s">
        <v>47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20"/>
      <c r="L142" s="21"/>
      <c r="M142" s="18" t="s">
        <v>48</v>
      </c>
      <c r="N142" s="19"/>
      <c r="O142" s="19"/>
      <c r="P142" s="19"/>
      <c r="Q142" s="22"/>
      <c r="R142" s="22"/>
      <c r="S142" s="22"/>
      <c r="T142" s="22"/>
      <c r="U142" s="22"/>
      <c r="V142" s="22"/>
      <c r="W142" s="22"/>
      <c r="X142" s="22"/>
      <c r="Y142" s="23"/>
    </row>
    <row r="143" spans="1:28" ht="57.75" customHeight="1" x14ac:dyDescent="0.25">
      <c r="A143" s="101" t="s">
        <v>49</v>
      </c>
      <c r="B143" s="101" t="s">
        <v>50</v>
      </c>
      <c r="C143" s="101" t="s">
        <v>51</v>
      </c>
      <c r="D143" s="77" t="s">
        <v>52</v>
      </c>
      <c r="E143" s="78"/>
      <c r="F143" s="77" t="s">
        <v>53</v>
      </c>
      <c r="G143" s="79"/>
      <c r="H143" s="79"/>
      <c r="I143" s="78"/>
      <c r="J143" s="101" t="s">
        <v>54</v>
      </c>
      <c r="K143" s="101" t="s">
        <v>55</v>
      </c>
      <c r="L143" s="24"/>
      <c r="M143" s="86" t="s">
        <v>56</v>
      </c>
      <c r="N143" s="88"/>
      <c r="O143" s="86" t="s">
        <v>57</v>
      </c>
      <c r="P143" s="88"/>
      <c r="Q143" s="86" t="s">
        <v>58</v>
      </c>
      <c r="R143" s="87"/>
      <c r="S143" s="87"/>
      <c r="T143" s="87"/>
      <c r="U143" s="87"/>
      <c r="V143" s="87"/>
      <c r="W143" s="87"/>
      <c r="X143" s="87"/>
      <c r="Y143" s="88"/>
    </row>
    <row r="144" spans="1:28" ht="38.25" customHeight="1" x14ac:dyDescent="0.25">
      <c r="A144" s="102"/>
      <c r="B144" s="102"/>
      <c r="C144" s="102"/>
      <c r="D144" s="25" t="s">
        <v>59</v>
      </c>
      <c r="E144" s="25" t="s">
        <v>60</v>
      </c>
      <c r="F144" s="26" t="s">
        <v>59</v>
      </c>
      <c r="G144" s="26" t="s">
        <v>60</v>
      </c>
      <c r="H144" s="26" t="s">
        <v>61</v>
      </c>
      <c r="I144" s="26" t="s">
        <v>62</v>
      </c>
      <c r="J144" s="102"/>
      <c r="K144" s="102"/>
      <c r="L144" s="24"/>
      <c r="M144" s="91"/>
      <c r="N144" s="92"/>
      <c r="O144" s="193">
        <v>0</v>
      </c>
      <c r="P144" s="92"/>
      <c r="Q144" s="194">
        <v>0</v>
      </c>
      <c r="R144" s="87"/>
      <c r="S144" s="87"/>
      <c r="T144" s="87"/>
      <c r="U144" s="87"/>
      <c r="V144" s="87"/>
      <c r="W144" s="87"/>
      <c r="X144" s="87"/>
      <c r="Y144" s="88"/>
    </row>
    <row r="145" spans="1:25" ht="42.75" customHeight="1" x14ac:dyDescent="0.25">
      <c r="A145" s="103">
        <v>173311</v>
      </c>
      <c r="B145" s="103">
        <v>1596</v>
      </c>
      <c r="C145" s="164"/>
      <c r="D145" s="103">
        <v>2423</v>
      </c>
      <c r="E145" s="164"/>
      <c r="F145" s="103">
        <v>81</v>
      </c>
      <c r="G145" s="164"/>
      <c r="H145" s="164"/>
      <c r="I145" s="164">
        <v>81</v>
      </c>
      <c r="J145" s="103">
        <v>182</v>
      </c>
      <c r="K145" s="103">
        <v>82</v>
      </c>
      <c r="L145" s="24"/>
      <c r="M145" s="91" t="s">
        <v>63</v>
      </c>
      <c r="N145" s="92"/>
      <c r="O145" s="91" t="s">
        <v>64</v>
      </c>
      <c r="P145" s="92"/>
      <c r="Q145" s="95" t="s">
        <v>65</v>
      </c>
      <c r="R145" s="99"/>
      <c r="S145" s="96"/>
      <c r="T145" s="95" t="s">
        <v>66</v>
      </c>
      <c r="U145" s="99"/>
      <c r="V145" s="99"/>
      <c r="W145" s="99"/>
      <c r="X145" s="99"/>
      <c r="Y145" s="96"/>
    </row>
    <row r="146" spans="1:25" ht="15" customHeight="1" x14ac:dyDescent="0.25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27"/>
      <c r="M146" s="91"/>
      <c r="N146" s="92"/>
      <c r="O146" s="91"/>
      <c r="P146" s="92"/>
      <c r="Q146" s="91"/>
      <c r="R146" s="97"/>
      <c r="S146" s="92"/>
      <c r="T146" s="28"/>
      <c r="U146" s="86" t="s">
        <v>0</v>
      </c>
      <c r="V146" s="88"/>
      <c r="W146" s="29" t="s">
        <v>1</v>
      </c>
      <c r="X146" s="86" t="s">
        <v>67</v>
      </c>
      <c r="Y146" s="88"/>
    </row>
    <row r="147" spans="1:25" x14ac:dyDescent="0.25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27"/>
      <c r="M147" s="93"/>
      <c r="N147" s="94"/>
      <c r="O147" s="93"/>
      <c r="P147" s="94"/>
      <c r="Q147" s="93"/>
      <c r="R147" s="98"/>
      <c r="S147" s="94"/>
      <c r="T147" s="30" t="s">
        <v>68</v>
      </c>
      <c r="U147" s="100"/>
      <c r="V147" s="100"/>
      <c r="W147" s="29"/>
      <c r="X147" s="100"/>
      <c r="Y147" s="100"/>
    </row>
    <row r="148" spans="1:25" x14ac:dyDescent="0.25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27"/>
      <c r="M148" s="93"/>
      <c r="N148" s="94"/>
      <c r="O148" s="93"/>
      <c r="P148" s="94"/>
      <c r="Q148" s="93"/>
      <c r="R148" s="98"/>
      <c r="S148" s="94"/>
      <c r="T148" s="30" t="s">
        <v>69</v>
      </c>
      <c r="U148" s="100"/>
      <c r="V148" s="100"/>
      <c r="W148" s="29"/>
      <c r="X148" s="100"/>
      <c r="Y148" s="100"/>
    </row>
    <row r="149" spans="1:25" ht="8.25" customHeight="1" x14ac:dyDescent="0.25">
      <c r="A149" s="165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27"/>
      <c r="M149" s="95"/>
      <c r="N149" s="96"/>
      <c r="O149" s="95"/>
      <c r="P149" s="96"/>
      <c r="Q149" s="95"/>
      <c r="R149" s="99"/>
      <c r="S149" s="96"/>
      <c r="T149" s="30" t="s">
        <v>70</v>
      </c>
      <c r="U149" s="100"/>
      <c r="V149" s="100"/>
      <c r="W149" s="29"/>
      <c r="X149" s="100"/>
      <c r="Y149" s="100"/>
    </row>
    <row r="150" spans="1:25" x14ac:dyDescent="0.25">
      <c r="A150" s="31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3"/>
      <c r="M150" s="32"/>
      <c r="N150" s="32"/>
      <c r="O150" s="32"/>
      <c r="P150" s="32"/>
      <c r="Q150" s="32"/>
      <c r="R150" s="34"/>
      <c r="S150" s="34"/>
      <c r="T150" s="34"/>
      <c r="U150" s="34"/>
      <c r="V150" s="34"/>
      <c r="W150" s="32"/>
      <c r="X150" s="32"/>
      <c r="Y150" s="7"/>
    </row>
    <row r="151" spans="1:25" ht="15.6" x14ac:dyDescent="0.3">
      <c r="A151" s="18" t="s">
        <v>71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20"/>
      <c r="L151" s="35"/>
      <c r="M151" s="18" t="s">
        <v>72</v>
      </c>
      <c r="N151" s="20"/>
      <c r="O151" s="36"/>
      <c r="P151" s="19"/>
      <c r="Q151" s="19"/>
      <c r="R151" s="19"/>
      <c r="S151" s="19"/>
      <c r="T151" s="19"/>
      <c r="U151" s="19"/>
      <c r="V151" s="19"/>
      <c r="W151" s="22"/>
      <c r="X151" s="22"/>
      <c r="Y151" s="37"/>
    </row>
    <row r="152" spans="1:25" ht="53.25" customHeight="1" x14ac:dyDescent="0.25">
      <c r="A152" s="71"/>
      <c r="B152" s="72"/>
      <c r="C152" s="72"/>
      <c r="D152" s="72"/>
      <c r="E152" s="73"/>
      <c r="F152" s="68" t="s">
        <v>12</v>
      </c>
      <c r="G152" s="70"/>
      <c r="H152" s="68" t="s">
        <v>13</v>
      </c>
      <c r="I152" s="70"/>
      <c r="J152" s="38" t="s">
        <v>73</v>
      </c>
      <c r="K152" s="39"/>
      <c r="L152" s="40"/>
      <c r="M152" s="77" t="s">
        <v>74</v>
      </c>
      <c r="N152" s="78"/>
      <c r="O152" s="77" t="s">
        <v>75</v>
      </c>
      <c r="P152" s="78"/>
      <c r="Q152" s="77" t="s">
        <v>76</v>
      </c>
      <c r="R152" s="78"/>
      <c r="S152" s="77" t="s">
        <v>77</v>
      </c>
      <c r="T152" s="79"/>
      <c r="U152" s="79"/>
      <c r="V152" s="78"/>
      <c r="W152" s="77" t="s">
        <v>78</v>
      </c>
      <c r="X152" s="79"/>
      <c r="Y152" s="78"/>
    </row>
    <row r="153" spans="1:25" ht="21" customHeight="1" x14ac:dyDescent="0.25">
      <c r="A153" s="74"/>
      <c r="B153" s="75"/>
      <c r="C153" s="75"/>
      <c r="D153" s="75"/>
      <c r="E153" s="76"/>
      <c r="F153" s="10" t="s">
        <v>79</v>
      </c>
      <c r="G153" s="10" t="s">
        <v>14</v>
      </c>
      <c r="H153" s="10" t="s">
        <v>79</v>
      </c>
      <c r="I153" s="10" t="s">
        <v>14</v>
      </c>
      <c r="J153" s="10" t="s">
        <v>79</v>
      </c>
      <c r="K153" s="10" t="s">
        <v>14</v>
      </c>
      <c r="L153" s="41"/>
      <c r="M153" s="42" t="s">
        <v>80</v>
      </c>
      <c r="N153" s="42" t="s">
        <v>81</v>
      </c>
      <c r="O153" s="42" t="s">
        <v>80</v>
      </c>
      <c r="P153" s="43" t="s">
        <v>81</v>
      </c>
      <c r="Q153" s="42" t="s">
        <v>80</v>
      </c>
      <c r="R153" s="42" t="s">
        <v>81</v>
      </c>
      <c r="S153" s="44"/>
      <c r="T153" s="42" t="s">
        <v>0</v>
      </c>
      <c r="U153" s="45" t="s">
        <v>1</v>
      </c>
      <c r="V153" s="46" t="s">
        <v>82</v>
      </c>
      <c r="W153" s="42" t="s">
        <v>0</v>
      </c>
      <c r="X153" s="45" t="s">
        <v>1</v>
      </c>
      <c r="Y153" s="46" t="s">
        <v>82</v>
      </c>
    </row>
    <row r="154" spans="1:25" ht="14.4" x14ac:dyDescent="0.3">
      <c r="A154" s="80" t="s">
        <v>83</v>
      </c>
      <c r="B154" s="81"/>
      <c r="C154" s="81"/>
      <c r="D154" s="81"/>
      <c r="E154" s="82"/>
      <c r="F154" s="29">
        <v>63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41"/>
      <c r="M154" s="83"/>
      <c r="N154" s="83">
        <v>131</v>
      </c>
      <c r="O154" s="83">
        <v>95</v>
      </c>
      <c r="P154" s="83">
        <v>119</v>
      </c>
      <c r="Q154" s="83">
        <v>2</v>
      </c>
      <c r="R154" s="83">
        <v>12</v>
      </c>
      <c r="S154" s="47" t="s">
        <v>68</v>
      </c>
      <c r="T154" s="29"/>
      <c r="U154" s="29"/>
      <c r="V154" s="29">
        <v>0</v>
      </c>
      <c r="W154" s="29"/>
      <c r="X154" s="29"/>
      <c r="Y154" s="29"/>
    </row>
    <row r="155" spans="1:25" ht="14.4" x14ac:dyDescent="0.3">
      <c r="A155" s="80" t="s">
        <v>8</v>
      </c>
      <c r="B155" s="81"/>
      <c r="C155" s="81"/>
      <c r="D155" s="81"/>
      <c r="E155" s="82"/>
      <c r="F155" s="29">
        <v>0</v>
      </c>
      <c r="G155" s="29">
        <v>0</v>
      </c>
      <c r="H155" s="29">
        <v>0</v>
      </c>
      <c r="I155" s="29">
        <v>0</v>
      </c>
      <c r="J155" s="29">
        <v>0</v>
      </c>
      <c r="K155" s="29">
        <v>0</v>
      </c>
      <c r="L155" s="41"/>
      <c r="M155" s="84"/>
      <c r="N155" s="84"/>
      <c r="O155" s="84"/>
      <c r="P155" s="84"/>
      <c r="Q155" s="84"/>
      <c r="R155" s="84"/>
      <c r="S155" s="47" t="s">
        <v>69</v>
      </c>
      <c r="T155" s="29"/>
      <c r="U155" s="29"/>
      <c r="V155" s="29"/>
      <c r="W155" s="29"/>
      <c r="X155" s="29"/>
      <c r="Y155" s="29"/>
    </row>
    <row r="156" spans="1:25" ht="15" customHeight="1" x14ac:dyDescent="0.25">
      <c r="A156" s="86" t="s">
        <v>84</v>
      </c>
      <c r="B156" s="87"/>
      <c r="C156" s="87"/>
      <c r="D156" s="87"/>
      <c r="E156" s="88"/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41"/>
      <c r="M156" s="84"/>
      <c r="N156" s="84"/>
      <c r="O156" s="84"/>
      <c r="P156" s="84"/>
      <c r="Q156" s="84"/>
      <c r="R156" s="84"/>
      <c r="S156" s="89" t="s">
        <v>70</v>
      </c>
      <c r="T156" s="83"/>
      <c r="U156" s="83"/>
      <c r="V156" s="83"/>
      <c r="W156" s="83"/>
      <c r="X156" s="83"/>
      <c r="Y156" s="83"/>
    </row>
    <row r="157" spans="1:25" x14ac:dyDescent="0.25">
      <c r="A157" s="68" t="s">
        <v>7</v>
      </c>
      <c r="B157" s="69"/>
      <c r="C157" s="69"/>
      <c r="D157" s="69"/>
      <c r="E157" s="70"/>
      <c r="F157" s="10">
        <v>63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41"/>
      <c r="M157" s="85"/>
      <c r="N157" s="85"/>
      <c r="O157" s="85"/>
      <c r="P157" s="85"/>
      <c r="Q157" s="85"/>
      <c r="R157" s="85"/>
      <c r="S157" s="90"/>
      <c r="T157" s="85"/>
      <c r="U157" s="85"/>
      <c r="V157" s="85"/>
      <c r="W157" s="85"/>
      <c r="X157" s="85"/>
      <c r="Y157" s="85"/>
    </row>
    <row r="158" spans="1:25" ht="23.4" x14ac:dyDescent="0.45">
      <c r="A158" s="120" t="s">
        <v>17</v>
      </c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</row>
    <row r="159" spans="1:25" ht="23.4" x14ac:dyDescent="0.25">
      <c r="A159" s="111" t="s">
        <v>18</v>
      </c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"/>
      <c r="U159" s="112" t="s">
        <v>19</v>
      </c>
      <c r="V159" s="112"/>
      <c r="W159" s="1"/>
      <c r="X159" s="1"/>
      <c r="Y159" s="1"/>
    </row>
    <row r="160" spans="1:25" ht="26.25" customHeight="1" x14ac:dyDescent="0.25">
      <c r="A160" s="113" t="s">
        <v>20</v>
      </c>
      <c r="B160" s="113"/>
      <c r="C160" s="113"/>
      <c r="D160" s="113"/>
      <c r="E160" s="198" t="s">
        <v>89</v>
      </c>
      <c r="F160" s="198"/>
      <c r="G160" s="198"/>
      <c r="H160" s="116" t="s">
        <v>22</v>
      </c>
      <c r="I160" s="116"/>
      <c r="J160" s="115">
        <v>0</v>
      </c>
      <c r="K160" s="115"/>
      <c r="L160" s="116" t="s">
        <v>23</v>
      </c>
      <c r="M160" s="116"/>
      <c r="N160" s="199" t="s">
        <v>15</v>
      </c>
      <c r="O160" s="199"/>
      <c r="P160" s="199"/>
      <c r="Q160" s="118" t="s">
        <v>24</v>
      </c>
      <c r="R160" s="118"/>
      <c r="S160" s="118"/>
      <c r="T160" s="118"/>
      <c r="U160" s="119" t="s">
        <v>88</v>
      </c>
      <c r="V160" s="119"/>
      <c r="W160" s="119"/>
      <c r="X160" s="147" t="s">
        <v>93</v>
      </c>
      <c r="Y160" s="147"/>
    </row>
    <row r="161" spans="1:28" ht="15" customHeight="1" x14ac:dyDescent="0.25">
      <c r="Q161" s="118"/>
      <c r="R161" s="118"/>
      <c r="S161" s="118"/>
      <c r="T161" s="118"/>
      <c r="U161" s="119"/>
      <c r="V161" s="119"/>
      <c r="W161" s="119"/>
      <c r="X161" s="147"/>
      <c r="Y161" s="147"/>
    </row>
    <row r="162" spans="1:28" ht="15.75" customHeight="1" x14ac:dyDescent="0.3">
      <c r="A162" s="166" t="s">
        <v>26</v>
      </c>
      <c r="B162" s="166"/>
      <c r="C162" s="166"/>
      <c r="D162" s="166"/>
      <c r="E162" s="166"/>
      <c r="F162" s="166"/>
      <c r="G162" s="167" t="s">
        <v>27</v>
      </c>
      <c r="H162" s="167"/>
      <c r="I162" s="167"/>
      <c r="J162" s="167"/>
      <c r="K162" s="167"/>
      <c r="L162" s="167"/>
      <c r="M162" s="167"/>
      <c r="N162" s="2"/>
      <c r="Q162" s="168" t="s">
        <v>28</v>
      </c>
      <c r="R162" s="168"/>
      <c r="S162" s="168"/>
      <c r="T162" s="168"/>
      <c r="U162" s="168"/>
      <c r="V162" s="148" t="s">
        <v>29</v>
      </c>
      <c r="W162" s="148"/>
      <c r="X162" s="148"/>
      <c r="Y162" s="148"/>
    </row>
    <row r="163" spans="1:28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8" ht="15" customHeight="1" x14ac:dyDescent="0.25">
      <c r="A164" s="149" t="s">
        <v>31</v>
      </c>
      <c r="B164" s="150"/>
      <c r="C164" s="150"/>
      <c r="D164" s="150"/>
      <c r="E164" s="150"/>
      <c r="F164" s="150"/>
      <c r="G164" s="150"/>
      <c r="H164" s="150"/>
      <c r="I164" s="151"/>
      <c r="J164" s="152" t="s">
        <v>32</v>
      </c>
      <c r="K164" s="153"/>
      <c r="L164" s="152" t="s">
        <v>33</v>
      </c>
      <c r="M164" s="153"/>
      <c r="N164" s="91" t="s">
        <v>34</v>
      </c>
      <c r="O164" s="92"/>
      <c r="P164" s="152" t="s">
        <v>35</v>
      </c>
      <c r="Q164" s="153"/>
      <c r="R164" s="68" t="s">
        <v>36</v>
      </c>
      <c r="S164" s="69"/>
      <c r="T164" s="69"/>
      <c r="U164" s="69"/>
      <c r="V164" s="69"/>
      <c r="W164" s="70"/>
      <c r="X164" s="152" t="s">
        <v>7</v>
      </c>
      <c r="Y164" s="153"/>
    </row>
    <row r="165" spans="1:28" ht="23.25" customHeight="1" x14ac:dyDescent="0.25">
      <c r="A165" s="158" t="s">
        <v>37</v>
      </c>
      <c r="B165" s="159"/>
      <c r="C165" s="159"/>
      <c r="D165" s="159"/>
      <c r="E165" s="159"/>
      <c r="F165" s="159"/>
      <c r="G165" s="159"/>
      <c r="H165" s="159"/>
      <c r="I165" s="160"/>
      <c r="J165" s="154"/>
      <c r="K165" s="155"/>
      <c r="L165" s="154"/>
      <c r="M165" s="155"/>
      <c r="N165" s="93"/>
      <c r="O165" s="94"/>
      <c r="P165" s="154"/>
      <c r="Q165" s="155"/>
      <c r="R165" s="91" t="s">
        <v>38</v>
      </c>
      <c r="S165" s="92"/>
      <c r="T165" s="91" t="s">
        <v>39</v>
      </c>
      <c r="U165" s="92"/>
      <c r="V165" s="91" t="s">
        <v>40</v>
      </c>
      <c r="W165" s="92"/>
      <c r="X165" s="154"/>
      <c r="Y165" s="155"/>
    </row>
    <row r="166" spans="1:28" x14ac:dyDescent="0.25">
      <c r="A166" s="161"/>
      <c r="B166" s="162"/>
      <c r="C166" s="162"/>
      <c r="D166" s="162"/>
      <c r="E166" s="162"/>
      <c r="F166" s="162"/>
      <c r="G166" s="162"/>
      <c r="H166" s="162"/>
      <c r="I166" s="163"/>
      <c r="J166" s="156"/>
      <c r="K166" s="157"/>
      <c r="L166" s="156"/>
      <c r="M166" s="157"/>
      <c r="N166" s="95"/>
      <c r="O166" s="96"/>
      <c r="P166" s="156"/>
      <c r="Q166" s="157"/>
      <c r="R166" s="95"/>
      <c r="S166" s="96"/>
      <c r="T166" s="95"/>
      <c r="U166" s="96"/>
      <c r="V166" s="95"/>
      <c r="W166" s="96"/>
      <c r="X166" s="156"/>
      <c r="Y166" s="157"/>
    </row>
    <row r="167" spans="1:28" ht="18" customHeight="1" x14ac:dyDescent="0.3">
      <c r="A167" s="106" t="s">
        <v>41</v>
      </c>
      <c r="B167" s="107"/>
      <c r="C167" s="107"/>
      <c r="D167" s="107"/>
      <c r="E167" s="107"/>
      <c r="F167" s="107"/>
      <c r="G167" s="107"/>
      <c r="H167" s="107"/>
      <c r="I167" s="108"/>
      <c r="J167" s="170">
        <v>423</v>
      </c>
      <c r="K167" s="171"/>
      <c r="L167" s="170">
        <v>6</v>
      </c>
      <c r="M167" s="171"/>
      <c r="N167" s="170">
        <v>2</v>
      </c>
      <c r="O167" s="171"/>
      <c r="P167" s="170">
        <v>431</v>
      </c>
      <c r="Q167" s="171"/>
      <c r="R167" s="170">
        <v>0</v>
      </c>
      <c r="S167" s="171"/>
      <c r="T167" s="170">
        <v>1</v>
      </c>
      <c r="U167" s="171"/>
      <c r="V167" s="170">
        <v>0</v>
      </c>
      <c r="W167" s="171"/>
      <c r="X167" s="172">
        <v>432</v>
      </c>
      <c r="Y167" s="173"/>
    </row>
    <row r="168" spans="1:28" ht="18" customHeight="1" x14ac:dyDescent="0.3">
      <c r="A168" s="106" t="s">
        <v>42</v>
      </c>
      <c r="B168" s="107"/>
      <c r="C168" s="107"/>
      <c r="D168" s="107"/>
      <c r="E168" s="107"/>
      <c r="F168" s="107"/>
      <c r="G168" s="107"/>
      <c r="H168" s="107"/>
      <c r="I168" s="108"/>
      <c r="J168" s="170">
        <v>2588</v>
      </c>
      <c r="K168" s="171"/>
      <c r="L168" s="170">
        <v>1</v>
      </c>
      <c r="M168" s="171"/>
      <c r="N168" s="170">
        <v>6</v>
      </c>
      <c r="O168" s="171"/>
      <c r="P168" s="170">
        <v>2595</v>
      </c>
      <c r="Q168" s="171"/>
      <c r="R168" s="170">
        <v>0</v>
      </c>
      <c r="S168" s="171"/>
      <c r="T168" s="170">
        <v>0</v>
      </c>
      <c r="U168" s="171"/>
      <c r="V168" s="170">
        <v>1</v>
      </c>
      <c r="W168" s="171"/>
      <c r="X168" s="172">
        <v>2596</v>
      </c>
      <c r="Y168" s="173"/>
    </row>
    <row r="169" spans="1:28" ht="18" customHeight="1" x14ac:dyDescent="0.3">
      <c r="A169" s="106" t="s">
        <v>43</v>
      </c>
      <c r="B169" s="107"/>
      <c r="C169" s="107"/>
      <c r="D169" s="107"/>
      <c r="E169" s="107"/>
      <c r="F169" s="107"/>
      <c r="G169" s="107"/>
      <c r="H169" s="107"/>
      <c r="I169" s="108"/>
      <c r="J169" s="170">
        <v>1</v>
      </c>
      <c r="K169" s="171"/>
      <c r="L169" s="170">
        <v>0</v>
      </c>
      <c r="M169" s="171"/>
      <c r="N169" s="170">
        <v>0</v>
      </c>
      <c r="O169" s="171"/>
      <c r="P169" s="170">
        <v>1</v>
      </c>
      <c r="Q169" s="171"/>
      <c r="R169" s="170">
        <v>0</v>
      </c>
      <c r="S169" s="171"/>
      <c r="T169" s="170">
        <v>0</v>
      </c>
      <c r="U169" s="171"/>
      <c r="V169" s="170">
        <v>0</v>
      </c>
      <c r="W169" s="171"/>
      <c r="X169" s="172">
        <v>1</v>
      </c>
      <c r="Y169" s="173"/>
    </row>
    <row r="170" spans="1:28" ht="18" customHeight="1" x14ac:dyDescent="0.3">
      <c r="A170" s="106" t="s">
        <v>44</v>
      </c>
      <c r="B170" s="107"/>
      <c r="C170" s="107"/>
      <c r="D170" s="107"/>
      <c r="E170" s="107"/>
      <c r="F170" s="107"/>
      <c r="G170" s="107"/>
      <c r="H170" s="107"/>
      <c r="I170" s="108"/>
      <c r="J170" s="170">
        <v>1058</v>
      </c>
      <c r="K170" s="171"/>
      <c r="L170" s="170">
        <v>0</v>
      </c>
      <c r="M170" s="171"/>
      <c r="N170" s="170">
        <v>2</v>
      </c>
      <c r="O170" s="171"/>
      <c r="P170" s="170">
        <v>1060</v>
      </c>
      <c r="Q170" s="171"/>
      <c r="R170" s="170">
        <v>0</v>
      </c>
      <c r="S170" s="171"/>
      <c r="T170" s="170">
        <v>0</v>
      </c>
      <c r="U170" s="171"/>
      <c r="V170" s="170">
        <v>0</v>
      </c>
      <c r="W170" s="171"/>
      <c r="X170" s="172">
        <v>1060</v>
      </c>
      <c r="Y170" s="173"/>
    </row>
    <row r="171" spans="1:28" ht="18" customHeight="1" x14ac:dyDescent="0.3">
      <c r="A171" s="106" t="s">
        <v>7</v>
      </c>
      <c r="B171" s="107"/>
      <c r="C171" s="107"/>
      <c r="D171" s="107"/>
      <c r="E171" s="107"/>
      <c r="F171" s="107"/>
      <c r="G171" s="107"/>
      <c r="H171" s="107"/>
      <c r="I171" s="108"/>
      <c r="J171" s="170">
        <v>4070</v>
      </c>
      <c r="K171" s="171"/>
      <c r="L171" s="170">
        <v>7</v>
      </c>
      <c r="M171" s="171"/>
      <c r="N171" s="170">
        <v>10</v>
      </c>
      <c r="O171" s="171"/>
      <c r="P171" s="170">
        <v>4087</v>
      </c>
      <c r="Q171" s="171"/>
      <c r="R171" s="170">
        <v>0</v>
      </c>
      <c r="S171" s="171"/>
      <c r="T171" s="170">
        <v>1</v>
      </c>
      <c r="U171" s="171"/>
      <c r="V171" s="170">
        <v>1</v>
      </c>
      <c r="W171" s="171"/>
      <c r="X171" s="172">
        <v>4089</v>
      </c>
      <c r="Y171" s="173"/>
    </row>
    <row r="172" spans="1:28" ht="15.6" x14ac:dyDescent="0.3">
      <c r="A172" s="4" t="s">
        <v>45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"/>
      <c r="S172" s="6"/>
      <c r="T172" s="6"/>
      <c r="U172" s="6"/>
      <c r="V172" s="6"/>
      <c r="W172" s="6"/>
      <c r="X172" s="6"/>
      <c r="Y172" s="7"/>
    </row>
    <row r="173" spans="1:28" x14ac:dyDescent="0.25">
      <c r="A173" s="71"/>
      <c r="B173" s="72"/>
      <c r="C173" s="72"/>
      <c r="D173" s="72"/>
      <c r="E173" s="72"/>
      <c r="F173" s="72"/>
      <c r="G173" s="73"/>
      <c r="H173" s="68" t="s">
        <v>0</v>
      </c>
      <c r="I173" s="70"/>
      <c r="J173" s="136" t="s">
        <v>1</v>
      </c>
      <c r="K173" s="200"/>
      <c r="L173" s="134" t="s">
        <v>2</v>
      </c>
      <c r="M173" s="135"/>
      <c r="N173" s="134" t="s">
        <v>3</v>
      </c>
      <c r="O173" s="135"/>
      <c r="P173" s="134" t="s">
        <v>4</v>
      </c>
      <c r="Q173" s="135"/>
      <c r="R173" s="134" t="s">
        <v>5</v>
      </c>
      <c r="S173" s="135"/>
      <c r="T173" s="134" t="s">
        <v>6</v>
      </c>
      <c r="U173" s="135"/>
      <c r="V173" s="134" t="s">
        <v>46</v>
      </c>
      <c r="W173" s="135"/>
      <c r="X173" s="134" t="s">
        <v>7</v>
      </c>
      <c r="Y173" s="135"/>
      <c r="Z173" s="8"/>
      <c r="AA173" s="9"/>
      <c r="AB173" s="9"/>
    </row>
    <row r="174" spans="1:28" x14ac:dyDescent="0.25">
      <c r="A174" s="74"/>
      <c r="B174" s="75"/>
      <c r="C174" s="75"/>
      <c r="D174" s="75"/>
      <c r="E174" s="75"/>
      <c r="F174" s="75"/>
      <c r="G174" s="76"/>
      <c r="H174" s="10" t="s">
        <v>10</v>
      </c>
      <c r="I174" s="10" t="s">
        <v>11</v>
      </c>
      <c r="J174" s="10" t="s">
        <v>10</v>
      </c>
      <c r="K174" s="10" t="s">
        <v>11</v>
      </c>
      <c r="L174" s="10" t="s">
        <v>10</v>
      </c>
      <c r="M174" s="10" t="s">
        <v>11</v>
      </c>
      <c r="N174" s="10" t="s">
        <v>10</v>
      </c>
      <c r="O174" s="10" t="s">
        <v>11</v>
      </c>
      <c r="P174" s="10" t="s">
        <v>10</v>
      </c>
      <c r="Q174" s="10" t="s">
        <v>11</v>
      </c>
      <c r="R174" s="10" t="s">
        <v>10</v>
      </c>
      <c r="S174" s="10" t="s">
        <v>11</v>
      </c>
      <c r="T174" s="10" t="s">
        <v>10</v>
      </c>
      <c r="U174" s="10" t="s">
        <v>11</v>
      </c>
      <c r="V174" s="10" t="s">
        <v>10</v>
      </c>
      <c r="W174" s="10" t="s">
        <v>11</v>
      </c>
      <c r="X174" s="10" t="s">
        <v>10</v>
      </c>
      <c r="Y174" s="10" t="s">
        <v>11</v>
      </c>
    </row>
    <row r="175" spans="1:28" ht="18" customHeight="1" x14ac:dyDescent="0.25">
      <c r="A175" s="106" t="s">
        <v>41</v>
      </c>
      <c r="B175" s="107"/>
      <c r="C175" s="107"/>
      <c r="D175" s="107"/>
      <c r="E175" s="107"/>
      <c r="F175" s="107"/>
      <c r="G175" s="108"/>
      <c r="H175" s="51">
        <v>1</v>
      </c>
      <c r="I175" s="51">
        <v>0</v>
      </c>
      <c r="J175" s="51">
        <v>8</v>
      </c>
      <c r="K175" s="51">
        <v>19</v>
      </c>
      <c r="L175" s="51">
        <v>48</v>
      </c>
      <c r="M175" s="51">
        <v>65</v>
      </c>
      <c r="N175" s="51">
        <v>50</v>
      </c>
      <c r="O175" s="51">
        <v>50</v>
      </c>
      <c r="P175" s="51">
        <v>27</v>
      </c>
      <c r="Q175" s="51">
        <v>23</v>
      </c>
      <c r="R175" s="51">
        <v>19</v>
      </c>
      <c r="S175" s="51">
        <v>25</v>
      </c>
      <c r="T175" s="51">
        <v>20</v>
      </c>
      <c r="U175" s="51">
        <v>13</v>
      </c>
      <c r="V175" s="51">
        <v>36</v>
      </c>
      <c r="W175" s="51">
        <v>27</v>
      </c>
      <c r="X175" s="51">
        <v>209</v>
      </c>
      <c r="Y175" s="51">
        <v>222</v>
      </c>
    </row>
    <row r="176" spans="1:28" ht="18" customHeight="1" x14ac:dyDescent="0.25">
      <c r="A176" s="106" t="s">
        <v>42</v>
      </c>
      <c r="B176" s="107"/>
      <c r="C176" s="107"/>
      <c r="D176" s="107"/>
      <c r="E176" s="107"/>
      <c r="F176" s="107"/>
      <c r="G176" s="108"/>
      <c r="H176" s="51">
        <v>808</v>
      </c>
      <c r="I176" s="51">
        <v>605</v>
      </c>
      <c r="J176" s="51">
        <v>203</v>
      </c>
      <c r="K176" s="51">
        <v>178</v>
      </c>
      <c r="L176" s="51">
        <v>90</v>
      </c>
      <c r="M176" s="51">
        <v>130</v>
      </c>
      <c r="N176" s="51">
        <v>76</v>
      </c>
      <c r="O176" s="51">
        <v>92</v>
      </c>
      <c r="P176" s="51">
        <v>56</v>
      </c>
      <c r="Q176" s="51">
        <v>65</v>
      </c>
      <c r="R176" s="51">
        <v>49</v>
      </c>
      <c r="S176" s="51">
        <v>53</v>
      </c>
      <c r="T176" s="51">
        <v>35</v>
      </c>
      <c r="U176" s="51">
        <v>58</v>
      </c>
      <c r="V176" s="51">
        <v>74</v>
      </c>
      <c r="W176" s="51">
        <v>23</v>
      </c>
      <c r="X176" s="51">
        <v>1391</v>
      </c>
      <c r="Y176" s="51">
        <v>1204</v>
      </c>
    </row>
    <row r="177" spans="1:25" x14ac:dyDescent="0.25">
      <c r="A177" s="106" t="s">
        <v>43</v>
      </c>
      <c r="B177" s="107"/>
      <c r="C177" s="107"/>
      <c r="D177" s="107"/>
      <c r="E177" s="107"/>
      <c r="F177" s="107"/>
      <c r="G177" s="108"/>
      <c r="H177" s="51">
        <v>0</v>
      </c>
      <c r="I177" s="51">
        <v>0</v>
      </c>
      <c r="J177" s="51">
        <v>0</v>
      </c>
      <c r="K177" s="51">
        <v>1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1">
        <v>0</v>
      </c>
      <c r="U177" s="51">
        <v>0</v>
      </c>
      <c r="V177" s="51">
        <v>0</v>
      </c>
      <c r="W177" s="51">
        <v>0</v>
      </c>
      <c r="X177" s="51">
        <v>0</v>
      </c>
      <c r="Y177" s="51">
        <v>1</v>
      </c>
    </row>
    <row r="178" spans="1:25" x14ac:dyDescent="0.25">
      <c r="A178" s="106" t="s">
        <v>44</v>
      </c>
      <c r="B178" s="107"/>
      <c r="C178" s="107"/>
      <c r="D178" s="107"/>
      <c r="E178" s="107"/>
      <c r="F178" s="107"/>
      <c r="G178" s="108"/>
      <c r="H178" s="51">
        <v>197</v>
      </c>
      <c r="I178" s="51">
        <v>146</v>
      </c>
      <c r="J178" s="51">
        <v>73</v>
      </c>
      <c r="K178" s="51">
        <v>60</v>
      </c>
      <c r="L178" s="51">
        <v>112</v>
      </c>
      <c r="M178" s="51">
        <v>89</v>
      </c>
      <c r="N178" s="51">
        <v>51</v>
      </c>
      <c r="O178" s="51">
        <v>63</v>
      </c>
      <c r="P178" s="51">
        <v>52</v>
      </c>
      <c r="Q178" s="51">
        <v>47</v>
      </c>
      <c r="R178" s="51">
        <v>35</v>
      </c>
      <c r="S178" s="51">
        <v>27</v>
      </c>
      <c r="T178" s="51">
        <v>24</v>
      </c>
      <c r="U178" s="51">
        <v>20</v>
      </c>
      <c r="V178" s="51">
        <v>42</v>
      </c>
      <c r="W178" s="51">
        <v>22</v>
      </c>
      <c r="X178" s="51">
        <v>586</v>
      </c>
      <c r="Y178" s="51">
        <v>474</v>
      </c>
    </row>
    <row r="179" spans="1:25" x14ac:dyDescent="0.25">
      <c r="A179" s="106" t="s">
        <v>7</v>
      </c>
      <c r="B179" s="107"/>
      <c r="C179" s="107"/>
      <c r="D179" s="107"/>
      <c r="E179" s="107"/>
      <c r="F179" s="107"/>
      <c r="G179" s="108"/>
      <c r="H179" s="51">
        <v>1006</v>
      </c>
      <c r="I179" s="51">
        <v>751</v>
      </c>
      <c r="J179" s="51">
        <v>284</v>
      </c>
      <c r="K179" s="51">
        <v>258</v>
      </c>
      <c r="L179" s="51">
        <v>250</v>
      </c>
      <c r="M179" s="51">
        <v>284</v>
      </c>
      <c r="N179" s="51">
        <v>177</v>
      </c>
      <c r="O179" s="51">
        <v>205</v>
      </c>
      <c r="P179" s="51">
        <v>135</v>
      </c>
      <c r="Q179" s="51">
        <v>135</v>
      </c>
      <c r="R179" s="51">
        <v>103</v>
      </c>
      <c r="S179" s="51">
        <v>105</v>
      </c>
      <c r="T179" s="51">
        <v>79</v>
      </c>
      <c r="U179" s="51">
        <v>91</v>
      </c>
      <c r="V179" s="51">
        <v>152</v>
      </c>
      <c r="W179" s="51">
        <v>72</v>
      </c>
      <c r="X179" s="51">
        <v>2186</v>
      </c>
      <c r="Y179" s="51">
        <v>1901</v>
      </c>
    </row>
    <row r="180" spans="1:25" x14ac:dyDescent="0.25">
      <c r="A180" s="11"/>
      <c r="B180" s="12"/>
      <c r="C180" s="12"/>
      <c r="D180" s="12"/>
      <c r="E180" s="12"/>
      <c r="F180" s="13"/>
      <c r="G180" s="13"/>
      <c r="H180" s="13"/>
      <c r="I180" s="13"/>
      <c r="J180" s="13"/>
      <c r="K180" s="13"/>
      <c r="L180" s="14"/>
      <c r="M180" s="13"/>
      <c r="N180" s="15"/>
      <c r="O180" s="16"/>
      <c r="P180" s="13"/>
      <c r="Q180" s="13"/>
      <c r="R180" s="13"/>
      <c r="S180" s="13"/>
      <c r="T180" s="13"/>
      <c r="U180" s="13"/>
      <c r="V180" s="13"/>
      <c r="W180" s="13"/>
      <c r="X180" s="13"/>
      <c r="Y180" s="17"/>
    </row>
    <row r="181" spans="1:25" ht="15.6" x14ac:dyDescent="0.3">
      <c r="A181" s="18" t="s">
        <v>47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20"/>
      <c r="L181" s="21"/>
      <c r="M181" s="18" t="s">
        <v>48</v>
      </c>
      <c r="N181" s="19"/>
      <c r="O181" s="19"/>
      <c r="P181" s="19"/>
      <c r="Q181" s="22"/>
      <c r="R181" s="22"/>
      <c r="S181" s="22"/>
      <c r="T181" s="22"/>
      <c r="U181" s="22"/>
      <c r="V181" s="22"/>
      <c r="W181" s="22"/>
      <c r="X181" s="22"/>
      <c r="Y181" s="23"/>
    </row>
    <row r="182" spans="1:25" ht="45.75" customHeight="1" x14ac:dyDescent="0.25">
      <c r="A182" s="101" t="s">
        <v>49</v>
      </c>
      <c r="B182" s="101" t="s">
        <v>50</v>
      </c>
      <c r="C182" s="101" t="s">
        <v>51</v>
      </c>
      <c r="D182" s="77" t="s">
        <v>52</v>
      </c>
      <c r="E182" s="78"/>
      <c r="F182" s="77" t="s">
        <v>53</v>
      </c>
      <c r="G182" s="79"/>
      <c r="H182" s="79"/>
      <c r="I182" s="78"/>
      <c r="J182" s="101" t="s">
        <v>54</v>
      </c>
      <c r="K182" s="101" t="s">
        <v>55</v>
      </c>
      <c r="L182" s="24"/>
      <c r="M182" s="86" t="s">
        <v>56</v>
      </c>
      <c r="N182" s="88"/>
      <c r="O182" s="86" t="s">
        <v>57</v>
      </c>
      <c r="P182" s="88"/>
      <c r="Q182" s="86" t="s">
        <v>58</v>
      </c>
      <c r="R182" s="87"/>
      <c r="S182" s="87"/>
      <c r="T182" s="87"/>
      <c r="U182" s="87"/>
      <c r="V182" s="87"/>
      <c r="W182" s="87"/>
      <c r="X182" s="87"/>
      <c r="Y182" s="88"/>
    </row>
    <row r="183" spans="1:25" ht="27.75" customHeight="1" x14ac:dyDescent="0.25">
      <c r="A183" s="102"/>
      <c r="B183" s="102"/>
      <c r="C183" s="102"/>
      <c r="D183" s="25" t="s">
        <v>59</v>
      </c>
      <c r="E183" s="25" t="s">
        <v>60</v>
      </c>
      <c r="F183" s="26" t="s">
        <v>59</v>
      </c>
      <c r="G183" s="26" t="s">
        <v>60</v>
      </c>
      <c r="H183" s="26" t="s">
        <v>61</v>
      </c>
      <c r="I183" s="26" t="s">
        <v>62</v>
      </c>
      <c r="J183" s="102"/>
      <c r="K183" s="102"/>
      <c r="L183" s="24"/>
      <c r="M183" s="86">
        <v>0</v>
      </c>
      <c r="N183" s="88"/>
      <c r="O183" s="86">
        <v>0</v>
      </c>
      <c r="P183" s="88"/>
      <c r="Q183" s="86">
        <v>0</v>
      </c>
      <c r="R183" s="87"/>
      <c r="S183" s="87"/>
      <c r="T183" s="87"/>
      <c r="U183" s="87"/>
      <c r="V183" s="87"/>
      <c r="W183" s="87"/>
      <c r="X183" s="87"/>
      <c r="Y183" s="88"/>
    </row>
    <row r="184" spans="1:25" ht="42.75" customHeight="1" x14ac:dyDescent="0.25">
      <c r="A184" s="103">
        <v>737850</v>
      </c>
      <c r="B184" s="103">
        <v>10904</v>
      </c>
      <c r="C184" s="103">
        <v>0</v>
      </c>
      <c r="D184" s="103">
        <v>9531</v>
      </c>
      <c r="E184" s="103">
        <v>0</v>
      </c>
      <c r="F184" s="103">
        <v>371</v>
      </c>
      <c r="G184" s="103">
        <v>0</v>
      </c>
      <c r="H184" s="103">
        <v>0</v>
      </c>
      <c r="I184" s="103">
        <v>371</v>
      </c>
      <c r="J184" s="103">
        <v>498</v>
      </c>
      <c r="K184" s="103">
        <v>629</v>
      </c>
      <c r="L184" s="24"/>
      <c r="M184" s="86" t="s">
        <v>63</v>
      </c>
      <c r="N184" s="88"/>
      <c r="O184" s="86" t="s">
        <v>64</v>
      </c>
      <c r="P184" s="88"/>
      <c r="Q184" s="86" t="s">
        <v>65</v>
      </c>
      <c r="R184" s="87"/>
      <c r="S184" s="88"/>
      <c r="T184" s="86" t="s">
        <v>66</v>
      </c>
      <c r="U184" s="87"/>
      <c r="V184" s="87"/>
      <c r="W184" s="87"/>
      <c r="X184" s="87"/>
      <c r="Y184" s="88"/>
    </row>
    <row r="185" spans="1:25" ht="15" customHeight="1" x14ac:dyDescent="0.2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27"/>
      <c r="M185" s="91">
        <v>0</v>
      </c>
      <c r="N185" s="92"/>
      <c r="O185" s="91">
        <v>0</v>
      </c>
      <c r="P185" s="92"/>
      <c r="Q185" s="91">
        <v>0</v>
      </c>
      <c r="R185" s="97"/>
      <c r="S185" s="92"/>
      <c r="T185" s="28"/>
      <c r="U185" s="86" t="s">
        <v>0</v>
      </c>
      <c r="V185" s="88"/>
      <c r="W185" s="29" t="s">
        <v>1</v>
      </c>
      <c r="X185" s="86" t="s">
        <v>67</v>
      </c>
      <c r="Y185" s="88"/>
    </row>
    <row r="186" spans="1:25" x14ac:dyDescent="0.25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27"/>
      <c r="M186" s="93"/>
      <c r="N186" s="94"/>
      <c r="O186" s="93"/>
      <c r="P186" s="94"/>
      <c r="Q186" s="93"/>
      <c r="R186" s="98"/>
      <c r="S186" s="94"/>
      <c r="T186" s="30" t="s">
        <v>68</v>
      </c>
      <c r="U186" s="86">
        <v>0</v>
      </c>
      <c r="V186" s="88"/>
      <c r="W186" s="29">
        <v>0</v>
      </c>
      <c r="X186" s="86">
        <v>0</v>
      </c>
      <c r="Y186" s="88"/>
    </row>
    <row r="187" spans="1:25" x14ac:dyDescent="0.25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27"/>
      <c r="M187" s="93"/>
      <c r="N187" s="94"/>
      <c r="O187" s="93"/>
      <c r="P187" s="94"/>
      <c r="Q187" s="93"/>
      <c r="R187" s="98"/>
      <c r="S187" s="94"/>
      <c r="T187" s="30" t="s">
        <v>69</v>
      </c>
      <c r="U187" s="86">
        <v>0</v>
      </c>
      <c r="V187" s="88"/>
      <c r="W187" s="29">
        <v>0</v>
      </c>
      <c r="X187" s="86">
        <v>0</v>
      </c>
      <c r="Y187" s="88"/>
    </row>
    <row r="188" spans="1:25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27"/>
      <c r="M188" s="95"/>
      <c r="N188" s="96"/>
      <c r="O188" s="95"/>
      <c r="P188" s="96"/>
      <c r="Q188" s="95"/>
      <c r="R188" s="99"/>
      <c r="S188" s="96"/>
      <c r="T188" s="30" t="s">
        <v>70</v>
      </c>
      <c r="U188" s="86">
        <v>0</v>
      </c>
      <c r="V188" s="88"/>
      <c r="W188" s="29">
        <v>0</v>
      </c>
      <c r="X188" s="86">
        <v>0</v>
      </c>
      <c r="Y188" s="88"/>
    </row>
    <row r="189" spans="1:25" x14ac:dyDescent="0.25">
      <c r="A189" s="31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3"/>
      <c r="M189" s="32"/>
      <c r="N189" s="32"/>
      <c r="O189" s="32"/>
      <c r="P189" s="32"/>
      <c r="Q189" s="32"/>
      <c r="R189" s="34"/>
      <c r="S189" s="34"/>
      <c r="T189" s="34"/>
      <c r="U189" s="34"/>
      <c r="V189" s="34"/>
      <c r="W189" s="32"/>
      <c r="X189" s="32"/>
      <c r="Y189" s="7"/>
    </row>
    <row r="190" spans="1:25" ht="15.6" x14ac:dyDescent="0.3">
      <c r="A190" s="18" t="s">
        <v>71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20"/>
      <c r="L190" s="35"/>
      <c r="M190" s="18" t="s">
        <v>72</v>
      </c>
      <c r="N190" s="20"/>
      <c r="O190" s="36"/>
      <c r="P190" s="19"/>
      <c r="Q190" s="19"/>
      <c r="R190" s="19"/>
      <c r="S190" s="19"/>
      <c r="T190" s="19"/>
      <c r="U190" s="19"/>
      <c r="V190" s="19"/>
      <c r="W190" s="22"/>
      <c r="X190" s="22"/>
      <c r="Y190" s="37"/>
    </row>
    <row r="191" spans="1:25" ht="45.75" customHeight="1" x14ac:dyDescent="0.25">
      <c r="A191" s="71"/>
      <c r="B191" s="72"/>
      <c r="C191" s="72"/>
      <c r="D191" s="72"/>
      <c r="E191" s="73"/>
      <c r="F191" s="68" t="s">
        <v>12</v>
      </c>
      <c r="G191" s="70"/>
      <c r="H191" s="68" t="s">
        <v>13</v>
      </c>
      <c r="I191" s="70"/>
      <c r="J191" s="38" t="s">
        <v>73</v>
      </c>
      <c r="K191" s="39"/>
      <c r="L191" s="40"/>
      <c r="M191" s="77" t="s">
        <v>74</v>
      </c>
      <c r="N191" s="78"/>
      <c r="O191" s="77" t="s">
        <v>75</v>
      </c>
      <c r="P191" s="78"/>
      <c r="Q191" s="77" t="s">
        <v>76</v>
      </c>
      <c r="R191" s="78"/>
      <c r="S191" s="77" t="s">
        <v>77</v>
      </c>
      <c r="T191" s="79"/>
      <c r="U191" s="79"/>
      <c r="V191" s="78"/>
      <c r="W191" s="77" t="s">
        <v>78</v>
      </c>
      <c r="X191" s="79"/>
      <c r="Y191" s="78"/>
    </row>
    <row r="192" spans="1:25" ht="21.75" customHeight="1" x14ac:dyDescent="0.25">
      <c r="A192" s="74"/>
      <c r="B192" s="75"/>
      <c r="C192" s="75"/>
      <c r="D192" s="75"/>
      <c r="E192" s="76"/>
      <c r="F192" s="10" t="s">
        <v>79</v>
      </c>
      <c r="G192" s="10" t="s">
        <v>14</v>
      </c>
      <c r="H192" s="10" t="s">
        <v>79</v>
      </c>
      <c r="I192" s="10" t="s">
        <v>14</v>
      </c>
      <c r="J192" s="10" t="s">
        <v>79</v>
      </c>
      <c r="K192" s="10" t="s">
        <v>14</v>
      </c>
      <c r="L192" s="41"/>
      <c r="M192" s="42" t="s">
        <v>80</v>
      </c>
      <c r="N192" s="42" t="s">
        <v>81</v>
      </c>
      <c r="O192" s="42" t="s">
        <v>80</v>
      </c>
      <c r="P192" s="43" t="s">
        <v>81</v>
      </c>
      <c r="Q192" s="42" t="s">
        <v>80</v>
      </c>
      <c r="R192" s="42" t="s">
        <v>81</v>
      </c>
      <c r="S192" s="44"/>
      <c r="T192" s="42" t="s">
        <v>0</v>
      </c>
      <c r="U192" s="45" t="s">
        <v>1</v>
      </c>
      <c r="V192" s="46" t="s">
        <v>82</v>
      </c>
      <c r="W192" s="42" t="s">
        <v>0</v>
      </c>
      <c r="X192" s="45" t="s">
        <v>1</v>
      </c>
      <c r="Y192" s="46" t="s">
        <v>82</v>
      </c>
    </row>
    <row r="193" spans="1:25" ht="14.4" x14ac:dyDescent="0.3">
      <c r="A193" s="80" t="s">
        <v>83</v>
      </c>
      <c r="B193" s="81"/>
      <c r="C193" s="81"/>
      <c r="D193" s="81"/>
      <c r="E193" s="82"/>
      <c r="F193" s="10">
        <v>269</v>
      </c>
      <c r="G193" s="10">
        <v>1</v>
      </c>
      <c r="H193" s="10">
        <v>0</v>
      </c>
      <c r="I193" s="10">
        <v>0</v>
      </c>
      <c r="J193" s="10">
        <v>0</v>
      </c>
      <c r="K193" s="10">
        <v>0</v>
      </c>
      <c r="L193" s="41"/>
      <c r="M193" s="83">
        <v>0</v>
      </c>
      <c r="N193" s="83">
        <v>370</v>
      </c>
      <c r="O193" s="83">
        <v>216</v>
      </c>
      <c r="P193" s="83">
        <v>531</v>
      </c>
      <c r="Q193" s="83">
        <v>3</v>
      </c>
      <c r="R193" s="83">
        <v>21</v>
      </c>
      <c r="S193" s="47" t="s">
        <v>68</v>
      </c>
      <c r="T193" s="10">
        <v>0</v>
      </c>
      <c r="U193" s="10">
        <v>0</v>
      </c>
      <c r="V193" s="10">
        <v>2</v>
      </c>
      <c r="W193" s="10">
        <v>0</v>
      </c>
      <c r="X193" s="10">
        <v>0</v>
      </c>
      <c r="Y193" s="10">
        <v>0</v>
      </c>
    </row>
    <row r="194" spans="1:25" ht="14.4" x14ac:dyDescent="0.3">
      <c r="A194" s="80" t="s">
        <v>8</v>
      </c>
      <c r="B194" s="81"/>
      <c r="C194" s="81"/>
      <c r="D194" s="81"/>
      <c r="E194" s="82"/>
      <c r="F194" s="10">
        <v>4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41"/>
      <c r="M194" s="84"/>
      <c r="N194" s="84"/>
      <c r="O194" s="84"/>
      <c r="P194" s="84"/>
      <c r="Q194" s="84"/>
      <c r="R194" s="84"/>
      <c r="S194" s="47" t="s">
        <v>69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</row>
    <row r="195" spans="1:25" ht="15" customHeight="1" x14ac:dyDescent="0.25">
      <c r="A195" s="86" t="s">
        <v>84</v>
      </c>
      <c r="B195" s="87"/>
      <c r="C195" s="87"/>
      <c r="D195" s="87"/>
      <c r="E195" s="88"/>
      <c r="F195" s="10">
        <v>1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41"/>
      <c r="M195" s="84"/>
      <c r="N195" s="84"/>
      <c r="O195" s="84"/>
      <c r="P195" s="84"/>
      <c r="Q195" s="84"/>
      <c r="R195" s="84"/>
      <c r="S195" s="89" t="s">
        <v>70</v>
      </c>
      <c r="T195" s="83">
        <v>0</v>
      </c>
      <c r="U195" s="83">
        <v>0</v>
      </c>
      <c r="V195" s="83">
        <v>0</v>
      </c>
      <c r="W195" s="83">
        <v>0</v>
      </c>
      <c r="X195" s="83">
        <v>0</v>
      </c>
      <c r="Y195" s="83">
        <v>0</v>
      </c>
    </row>
    <row r="196" spans="1:25" x14ac:dyDescent="0.25">
      <c r="A196" s="68" t="s">
        <v>7</v>
      </c>
      <c r="B196" s="69"/>
      <c r="C196" s="69"/>
      <c r="D196" s="69"/>
      <c r="E196" s="70"/>
      <c r="F196" s="10">
        <v>274</v>
      </c>
      <c r="G196" s="10">
        <v>1</v>
      </c>
      <c r="H196" s="10">
        <v>0</v>
      </c>
      <c r="I196" s="10">
        <v>0</v>
      </c>
      <c r="J196" s="10">
        <v>0</v>
      </c>
      <c r="K196" s="10">
        <v>0</v>
      </c>
      <c r="L196" s="41"/>
      <c r="M196" s="85"/>
      <c r="N196" s="85"/>
      <c r="O196" s="85"/>
      <c r="P196" s="85"/>
      <c r="Q196" s="85"/>
      <c r="R196" s="85"/>
      <c r="S196" s="90"/>
      <c r="T196" s="85"/>
      <c r="U196" s="85"/>
      <c r="V196" s="85"/>
      <c r="W196" s="85"/>
      <c r="X196" s="85"/>
      <c r="Y196" s="85"/>
    </row>
  </sheetData>
  <mergeCells count="755">
    <mergeCell ref="Y195:Y196"/>
    <mergeCell ref="A196:E196"/>
    <mergeCell ref="A195:E195"/>
    <mergeCell ref="S195:S196"/>
    <mergeCell ref="T195:T196"/>
    <mergeCell ref="U195:U196"/>
    <mergeCell ref="V195:V196"/>
    <mergeCell ref="W195:W196"/>
    <mergeCell ref="A191:E192"/>
    <mergeCell ref="F191:G191"/>
    <mergeCell ref="H191:I191"/>
    <mergeCell ref="M191:N191"/>
    <mergeCell ref="O191:P191"/>
    <mergeCell ref="Q191:R191"/>
    <mergeCell ref="A193:E193"/>
    <mergeCell ref="M193:M196"/>
    <mergeCell ref="N193:N196"/>
    <mergeCell ref="O193:O196"/>
    <mergeCell ref="P193:P196"/>
    <mergeCell ref="Q193:Q196"/>
    <mergeCell ref="R193:R196"/>
    <mergeCell ref="A194:E194"/>
    <mergeCell ref="X195:X196"/>
    <mergeCell ref="G184:G188"/>
    <mergeCell ref="H184:H188"/>
    <mergeCell ref="I184:I188"/>
    <mergeCell ref="J184:J188"/>
    <mergeCell ref="K184:K188"/>
    <mergeCell ref="A184:A188"/>
    <mergeCell ref="B184:B188"/>
    <mergeCell ref="C184:C188"/>
    <mergeCell ref="D184:D188"/>
    <mergeCell ref="E184:E188"/>
    <mergeCell ref="F184:F188"/>
    <mergeCell ref="O184:P184"/>
    <mergeCell ref="Q184:S184"/>
    <mergeCell ref="S191:V191"/>
    <mergeCell ref="T184:Y184"/>
    <mergeCell ref="M185:N188"/>
    <mergeCell ref="O185:P188"/>
    <mergeCell ref="Q185:S188"/>
    <mergeCell ref="U185:V185"/>
    <mergeCell ref="X185:Y185"/>
    <mergeCell ref="U186:V186"/>
    <mergeCell ref="X186:Y186"/>
    <mergeCell ref="M184:N184"/>
    <mergeCell ref="U187:V187"/>
    <mergeCell ref="X187:Y187"/>
    <mergeCell ref="U188:V188"/>
    <mergeCell ref="X188:Y188"/>
    <mergeCell ref="W191:Y191"/>
    <mergeCell ref="J182:J183"/>
    <mergeCell ref="K182:K183"/>
    <mergeCell ref="M182:N182"/>
    <mergeCell ref="O182:P182"/>
    <mergeCell ref="Q182:Y182"/>
    <mergeCell ref="M183:N183"/>
    <mergeCell ref="O183:P183"/>
    <mergeCell ref="Q183:Y183"/>
    <mergeCell ref="A177:G177"/>
    <mergeCell ref="A178:G178"/>
    <mergeCell ref="A179:G179"/>
    <mergeCell ref="A182:A183"/>
    <mergeCell ref="B182:B183"/>
    <mergeCell ref="C182:C183"/>
    <mergeCell ref="D182:E182"/>
    <mergeCell ref="F182:I182"/>
    <mergeCell ref="R173:S173"/>
    <mergeCell ref="T173:U173"/>
    <mergeCell ref="V173:W173"/>
    <mergeCell ref="X173:Y173"/>
    <mergeCell ref="A175:G175"/>
    <mergeCell ref="A176:G176"/>
    <mergeCell ref="A173:G174"/>
    <mergeCell ref="H173:I173"/>
    <mergeCell ref="J173:K173"/>
    <mergeCell ref="L173:M173"/>
    <mergeCell ref="N173:O173"/>
    <mergeCell ref="P173:Q173"/>
    <mergeCell ref="A171:I171"/>
    <mergeCell ref="J171:K171"/>
    <mergeCell ref="L171:M171"/>
    <mergeCell ref="N171:O171"/>
    <mergeCell ref="P171:Q171"/>
    <mergeCell ref="R171:S171"/>
    <mergeCell ref="T171:U171"/>
    <mergeCell ref="V171:W171"/>
    <mergeCell ref="X171:Y171"/>
    <mergeCell ref="A170:I170"/>
    <mergeCell ref="J170:K170"/>
    <mergeCell ref="L170:M170"/>
    <mergeCell ref="N170:O170"/>
    <mergeCell ref="P170:Q170"/>
    <mergeCell ref="R170:S170"/>
    <mergeCell ref="T170:U170"/>
    <mergeCell ref="V170:W170"/>
    <mergeCell ref="X170:Y170"/>
    <mergeCell ref="A169:I169"/>
    <mergeCell ref="J169:K169"/>
    <mergeCell ref="L169:M169"/>
    <mergeCell ref="N169:O169"/>
    <mergeCell ref="P169:Q169"/>
    <mergeCell ref="R169:S169"/>
    <mergeCell ref="T169:U169"/>
    <mergeCell ref="V169:W169"/>
    <mergeCell ref="X169:Y169"/>
    <mergeCell ref="A168:I168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X164:Y166"/>
    <mergeCell ref="A165:I166"/>
    <mergeCell ref="R165:S166"/>
    <mergeCell ref="T165:U166"/>
    <mergeCell ref="V165:W166"/>
    <mergeCell ref="A167:I167"/>
    <mergeCell ref="J167:K167"/>
    <mergeCell ref="L167:M167"/>
    <mergeCell ref="N167:O167"/>
    <mergeCell ref="P167:Q167"/>
    <mergeCell ref="A164:I164"/>
    <mergeCell ref="J164:K166"/>
    <mergeCell ref="L164:M166"/>
    <mergeCell ref="N164:O166"/>
    <mergeCell ref="P164:Q166"/>
    <mergeCell ref="R164:W164"/>
    <mergeCell ref="R167:S167"/>
    <mergeCell ref="T167:U167"/>
    <mergeCell ref="V167:W167"/>
    <mergeCell ref="X167:Y167"/>
    <mergeCell ref="Q160:T161"/>
    <mergeCell ref="U160:W161"/>
    <mergeCell ref="X160:Y161"/>
    <mergeCell ref="A162:F162"/>
    <mergeCell ref="G162:M162"/>
    <mergeCell ref="Q162:U162"/>
    <mergeCell ref="V162:Y162"/>
    <mergeCell ref="A160:D160"/>
    <mergeCell ref="E160:G160"/>
    <mergeCell ref="H160:I160"/>
    <mergeCell ref="J160:K160"/>
    <mergeCell ref="L160:M160"/>
    <mergeCell ref="N160:P160"/>
    <mergeCell ref="A158:Y158"/>
    <mergeCell ref="A159:S159"/>
    <mergeCell ref="U159:V159"/>
    <mergeCell ref="A156:E156"/>
    <mergeCell ref="S156:S157"/>
    <mergeCell ref="T156:T157"/>
    <mergeCell ref="U156:U157"/>
    <mergeCell ref="V156:V157"/>
    <mergeCell ref="W156:W157"/>
    <mergeCell ref="S152:V152"/>
    <mergeCell ref="W152:Y152"/>
    <mergeCell ref="A154:E154"/>
    <mergeCell ref="M154:M157"/>
    <mergeCell ref="N154:N157"/>
    <mergeCell ref="O154:O157"/>
    <mergeCell ref="P154:P157"/>
    <mergeCell ref="Q154:Q157"/>
    <mergeCell ref="R154:R157"/>
    <mergeCell ref="A155:E155"/>
    <mergeCell ref="X156:X157"/>
    <mergeCell ref="Y156:Y157"/>
    <mergeCell ref="A157:E157"/>
    <mergeCell ref="A152:E153"/>
    <mergeCell ref="F152:G152"/>
    <mergeCell ref="H152:I152"/>
    <mergeCell ref="M152:N152"/>
    <mergeCell ref="O152:P152"/>
    <mergeCell ref="Q152:R152"/>
    <mergeCell ref="G145:G149"/>
    <mergeCell ref="H145:H149"/>
    <mergeCell ref="I145:I149"/>
    <mergeCell ref="J145:J149"/>
    <mergeCell ref="K145:K149"/>
    <mergeCell ref="A145:A149"/>
    <mergeCell ref="B145:B149"/>
    <mergeCell ref="C145:C149"/>
    <mergeCell ref="D145:D149"/>
    <mergeCell ref="E145:E149"/>
    <mergeCell ref="F145:F149"/>
    <mergeCell ref="O145:P145"/>
    <mergeCell ref="Q145:S145"/>
    <mergeCell ref="T145:Y145"/>
    <mergeCell ref="M146:N149"/>
    <mergeCell ref="O146:P149"/>
    <mergeCell ref="Q146:S149"/>
    <mergeCell ref="U146:V146"/>
    <mergeCell ref="X146:Y146"/>
    <mergeCell ref="U147:V147"/>
    <mergeCell ref="X147:Y147"/>
    <mergeCell ref="M145:N145"/>
    <mergeCell ref="U148:V148"/>
    <mergeCell ref="X148:Y148"/>
    <mergeCell ref="U149:V149"/>
    <mergeCell ref="X149:Y149"/>
    <mergeCell ref="J143:J144"/>
    <mergeCell ref="K143:K144"/>
    <mergeCell ref="M143:N143"/>
    <mergeCell ref="O143:P143"/>
    <mergeCell ref="Q143:Y143"/>
    <mergeCell ref="M144:N144"/>
    <mergeCell ref="O144:P144"/>
    <mergeCell ref="Q144:Y144"/>
    <mergeCell ref="A138:G138"/>
    <mergeCell ref="A139:G139"/>
    <mergeCell ref="A140:G140"/>
    <mergeCell ref="A143:A144"/>
    <mergeCell ref="B143:B144"/>
    <mergeCell ref="C143:C144"/>
    <mergeCell ref="D143:E143"/>
    <mergeCell ref="F143:I143"/>
    <mergeCell ref="R134:S134"/>
    <mergeCell ref="T134:U134"/>
    <mergeCell ref="V134:W134"/>
    <mergeCell ref="X134:Y134"/>
    <mergeCell ref="A136:G136"/>
    <mergeCell ref="A137:G137"/>
    <mergeCell ref="A134:G135"/>
    <mergeCell ref="H134:I134"/>
    <mergeCell ref="J134:K134"/>
    <mergeCell ref="L134:M134"/>
    <mergeCell ref="N134:O134"/>
    <mergeCell ref="P134:Q134"/>
    <mergeCell ref="A132:I132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A131:I13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A130:I130"/>
    <mergeCell ref="J130:K130"/>
    <mergeCell ref="L130:M130"/>
    <mergeCell ref="N130:O130"/>
    <mergeCell ref="P130:Q130"/>
    <mergeCell ref="R130:S130"/>
    <mergeCell ref="T130:U130"/>
    <mergeCell ref="V130:W130"/>
    <mergeCell ref="X130:Y130"/>
    <mergeCell ref="A129:I129"/>
    <mergeCell ref="J129:K129"/>
    <mergeCell ref="L129:M129"/>
    <mergeCell ref="N129:O129"/>
    <mergeCell ref="P129:Q129"/>
    <mergeCell ref="R129:S129"/>
    <mergeCell ref="T129:U129"/>
    <mergeCell ref="V129:W129"/>
    <mergeCell ref="X129:Y129"/>
    <mergeCell ref="X125:Y127"/>
    <mergeCell ref="A126:I127"/>
    <mergeCell ref="R126:S127"/>
    <mergeCell ref="T126:U127"/>
    <mergeCell ref="V126:W127"/>
    <mergeCell ref="A128:I128"/>
    <mergeCell ref="J128:K128"/>
    <mergeCell ref="L128:M128"/>
    <mergeCell ref="N128:O128"/>
    <mergeCell ref="P128:Q128"/>
    <mergeCell ref="A125:I125"/>
    <mergeCell ref="J125:K127"/>
    <mergeCell ref="L125:M127"/>
    <mergeCell ref="N125:O127"/>
    <mergeCell ref="P125:Q127"/>
    <mergeCell ref="R125:W125"/>
    <mergeCell ref="R128:S128"/>
    <mergeCell ref="T128:U128"/>
    <mergeCell ref="V128:W128"/>
    <mergeCell ref="X128:Y128"/>
    <mergeCell ref="Q121:T122"/>
    <mergeCell ref="U121:W122"/>
    <mergeCell ref="X121:Y122"/>
    <mergeCell ref="A123:F123"/>
    <mergeCell ref="G123:M123"/>
    <mergeCell ref="Q123:U123"/>
    <mergeCell ref="V123:Y123"/>
    <mergeCell ref="A121:D121"/>
    <mergeCell ref="E121:G121"/>
    <mergeCell ref="H121:I121"/>
    <mergeCell ref="J121:K121"/>
    <mergeCell ref="L121:M121"/>
    <mergeCell ref="N121:P121"/>
    <mergeCell ref="A119:Y119"/>
    <mergeCell ref="A120:S120"/>
    <mergeCell ref="U120:V120"/>
    <mergeCell ref="A117:E117"/>
    <mergeCell ref="S117:S118"/>
    <mergeCell ref="T117:T118"/>
    <mergeCell ref="U117:U118"/>
    <mergeCell ref="V117:V118"/>
    <mergeCell ref="W117:W118"/>
    <mergeCell ref="S113:V113"/>
    <mergeCell ref="W113:Y113"/>
    <mergeCell ref="A115:E115"/>
    <mergeCell ref="M115:M118"/>
    <mergeCell ref="N115:N118"/>
    <mergeCell ref="O115:O118"/>
    <mergeCell ref="P115:P118"/>
    <mergeCell ref="Q115:Q118"/>
    <mergeCell ref="R115:R118"/>
    <mergeCell ref="A116:E116"/>
    <mergeCell ref="X117:X118"/>
    <mergeCell ref="Y117:Y118"/>
    <mergeCell ref="A118:E118"/>
    <mergeCell ref="A113:E114"/>
    <mergeCell ref="F113:G113"/>
    <mergeCell ref="H113:I113"/>
    <mergeCell ref="M113:N113"/>
    <mergeCell ref="O113:P113"/>
    <mergeCell ref="Q113:R113"/>
    <mergeCell ref="G106:G110"/>
    <mergeCell ref="H106:H110"/>
    <mergeCell ref="I106:I110"/>
    <mergeCell ref="J106:J110"/>
    <mergeCell ref="K106:K110"/>
    <mergeCell ref="A106:A110"/>
    <mergeCell ref="B106:B110"/>
    <mergeCell ref="C106:C110"/>
    <mergeCell ref="D106:D110"/>
    <mergeCell ref="E106:E110"/>
    <mergeCell ref="F106:F110"/>
    <mergeCell ref="O106:P106"/>
    <mergeCell ref="Q106:S106"/>
    <mergeCell ref="T106:Y106"/>
    <mergeCell ref="M107:N110"/>
    <mergeCell ref="O107:P110"/>
    <mergeCell ref="Q107:S110"/>
    <mergeCell ref="U107:V107"/>
    <mergeCell ref="X107:Y107"/>
    <mergeCell ref="U108:V108"/>
    <mergeCell ref="X108:Y108"/>
    <mergeCell ref="M106:N106"/>
    <mergeCell ref="U109:V109"/>
    <mergeCell ref="X109:Y109"/>
    <mergeCell ref="U110:V110"/>
    <mergeCell ref="X110:Y110"/>
    <mergeCell ref="J104:J105"/>
    <mergeCell ref="K104:K105"/>
    <mergeCell ref="M104:N104"/>
    <mergeCell ref="O104:P104"/>
    <mergeCell ref="Q104:Y104"/>
    <mergeCell ref="M105:N105"/>
    <mergeCell ref="O105:P105"/>
    <mergeCell ref="Q105:Y105"/>
    <mergeCell ref="A99:G99"/>
    <mergeCell ref="A100:G100"/>
    <mergeCell ref="A101:G101"/>
    <mergeCell ref="A104:A105"/>
    <mergeCell ref="B104:B105"/>
    <mergeCell ref="C104:C105"/>
    <mergeCell ref="D104:E104"/>
    <mergeCell ref="F104:I104"/>
    <mergeCell ref="R95:S95"/>
    <mergeCell ref="T95:U95"/>
    <mergeCell ref="V95:W95"/>
    <mergeCell ref="X95:Y95"/>
    <mergeCell ref="A97:G97"/>
    <mergeCell ref="A98:G98"/>
    <mergeCell ref="A95:G96"/>
    <mergeCell ref="H95:I95"/>
    <mergeCell ref="J95:K95"/>
    <mergeCell ref="L95:M95"/>
    <mergeCell ref="N95:O95"/>
    <mergeCell ref="P95:Q95"/>
    <mergeCell ref="A93:I93"/>
    <mergeCell ref="J93:K93"/>
    <mergeCell ref="L93:M93"/>
    <mergeCell ref="N93:O93"/>
    <mergeCell ref="P93:Q93"/>
    <mergeCell ref="R93:S93"/>
    <mergeCell ref="T93:U93"/>
    <mergeCell ref="V93:W93"/>
    <mergeCell ref="X93:Y93"/>
    <mergeCell ref="A92:I92"/>
    <mergeCell ref="J92:K92"/>
    <mergeCell ref="L92:M92"/>
    <mergeCell ref="N92:O92"/>
    <mergeCell ref="P92:Q92"/>
    <mergeCell ref="R92:S92"/>
    <mergeCell ref="T92:U92"/>
    <mergeCell ref="V92:W92"/>
    <mergeCell ref="X92:Y92"/>
    <mergeCell ref="A91:I91"/>
    <mergeCell ref="J91:K91"/>
    <mergeCell ref="L91:M91"/>
    <mergeCell ref="N91:O91"/>
    <mergeCell ref="P91:Q91"/>
    <mergeCell ref="R91:S91"/>
    <mergeCell ref="T91:U91"/>
    <mergeCell ref="V91:W91"/>
    <mergeCell ref="X91:Y91"/>
    <mergeCell ref="A90:I90"/>
    <mergeCell ref="J90:K90"/>
    <mergeCell ref="L90:M90"/>
    <mergeCell ref="N90:O90"/>
    <mergeCell ref="P90:Q90"/>
    <mergeCell ref="R90:S90"/>
    <mergeCell ref="T90:U90"/>
    <mergeCell ref="V90:W90"/>
    <mergeCell ref="X90:Y90"/>
    <mergeCell ref="X86:Y88"/>
    <mergeCell ref="A87:I88"/>
    <mergeCell ref="R87:S88"/>
    <mergeCell ref="T87:U88"/>
    <mergeCell ref="V87:W88"/>
    <mergeCell ref="A89:I89"/>
    <mergeCell ref="J89:K89"/>
    <mergeCell ref="L89:M89"/>
    <mergeCell ref="N89:O89"/>
    <mergeCell ref="P89:Q89"/>
    <mergeCell ref="A86:I86"/>
    <mergeCell ref="J86:K88"/>
    <mergeCell ref="L86:M88"/>
    <mergeCell ref="N86:O88"/>
    <mergeCell ref="P86:Q88"/>
    <mergeCell ref="R86:W86"/>
    <mergeCell ref="R89:S89"/>
    <mergeCell ref="T89:U89"/>
    <mergeCell ref="V89:W89"/>
    <mergeCell ref="X89:Y89"/>
    <mergeCell ref="Q82:T83"/>
    <mergeCell ref="U82:W83"/>
    <mergeCell ref="X82:Y83"/>
    <mergeCell ref="A84:F84"/>
    <mergeCell ref="G84:M84"/>
    <mergeCell ref="Q84:U84"/>
    <mergeCell ref="V84:Y84"/>
    <mergeCell ref="A82:D82"/>
    <mergeCell ref="E82:G82"/>
    <mergeCell ref="H82:I82"/>
    <mergeCell ref="J82:K82"/>
    <mergeCell ref="L82:M82"/>
    <mergeCell ref="N82:P82"/>
    <mergeCell ref="A80:Y80"/>
    <mergeCell ref="A81:S81"/>
    <mergeCell ref="U81:V81"/>
    <mergeCell ref="A78:E78"/>
    <mergeCell ref="S78:S79"/>
    <mergeCell ref="T78:T79"/>
    <mergeCell ref="U78:U79"/>
    <mergeCell ref="V78:V79"/>
    <mergeCell ref="W78:W79"/>
    <mergeCell ref="S74:V74"/>
    <mergeCell ref="W74:Y74"/>
    <mergeCell ref="A76:E76"/>
    <mergeCell ref="M76:M79"/>
    <mergeCell ref="N76:N79"/>
    <mergeCell ref="O76:O79"/>
    <mergeCell ref="P76:P79"/>
    <mergeCell ref="Q76:Q79"/>
    <mergeCell ref="R76:R79"/>
    <mergeCell ref="A77:E77"/>
    <mergeCell ref="X78:X79"/>
    <mergeCell ref="Y78:Y79"/>
    <mergeCell ref="A79:E79"/>
    <mergeCell ref="A74:E75"/>
    <mergeCell ref="F74:G74"/>
    <mergeCell ref="H74:I74"/>
    <mergeCell ref="M74:N74"/>
    <mergeCell ref="O74:P74"/>
    <mergeCell ref="Q74:R74"/>
    <mergeCell ref="G67:G71"/>
    <mergeCell ref="H67:H71"/>
    <mergeCell ref="I67:I71"/>
    <mergeCell ref="J67:J71"/>
    <mergeCell ref="K67:K71"/>
    <mergeCell ref="A67:A71"/>
    <mergeCell ref="B67:B71"/>
    <mergeCell ref="C67:C71"/>
    <mergeCell ref="D67:D71"/>
    <mergeCell ref="E67:E71"/>
    <mergeCell ref="F67:F71"/>
    <mergeCell ref="O67:P67"/>
    <mergeCell ref="Q67:S67"/>
    <mergeCell ref="T67:Y67"/>
    <mergeCell ref="M68:N71"/>
    <mergeCell ref="O68:P71"/>
    <mergeCell ref="Q68:S71"/>
    <mergeCell ref="U68:V68"/>
    <mergeCell ref="X68:Y68"/>
    <mergeCell ref="U69:V69"/>
    <mergeCell ref="X69:Y69"/>
    <mergeCell ref="M67:N67"/>
    <mergeCell ref="U70:V70"/>
    <mergeCell ref="X70:Y70"/>
    <mergeCell ref="U71:V71"/>
    <mergeCell ref="X71:Y71"/>
    <mergeCell ref="J65:J66"/>
    <mergeCell ref="K65:K66"/>
    <mergeCell ref="M65:N65"/>
    <mergeCell ref="O65:P65"/>
    <mergeCell ref="Q65:Y65"/>
    <mergeCell ref="M66:N66"/>
    <mergeCell ref="O66:P66"/>
    <mergeCell ref="Q66:Y66"/>
    <mergeCell ref="A60:G60"/>
    <mergeCell ref="A61:G61"/>
    <mergeCell ref="A62:G62"/>
    <mergeCell ref="A65:A66"/>
    <mergeCell ref="B65:B66"/>
    <mergeCell ref="C65:C66"/>
    <mergeCell ref="D65:E65"/>
    <mergeCell ref="F65:I65"/>
    <mergeCell ref="R56:S56"/>
    <mergeCell ref="T56:U56"/>
    <mergeCell ref="V56:W56"/>
    <mergeCell ref="X56:Y56"/>
    <mergeCell ref="A58:G58"/>
    <mergeCell ref="A59:G59"/>
    <mergeCell ref="A56:G57"/>
    <mergeCell ref="H56:I56"/>
    <mergeCell ref="J56:K56"/>
    <mergeCell ref="L56:M56"/>
    <mergeCell ref="N56:O56"/>
    <mergeCell ref="P56:Q56"/>
    <mergeCell ref="A54:I54"/>
    <mergeCell ref="J54:K54"/>
    <mergeCell ref="L54:M54"/>
    <mergeCell ref="N54:O54"/>
    <mergeCell ref="P54:Q54"/>
    <mergeCell ref="R54:S54"/>
    <mergeCell ref="T54:U54"/>
    <mergeCell ref="V54:W54"/>
    <mergeCell ref="X54:Y54"/>
    <mergeCell ref="A53:I53"/>
    <mergeCell ref="J53:K53"/>
    <mergeCell ref="L53:M53"/>
    <mergeCell ref="N53:O53"/>
    <mergeCell ref="P53:Q53"/>
    <mergeCell ref="R53:S53"/>
    <mergeCell ref="T53:U53"/>
    <mergeCell ref="V53:W53"/>
    <mergeCell ref="X53:Y53"/>
    <mergeCell ref="A52:I52"/>
    <mergeCell ref="J52:K52"/>
    <mergeCell ref="L52:M52"/>
    <mergeCell ref="N52:O52"/>
    <mergeCell ref="P52:Q52"/>
    <mergeCell ref="R52:S52"/>
    <mergeCell ref="T52:U52"/>
    <mergeCell ref="V52:W52"/>
    <mergeCell ref="X52:Y52"/>
    <mergeCell ref="A51:I51"/>
    <mergeCell ref="J51:K51"/>
    <mergeCell ref="L51:M51"/>
    <mergeCell ref="N51:O51"/>
    <mergeCell ref="P51:Q51"/>
    <mergeCell ref="R51:S51"/>
    <mergeCell ref="T51:U51"/>
    <mergeCell ref="V51:W51"/>
    <mergeCell ref="X51:Y51"/>
    <mergeCell ref="X47:Y49"/>
    <mergeCell ref="A48:I49"/>
    <mergeCell ref="R48:S49"/>
    <mergeCell ref="T48:U49"/>
    <mergeCell ref="V48:W49"/>
    <mergeCell ref="A50:I50"/>
    <mergeCell ref="J50:K50"/>
    <mergeCell ref="L50:M50"/>
    <mergeCell ref="N50:O50"/>
    <mergeCell ref="P50:Q50"/>
    <mergeCell ref="A47:I47"/>
    <mergeCell ref="J47:K49"/>
    <mergeCell ref="L47:M49"/>
    <mergeCell ref="N47:O49"/>
    <mergeCell ref="P47:Q49"/>
    <mergeCell ref="R47:W47"/>
    <mergeCell ref="R50:S50"/>
    <mergeCell ref="T50:U50"/>
    <mergeCell ref="V50:W50"/>
    <mergeCell ref="X50:Y50"/>
    <mergeCell ref="Q43:T44"/>
    <mergeCell ref="U43:W44"/>
    <mergeCell ref="X43:Y44"/>
    <mergeCell ref="A45:F45"/>
    <mergeCell ref="G45:M45"/>
    <mergeCell ref="Q45:U45"/>
    <mergeCell ref="V45:Y45"/>
    <mergeCell ref="A43:D43"/>
    <mergeCell ref="E43:G43"/>
    <mergeCell ref="H43:I43"/>
    <mergeCell ref="J43:K43"/>
    <mergeCell ref="L43:M43"/>
    <mergeCell ref="N43:P43"/>
    <mergeCell ref="A41:Y41"/>
    <mergeCell ref="A42:S42"/>
    <mergeCell ref="U42:V42"/>
    <mergeCell ref="A39:E39"/>
    <mergeCell ref="S39:S40"/>
    <mergeCell ref="T39:T40"/>
    <mergeCell ref="U39:U40"/>
    <mergeCell ref="V39:V40"/>
    <mergeCell ref="W39:W40"/>
    <mergeCell ref="S35:V35"/>
    <mergeCell ref="W35:Y35"/>
    <mergeCell ref="A37:E37"/>
    <mergeCell ref="M37:M40"/>
    <mergeCell ref="N37:N40"/>
    <mergeCell ref="O37:O40"/>
    <mergeCell ref="P37:P40"/>
    <mergeCell ref="Q37:Q40"/>
    <mergeCell ref="R37:R40"/>
    <mergeCell ref="A38:E38"/>
    <mergeCell ref="X39:X40"/>
    <mergeCell ref="Y39:Y40"/>
    <mergeCell ref="A40:E40"/>
    <mergeCell ref="A35:E36"/>
    <mergeCell ref="F35:G35"/>
    <mergeCell ref="H35:I35"/>
    <mergeCell ref="M35:N35"/>
    <mergeCell ref="O35:P35"/>
    <mergeCell ref="Q35:R35"/>
    <mergeCell ref="G28:G32"/>
    <mergeCell ref="H28:H32"/>
    <mergeCell ref="I28:I32"/>
    <mergeCell ref="J28:J32"/>
    <mergeCell ref="K28:K32"/>
    <mergeCell ref="A28:A32"/>
    <mergeCell ref="B28:B32"/>
    <mergeCell ref="C28:C32"/>
    <mergeCell ref="D28:D32"/>
    <mergeCell ref="E28:E32"/>
    <mergeCell ref="F28:F32"/>
    <mergeCell ref="O28:P28"/>
    <mergeCell ref="Q28:S28"/>
    <mergeCell ref="T28:Y28"/>
    <mergeCell ref="M29:N32"/>
    <mergeCell ref="O29:P32"/>
    <mergeCell ref="Q29:S32"/>
    <mergeCell ref="U29:V29"/>
    <mergeCell ref="X29:Y29"/>
    <mergeCell ref="U30:V30"/>
    <mergeCell ref="X30:Y30"/>
    <mergeCell ref="M28:N28"/>
    <mergeCell ref="U31:V31"/>
    <mergeCell ref="X31:Y31"/>
    <mergeCell ref="U32:V32"/>
    <mergeCell ref="X32:Y32"/>
    <mergeCell ref="J26:J27"/>
    <mergeCell ref="K26:K27"/>
    <mergeCell ref="M26:N26"/>
    <mergeCell ref="O26:P26"/>
    <mergeCell ref="Q26:Y26"/>
    <mergeCell ref="M27:N27"/>
    <mergeCell ref="O27:P27"/>
    <mergeCell ref="Q27:Y27"/>
    <mergeCell ref="A21:G21"/>
    <mergeCell ref="A22:G22"/>
    <mergeCell ref="A23:G23"/>
    <mergeCell ref="A26:A27"/>
    <mergeCell ref="B26:B27"/>
    <mergeCell ref="C26:C27"/>
    <mergeCell ref="D26:E26"/>
    <mergeCell ref="F26:I26"/>
    <mergeCell ref="R17:S17"/>
    <mergeCell ref="T17:U17"/>
    <mergeCell ref="V17:W17"/>
    <mergeCell ref="X17:Y17"/>
    <mergeCell ref="A19:G19"/>
    <mergeCell ref="A20:G20"/>
    <mergeCell ref="A17:G18"/>
    <mergeCell ref="H17:I17"/>
    <mergeCell ref="J17:K17"/>
    <mergeCell ref="L17:M17"/>
    <mergeCell ref="N17:O17"/>
    <mergeCell ref="P17:Q17"/>
    <mergeCell ref="A15:I15"/>
    <mergeCell ref="J15:K15"/>
    <mergeCell ref="L15:M15"/>
    <mergeCell ref="N15:O15"/>
    <mergeCell ref="P15:Q15"/>
    <mergeCell ref="R15:S15"/>
    <mergeCell ref="T15:U15"/>
    <mergeCell ref="V15:W15"/>
    <mergeCell ref="X15:Y15"/>
    <mergeCell ref="A14:I14"/>
    <mergeCell ref="J14:K14"/>
    <mergeCell ref="L14:M14"/>
    <mergeCell ref="N14:O14"/>
    <mergeCell ref="P14:Q14"/>
    <mergeCell ref="R14:S14"/>
    <mergeCell ref="T14:U14"/>
    <mergeCell ref="V14:W14"/>
    <mergeCell ref="X14:Y14"/>
    <mergeCell ref="A13:I13"/>
    <mergeCell ref="J13:K13"/>
    <mergeCell ref="L13:M13"/>
    <mergeCell ref="N13:O13"/>
    <mergeCell ref="P13:Q13"/>
    <mergeCell ref="R13:S13"/>
    <mergeCell ref="T13:U13"/>
    <mergeCell ref="V13:W13"/>
    <mergeCell ref="X13:Y13"/>
    <mergeCell ref="A12:I12"/>
    <mergeCell ref="J12:K12"/>
    <mergeCell ref="L12:M12"/>
    <mergeCell ref="N12:O12"/>
    <mergeCell ref="P12:Q12"/>
    <mergeCell ref="R12:S12"/>
    <mergeCell ref="T12:U12"/>
    <mergeCell ref="V12:W12"/>
    <mergeCell ref="X12:Y12"/>
    <mergeCell ref="X8:Y10"/>
    <mergeCell ref="A9:I10"/>
    <mergeCell ref="R9:S10"/>
    <mergeCell ref="T9:U10"/>
    <mergeCell ref="V9:W10"/>
    <mergeCell ref="A11:I11"/>
    <mergeCell ref="J11:K11"/>
    <mergeCell ref="L11:M11"/>
    <mergeCell ref="N11:O11"/>
    <mergeCell ref="P11:Q11"/>
    <mergeCell ref="A8:I8"/>
    <mergeCell ref="J8:K10"/>
    <mergeCell ref="L8:M10"/>
    <mergeCell ref="N8:O10"/>
    <mergeCell ref="P8:Q10"/>
    <mergeCell ref="R8:W8"/>
    <mergeCell ref="R11:S11"/>
    <mergeCell ref="T11:U11"/>
    <mergeCell ref="V11:W11"/>
    <mergeCell ref="X11:Y11"/>
    <mergeCell ref="U4:W5"/>
    <mergeCell ref="X4:Y5"/>
    <mergeCell ref="A6:F6"/>
    <mergeCell ref="G6:M6"/>
    <mergeCell ref="Q6:U6"/>
    <mergeCell ref="V6:Y6"/>
    <mergeCell ref="A2:Y2"/>
    <mergeCell ref="A3:S3"/>
    <mergeCell ref="U3:V3"/>
    <mergeCell ref="A4:D4"/>
    <mergeCell ref="E4:G4"/>
    <mergeCell ref="H4:I4"/>
    <mergeCell ref="J4:K4"/>
    <mergeCell ref="L4:M4"/>
    <mergeCell ref="N4:P4"/>
    <mergeCell ref="Q4:T5"/>
  </mergeCells>
  <printOptions horizontalCentered="1"/>
  <pageMargins left="0.25" right="0.25" top="0.5" bottom="0.25" header="0.25" footer="0.25"/>
  <pageSetup paperSize="9" scale="70" orientation="landscape" r:id="rId1"/>
  <rowBreaks count="4" manualBreakCount="4">
    <brk id="40" max="16383" man="1"/>
    <brk id="79" max="24" man="1"/>
    <brk id="118" max="16383" man="1"/>
    <brk id="157" max="2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99CC"/>
  </sheetPr>
  <dimension ref="A1:AA196"/>
  <sheetViews>
    <sheetView view="pageBreakPreview" topLeftCell="C182" zoomScale="98" zoomScaleNormal="53" zoomScaleSheetLayoutView="98" workbookViewId="0">
      <selection activeCell="Q193" sqref="Q193:R196"/>
    </sheetView>
  </sheetViews>
  <sheetFormatPr defaultRowHeight="13.8" x14ac:dyDescent="0.25"/>
  <cols>
    <col min="1" max="1" width="8.88671875" customWidth="1"/>
    <col min="2" max="2" width="11.44140625" customWidth="1"/>
    <col min="3" max="3" width="12.6640625" customWidth="1"/>
    <col min="4" max="6" width="7.33203125" customWidth="1"/>
    <col min="7" max="7" width="7.6640625" customWidth="1"/>
    <col min="8" max="8" width="11.33203125" customWidth="1"/>
    <col min="9" max="9" width="9" customWidth="1"/>
    <col min="10" max="11" width="9.6640625" customWidth="1"/>
    <col min="12" max="14" width="7.33203125" customWidth="1"/>
    <col min="15" max="15" width="7.5546875" customWidth="1"/>
    <col min="16" max="23" width="7.33203125" customWidth="1"/>
    <col min="24" max="24" width="8.33203125" customWidth="1"/>
    <col min="25" max="25" width="7.33203125" customWidth="1"/>
  </cols>
  <sheetData>
    <row r="1" spans="1:25" ht="7.5" customHeight="1" x14ac:dyDescent="0.25"/>
    <row r="2" spans="1:25" ht="18" customHeight="1" x14ac:dyDescent="0.45">
      <c r="A2" s="120" t="s">
        <v>17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</row>
    <row r="3" spans="1:25" ht="21" customHeight="1" x14ac:dyDescent="0.25">
      <c r="A3" s="111" t="s">
        <v>18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"/>
      <c r="U3" s="112" t="s">
        <v>19</v>
      </c>
      <c r="V3" s="112"/>
      <c r="W3" s="1"/>
      <c r="X3" s="1"/>
      <c r="Y3" s="1"/>
    </row>
    <row r="4" spans="1:25" ht="30.9" customHeight="1" x14ac:dyDescent="0.25">
      <c r="A4" s="113" t="s">
        <v>20</v>
      </c>
      <c r="B4" s="113"/>
      <c r="C4" s="113"/>
      <c r="D4" s="113"/>
      <c r="E4" s="204" t="s">
        <v>90</v>
      </c>
      <c r="F4" s="204"/>
      <c r="G4" s="204"/>
      <c r="H4" s="116" t="s">
        <v>22</v>
      </c>
      <c r="I4" s="116"/>
      <c r="J4" s="115"/>
      <c r="K4" s="115"/>
      <c r="L4" s="116" t="s">
        <v>23</v>
      </c>
      <c r="M4" s="116"/>
      <c r="N4" s="204" t="s">
        <v>15</v>
      </c>
      <c r="O4" s="204"/>
      <c r="P4" s="204"/>
      <c r="Q4" s="118" t="s">
        <v>24</v>
      </c>
      <c r="R4" s="118"/>
      <c r="S4" s="118"/>
      <c r="T4" s="118"/>
      <c r="U4" s="119" t="s">
        <v>25</v>
      </c>
      <c r="V4" s="119"/>
      <c r="W4" s="119"/>
      <c r="X4" s="147" t="s">
        <v>93</v>
      </c>
      <c r="Y4" s="147"/>
    </row>
    <row r="5" spans="1:25" ht="5.25" customHeight="1" x14ac:dyDescent="0.25">
      <c r="Q5" s="118"/>
      <c r="R5" s="118"/>
      <c r="S5" s="118"/>
      <c r="T5" s="118"/>
      <c r="U5" s="119"/>
      <c r="V5" s="119"/>
      <c r="W5" s="119"/>
      <c r="X5" s="147"/>
      <c r="Y5" s="147"/>
    </row>
    <row r="6" spans="1:25" ht="15.75" customHeight="1" x14ac:dyDescent="0.3">
      <c r="A6" s="166" t="s">
        <v>26</v>
      </c>
      <c r="B6" s="166"/>
      <c r="C6" s="166"/>
      <c r="D6" s="166"/>
      <c r="E6" s="166"/>
      <c r="F6" s="166"/>
      <c r="G6" s="167" t="s">
        <v>27</v>
      </c>
      <c r="H6" s="167"/>
      <c r="I6" s="167"/>
      <c r="J6" s="167"/>
      <c r="K6" s="167"/>
      <c r="L6" s="167"/>
      <c r="M6" s="167"/>
      <c r="N6" s="2"/>
      <c r="Q6" s="168" t="s">
        <v>28</v>
      </c>
      <c r="R6" s="168"/>
      <c r="S6" s="168"/>
      <c r="T6" s="168"/>
      <c r="U6" s="168"/>
      <c r="V6" s="148" t="s">
        <v>29</v>
      </c>
      <c r="W6" s="148"/>
      <c r="X6" s="148"/>
      <c r="Y6" s="148"/>
    </row>
    <row r="7" spans="1:25" ht="7.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" customHeight="1" x14ac:dyDescent="0.25">
      <c r="A8" s="149" t="s">
        <v>31</v>
      </c>
      <c r="B8" s="150"/>
      <c r="C8" s="150"/>
      <c r="D8" s="150"/>
      <c r="E8" s="150"/>
      <c r="F8" s="150"/>
      <c r="G8" s="150"/>
      <c r="H8" s="150"/>
      <c r="I8" s="151"/>
      <c r="J8" s="152" t="s">
        <v>32</v>
      </c>
      <c r="K8" s="153"/>
      <c r="L8" s="152" t="s">
        <v>33</v>
      </c>
      <c r="M8" s="153"/>
      <c r="N8" s="91" t="s">
        <v>34</v>
      </c>
      <c r="O8" s="92"/>
      <c r="P8" s="152" t="s">
        <v>35</v>
      </c>
      <c r="Q8" s="153"/>
      <c r="R8" s="68" t="s">
        <v>36</v>
      </c>
      <c r="S8" s="69"/>
      <c r="T8" s="69"/>
      <c r="U8" s="69"/>
      <c r="V8" s="69"/>
      <c r="W8" s="70"/>
      <c r="X8" s="152" t="s">
        <v>7</v>
      </c>
      <c r="Y8" s="153"/>
    </row>
    <row r="9" spans="1:25" ht="23.25" customHeight="1" x14ac:dyDescent="0.25">
      <c r="A9" s="158" t="s">
        <v>37</v>
      </c>
      <c r="B9" s="159"/>
      <c r="C9" s="159"/>
      <c r="D9" s="159"/>
      <c r="E9" s="159"/>
      <c r="F9" s="159"/>
      <c r="G9" s="159"/>
      <c r="H9" s="159"/>
      <c r="I9" s="160"/>
      <c r="J9" s="154"/>
      <c r="K9" s="155"/>
      <c r="L9" s="154"/>
      <c r="M9" s="155"/>
      <c r="N9" s="93"/>
      <c r="O9" s="94"/>
      <c r="P9" s="154"/>
      <c r="Q9" s="155"/>
      <c r="R9" s="164" t="s">
        <v>38</v>
      </c>
      <c r="S9" s="164"/>
      <c r="T9" s="164" t="s">
        <v>39</v>
      </c>
      <c r="U9" s="164"/>
      <c r="V9" s="164" t="s">
        <v>40</v>
      </c>
      <c r="W9" s="164"/>
      <c r="X9" s="154"/>
      <c r="Y9" s="155"/>
    </row>
    <row r="10" spans="1:25" x14ac:dyDescent="0.25">
      <c r="A10" s="161"/>
      <c r="B10" s="162"/>
      <c r="C10" s="162"/>
      <c r="D10" s="162"/>
      <c r="E10" s="162"/>
      <c r="F10" s="162"/>
      <c r="G10" s="162"/>
      <c r="H10" s="162"/>
      <c r="I10" s="163"/>
      <c r="J10" s="156"/>
      <c r="K10" s="157"/>
      <c r="L10" s="156"/>
      <c r="M10" s="157"/>
      <c r="N10" s="95"/>
      <c r="O10" s="96"/>
      <c r="P10" s="156"/>
      <c r="Q10" s="157"/>
      <c r="R10" s="165"/>
      <c r="S10" s="165"/>
      <c r="T10" s="165"/>
      <c r="U10" s="165"/>
      <c r="V10" s="165"/>
      <c r="W10" s="165"/>
      <c r="X10" s="156"/>
      <c r="Y10" s="157"/>
    </row>
    <row r="11" spans="1:25" ht="18" customHeight="1" x14ac:dyDescent="0.3">
      <c r="A11" s="106" t="s">
        <v>41</v>
      </c>
      <c r="B11" s="107"/>
      <c r="C11" s="107"/>
      <c r="D11" s="107"/>
      <c r="E11" s="107"/>
      <c r="F11" s="107"/>
      <c r="G11" s="107"/>
      <c r="H11" s="107"/>
      <c r="I11" s="108"/>
      <c r="J11" s="170">
        <v>704</v>
      </c>
      <c r="K11" s="171"/>
      <c r="L11" s="170">
        <v>39</v>
      </c>
      <c r="M11" s="171"/>
      <c r="N11" s="170">
        <v>0</v>
      </c>
      <c r="O11" s="171"/>
      <c r="P11" s="170">
        <v>743</v>
      </c>
      <c r="Q11" s="171"/>
      <c r="R11" s="170">
        <v>1</v>
      </c>
      <c r="S11" s="171"/>
      <c r="T11" s="170">
        <v>0</v>
      </c>
      <c r="U11" s="171"/>
      <c r="V11" s="170">
        <v>3</v>
      </c>
      <c r="W11" s="171"/>
      <c r="X11" s="172">
        <v>747</v>
      </c>
      <c r="Y11" s="173"/>
    </row>
    <row r="12" spans="1:25" ht="18" customHeight="1" x14ac:dyDescent="0.3">
      <c r="A12" s="106" t="s">
        <v>42</v>
      </c>
      <c r="B12" s="107"/>
      <c r="C12" s="107"/>
      <c r="D12" s="107"/>
      <c r="E12" s="107"/>
      <c r="F12" s="107"/>
      <c r="G12" s="107"/>
      <c r="H12" s="107"/>
      <c r="I12" s="108"/>
      <c r="J12" s="170">
        <v>408</v>
      </c>
      <c r="K12" s="171"/>
      <c r="L12" s="170">
        <v>4</v>
      </c>
      <c r="M12" s="171"/>
      <c r="N12" s="170">
        <v>2</v>
      </c>
      <c r="O12" s="171"/>
      <c r="P12" s="170">
        <v>414</v>
      </c>
      <c r="Q12" s="171"/>
      <c r="R12" s="170">
        <v>0</v>
      </c>
      <c r="S12" s="171"/>
      <c r="T12" s="170">
        <v>0</v>
      </c>
      <c r="U12" s="171"/>
      <c r="V12" s="170">
        <v>1</v>
      </c>
      <c r="W12" s="171"/>
      <c r="X12" s="172">
        <v>415</v>
      </c>
      <c r="Y12" s="173"/>
    </row>
    <row r="13" spans="1:25" ht="18" customHeight="1" x14ac:dyDescent="0.3">
      <c r="A13" s="106" t="s">
        <v>43</v>
      </c>
      <c r="B13" s="107"/>
      <c r="C13" s="107"/>
      <c r="D13" s="107"/>
      <c r="E13" s="107"/>
      <c r="F13" s="107"/>
      <c r="G13" s="107"/>
      <c r="H13" s="107"/>
      <c r="I13" s="108"/>
      <c r="J13" s="170">
        <v>3</v>
      </c>
      <c r="K13" s="171"/>
      <c r="L13" s="170">
        <v>0</v>
      </c>
      <c r="M13" s="171"/>
      <c r="N13" s="170">
        <v>0</v>
      </c>
      <c r="O13" s="171"/>
      <c r="P13" s="170">
        <v>3</v>
      </c>
      <c r="Q13" s="171"/>
      <c r="R13" s="170">
        <v>0</v>
      </c>
      <c r="S13" s="171"/>
      <c r="T13" s="170">
        <v>0</v>
      </c>
      <c r="U13" s="171"/>
      <c r="V13" s="170">
        <v>0</v>
      </c>
      <c r="W13" s="171"/>
      <c r="X13" s="172">
        <v>3</v>
      </c>
      <c r="Y13" s="173"/>
    </row>
    <row r="14" spans="1:25" ht="18" customHeight="1" x14ac:dyDescent="0.3">
      <c r="A14" s="106" t="s">
        <v>44</v>
      </c>
      <c r="B14" s="107"/>
      <c r="C14" s="107"/>
      <c r="D14" s="107"/>
      <c r="E14" s="107"/>
      <c r="F14" s="107"/>
      <c r="G14" s="107"/>
      <c r="H14" s="107"/>
      <c r="I14" s="108"/>
      <c r="J14" s="170">
        <v>351</v>
      </c>
      <c r="K14" s="171"/>
      <c r="L14" s="170">
        <v>1</v>
      </c>
      <c r="M14" s="171"/>
      <c r="N14" s="170">
        <v>1</v>
      </c>
      <c r="O14" s="171"/>
      <c r="P14" s="170">
        <v>353</v>
      </c>
      <c r="Q14" s="171"/>
      <c r="R14" s="170">
        <v>0</v>
      </c>
      <c r="S14" s="171"/>
      <c r="T14" s="170">
        <v>0</v>
      </c>
      <c r="U14" s="171"/>
      <c r="V14" s="170">
        <v>3</v>
      </c>
      <c r="W14" s="171"/>
      <c r="X14" s="172">
        <v>356</v>
      </c>
      <c r="Y14" s="173"/>
    </row>
    <row r="15" spans="1:25" ht="18" customHeight="1" x14ac:dyDescent="0.3">
      <c r="A15" s="106" t="s">
        <v>7</v>
      </c>
      <c r="B15" s="107"/>
      <c r="C15" s="107"/>
      <c r="D15" s="107"/>
      <c r="E15" s="107"/>
      <c r="F15" s="107"/>
      <c r="G15" s="107"/>
      <c r="H15" s="107"/>
      <c r="I15" s="108"/>
      <c r="J15" s="170">
        <v>1466</v>
      </c>
      <c r="K15" s="171"/>
      <c r="L15" s="170">
        <v>44</v>
      </c>
      <c r="M15" s="171"/>
      <c r="N15" s="170">
        <v>3</v>
      </c>
      <c r="O15" s="171"/>
      <c r="P15" s="170">
        <v>1513</v>
      </c>
      <c r="Q15" s="171"/>
      <c r="R15" s="170">
        <v>1</v>
      </c>
      <c r="S15" s="171"/>
      <c r="T15" s="170">
        <v>0</v>
      </c>
      <c r="U15" s="171"/>
      <c r="V15" s="170">
        <v>7</v>
      </c>
      <c r="W15" s="171"/>
      <c r="X15" s="172">
        <v>1521</v>
      </c>
      <c r="Y15" s="173"/>
    </row>
    <row r="16" spans="1:25" ht="15.6" x14ac:dyDescent="0.3">
      <c r="A16" s="4" t="s">
        <v>45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6"/>
      <c r="S16" s="6"/>
      <c r="T16" s="6"/>
      <c r="U16" s="6"/>
      <c r="V16" s="6"/>
      <c r="W16" s="6"/>
      <c r="X16" s="6"/>
      <c r="Y16" s="7"/>
    </row>
    <row r="17" spans="1:27" x14ac:dyDescent="0.25">
      <c r="A17" s="71"/>
      <c r="B17" s="72"/>
      <c r="C17" s="72"/>
      <c r="D17" s="72"/>
      <c r="E17" s="72"/>
      <c r="F17" s="72"/>
      <c r="G17" s="73"/>
      <c r="H17" s="68" t="s">
        <v>0</v>
      </c>
      <c r="I17" s="69"/>
      <c r="J17" s="136" t="s">
        <v>1</v>
      </c>
      <c r="K17" s="69"/>
      <c r="L17" s="134" t="s">
        <v>2</v>
      </c>
      <c r="M17" s="69"/>
      <c r="N17" s="134" t="s">
        <v>3</v>
      </c>
      <c r="O17" s="69"/>
      <c r="P17" s="134" t="s">
        <v>4</v>
      </c>
      <c r="Q17" s="135"/>
      <c r="R17" s="134" t="s">
        <v>5</v>
      </c>
      <c r="S17" s="69"/>
      <c r="T17" s="134" t="s">
        <v>6</v>
      </c>
      <c r="U17" s="69"/>
      <c r="V17" s="134" t="s">
        <v>46</v>
      </c>
      <c r="W17" s="69"/>
      <c r="X17" s="134" t="s">
        <v>7</v>
      </c>
      <c r="Y17" s="135"/>
    </row>
    <row r="18" spans="1:27" x14ac:dyDescent="0.25">
      <c r="A18" s="74"/>
      <c r="B18" s="75"/>
      <c r="C18" s="75"/>
      <c r="D18" s="75"/>
      <c r="E18" s="75"/>
      <c r="F18" s="75"/>
      <c r="G18" s="76"/>
      <c r="H18" s="10" t="s">
        <v>10</v>
      </c>
      <c r="I18" s="10" t="s">
        <v>11</v>
      </c>
      <c r="J18" s="10" t="s">
        <v>10</v>
      </c>
      <c r="K18" s="10" t="s">
        <v>11</v>
      </c>
      <c r="L18" s="10" t="s">
        <v>10</v>
      </c>
      <c r="M18" s="10" t="s">
        <v>11</v>
      </c>
      <c r="N18" s="10" t="s">
        <v>10</v>
      </c>
      <c r="O18" s="10" t="s">
        <v>11</v>
      </c>
      <c r="P18" s="10" t="s">
        <v>10</v>
      </c>
      <c r="Q18" s="10" t="s">
        <v>11</v>
      </c>
      <c r="R18" s="10" t="s">
        <v>10</v>
      </c>
      <c r="S18" s="10" t="s">
        <v>11</v>
      </c>
      <c r="T18" s="10" t="s">
        <v>10</v>
      </c>
      <c r="U18" s="10" t="s">
        <v>11</v>
      </c>
      <c r="V18" s="10" t="s">
        <v>10</v>
      </c>
      <c r="W18" s="10" t="s">
        <v>11</v>
      </c>
      <c r="X18" s="10" t="s">
        <v>10</v>
      </c>
      <c r="Y18" s="10" t="s">
        <v>11</v>
      </c>
    </row>
    <row r="19" spans="1:27" ht="18" customHeight="1" x14ac:dyDescent="0.25">
      <c r="A19" s="106" t="s">
        <v>41</v>
      </c>
      <c r="B19" s="107"/>
      <c r="C19" s="107"/>
      <c r="D19" s="107"/>
      <c r="E19" s="107"/>
      <c r="F19" s="107"/>
      <c r="G19" s="108"/>
      <c r="H19" s="51">
        <v>0</v>
      </c>
      <c r="I19" s="51">
        <v>0</v>
      </c>
      <c r="J19" s="51">
        <v>1</v>
      </c>
      <c r="K19" s="51">
        <v>11</v>
      </c>
      <c r="L19" s="51">
        <v>63</v>
      </c>
      <c r="M19" s="51">
        <v>72</v>
      </c>
      <c r="N19" s="51">
        <v>54</v>
      </c>
      <c r="O19" s="51">
        <v>59</v>
      </c>
      <c r="P19" s="51">
        <v>49</v>
      </c>
      <c r="Q19" s="51">
        <v>32</v>
      </c>
      <c r="R19" s="51">
        <v>51</v>
      </c>
      <c r="S19" s="51">
        <v>44</v>
      </c>
      <c r="T19" s="51">
        <v>82</v>
      </c>
      <c r="U19" s="51">
        <v>54</v>
      </c>
      <c r="V19" s="51">
        <v>102</v>
      </c>
      <c r="W19" s="51">
        <v>69</v>
      </c>
      <c r="X19" s="51">
        <v>402</v>
      </c>
      <c r="Y19" s="51">
        <v>341</v>
      </c>
      <c r="Z19" s="67">
        <v>743</v>
      </c>
      <c r="AA19" s="67">
        <v>4</v>
      </c>
    </row>
    <row r="20" spans="1:27" ht="18" customHeight="1" x14ac:dyDescent="0.25">
      <c r="A20" s="106" t="s">
        <v>42</v>
      </c>
      <c r="B20" s="107"/>
      <c r="C20" s="107"/>
      <c r="D20" s="107"/>
      <c r="E20" s="107"/>
      <c r="F20" s="107"/>
      <c r="G20" s="108"/>
      <c r="H20" s="51">
        <v>3</v>
      </c>
      <c r="I20" s="51">
        <v>3</v>
      </c>
      <c r="J20" s="51">
        <v>6</v>
      </c>
      <c r="K20" s="51">
        <v>6</v>
      </c>
      <c r="L20" s="51">
        <v>25</v>
      </c>
      <c r="M20" s="51">
        <v>40</v>
      </c>
      <c r="N20" s="51">
        <v>25</v>
      </c>
      <c r="O20" s="51">
        <v>30</v>
      </c>
      <c r="P20" s="51">
        <v>24</v>
      </c>
      <c r="Q20" s="51">
        <v>33</v>
      </c>
      <c r="R20" s="51">
        <v>26</v>
      </c>
      <c r="S20" s="51">
        <v>31</v>
      </c>
      <c r="T20" s="51">
        <v>37</v>
      </c>
      <c r="U20" s="51">
        <v>28</v>
      </c>
      <c r="V20" s="51">
        <v>55</v>
      </c>
      <c r="W20" s="51">
        <v>42</v>
      </c>
      <c r="X20" s="51">
        <v>201</v>
      </c>
      <c r="Y20" s="51">
        <v>213</v>
      </c>
    </row>
    <row r="21" spans="1:27" ht="18" customHeight="1" x14ac:dyDescent="0.25">
      <c r="A21" s="106" t="s">
        <v>43</v>
      </c>
      <c r="B21" s="107"/>
      <c r="C21" s="107"/>
      <c r="D21" s="107"/>
      <c r="E21" s="107"/>
      <c r="F21" s="107"/>
      <c r="G21" s="108"/>
      <c r="H21" s="51">
        <v>0</v>
      </c>
      <c r="I21" s="51">
        <v>0</v>
      </c>
      <c r="J21" s="51">
        <v>1</v>
      </c>
      <c r="K21" s="51">
        <v>0</v>
      </c>
      <c r="L21" s="51">
        <v>1</v>
      </c>
      <c r="M21" s="51">
        <v>0</v>
      </c>
      <c r="N21" s="51">
        <v>0</v>
      </c>
      <c r="O21" s="51">
        <v>1</v>
      </c>
      <c r="P21" s="51">
        <v>0</v>
      </c>
      <c r="Q21" s="51">
        <v>0</v>
      </c>
      <c r="R21" s="51">
        <v>0</v>
      </c>
      <c r="S21" s="51">
        <v>0</v>
      </c>
      <c r="T21" s="51">
        <v>0</v>
      </c>
      <c r="U21" s="51">
        <v>0</v>
      </c>
      <c r="V21" s="51">
        <v>0</v>
      </c>
      <c r="W21" s="51">
        <v>0</v>
      </c>
      <c r="X21" s="51">
        <v>2</v>
      </c>
      <c r="Y21" s="51">
        <v>1</v>
      </c>
    </row>
    <row r="22" spans="1:27" ht="18" customHeight="1" x14ac:dyDescent="0.25">
      <c r="A22" s="106" t="s">
        <v>44</v>
      </c>
      <c r="B22" s="107"/>
      <c r="C22" s="107"/>
      <c r="D22" s="107"/>
      <c r="E22" s="107"/>
      <c r="F22" s="107"/>
      <c r="G22" s="108"/>
      <c r="H22" s="51">
        <v>8</v>
      </c>
      <c r="I22" s="51">
        <v>4</v>
      </c>
      <c r="J22" s="51">
        <v>9</v>
      </c>
      <c r="K22" s="51">
        <v>5</v>
      </c>
      <c r="L22" s="51">
        <v>29</v>
      </c>
      <c r="M22" s="51">
        <v>35</v>
      </c>
      <c r="N22" s="51">
        <v>35</v>
      </c>
      <c r="O22" s="51">
        <v>33</v>
      </c>
      <c r="P22" s="51">
        <v>27</v>
      </c>
      <c r="Q22" s="51">
        <v>19</v>
      </c>
      <c r="R22" s="51">
        <v>23</v>
      </c>
      <c r="S22" s="51">
        <v>25</v>
      </c>
      <c r="T22" s="51">
        <v>26</v>
      </c>
      <c r="U22" s="51">
        <v>21</v>
      </c>
      <c r="V22" s="51">
        <v>33</v>
      </c>
      <c r="W22" s="51">
        <v>21</v>
      </c>
      <c r="X22" s="51">
        <v>190</v>
      </c>
      <c r="Y22" s="51">
        <v>163</v>
      </c>
    </row>
    <row r="23" spans="1:27" ht="18" customHeight="1" x14ac:dyDescent="0.25">
      <c r="A23" s="106" t="s">
        <v>7</v>
      </c>
      <c r="B23" s="107"/>
      <c r="C23" s="107"/>
      <c r="D23" s="107"/>
      <c r="E23" s="107"/>
      <c r="F23" s="107"/>
      <c r="G23" s="108"/>
      <c r="H23" s="51">
        <v>11</v>
      </c>
      <c r="I23" s="51">
        <v>7</v>
      </c>
      <c r="J23" s="51">
        <v>17</v>
      </c>
      <c r="K23" s="51">
        <v>22</v>
      </c>
      <c r="L23" s="51">
        <v>118</v>
      </c>
      <c r="M23" s="51">
        <v>147</v>
      </c>
      <c r="N23" s="51">
        <v>114</v>
      </c>
      <c r="O23" s="51">
        <v>123</v>
      </c>
      <c r="P23" s="51">
        <v>100</v>
      </c>
      <c r="Q23" s="51">
        <v>84</v>
      </c>
      <c r="R23" s="51">
        <v>100</v>
      </c>
      <c r="S23" s="51">
        <v>100</v>
      </c>
      <c r="T23" s="51">
        <v>145</v>
      </c>
      <c r="U23" s="51">
        <v>103</v>
      </c>
      <c r="V23" s="51">
        <v>190</v>
      </c>
      <c r="W23" s="51">
        <v>132</v>
      </c>
      <c r="X23" s="51">
        <v>795</v>
      </c>
      <c r="Y23" s="51">
        <v>718</v>
      </c>
      <c r="Z23" s="67">
        <v>1513</v>
      </c>
      <c r="AA23" s="67">
        <v>8</v>
      </c>
    </row>
    <row r="24" spans="1:27" ht="6.75" customHeight="1" x14ac:dyDescent="0.25">
      <c r="A24" s="11"/>
      <c r="B24" s="12"/>
      <c r="C24" s="12"/>
      <c r="D24" s="12"/>
      <c r="E24" s="12"/>
      <c r="F24" s="13"/>
      <c r="G24" s="13"/>
      <c r="H24" s="13"/>
      <c r="I24" s="13"/>
      <c r="J24" s="13"/>
      <c r="K24" s="13"/>
      <c r="L24" s="14"/>
      <c r="M24" s="13"/>
      <c r="N24" s="15"/>
      <c r="O24" s="16"/>
      <c r="P24" s="13"/>
      <c r="Q24" s="13"/>
      <c r="R24" s="13"/>
      <c r="S24" s="13"/>
      <c r="T24" s="13"/>
      <c r="U24" s="13"/>
      <c r="V24" s="13"/>
      <c r="W24" s="13"/>
      <c r="X24" s="13"/>
      <c r="Y24" s="17"/>
    </row>
    <row r="25" spans="1:27" ht="18" customHeight="1" x14ac:dyDescent="0.3">
      <c r="A25" s="18" t="s">
        <v>47</v>
      </c>
      <c r="B25" s="19"/>
      <c r="C25" s="19"/>
      <c r="D25" s="19"/>
      <c r="E25" s="19"/>
      <c r="F25" s="19"/>
      <c r="G25" s="19"/>
      <c r="H25" s="19"/>
      <c r="I25" s="19"/>
      <c r="J25" s="19"/>
      <c r="K25" s="20"/>
      <c r="L25" s="21"/>
      <c r="M25" s="18" t="s">
        <v>48</v>
      </c>
      <c r="N25" s="19"/>
      <c r="O25" s="19"/>
      <c r="P25" s="19"/>
      <c r="Q25" s="22"/>
      <c r="R25" s="22"/>
      <c r="S25" s="22"/>
      <c r="T25" s="22"/>
      <c r="U25" s="22"/>
      <c r="V25" s="22"/>
      <c r="W25" s="22"/>
      <c r="X25" s="22"/>
      <c r="Y25" s="23"/>
    </row>
    <row r="26" spans="1:27" ht="57.75" customHeight="1" x14ac:dyDescent="0.25">
      <c r="A26" s="101" t="s">
        <v>49</v>
      </c>
      <c r="B26" s="101" t="s">
        <v>50</v>
      </c>
      <c r="C26" s="101" t="s">
        <v>51</v>
      </c>
      <c r="D26" s="77" t="s">
        <v>52</v>
      </c>
      <c r="E26" s="78"/>
      <c r="F26" s="77" t="s">
        <v>53</v>
      </c>
      <c r="G26" s="79"/>
      <c r="H26" s="79"/>
      <c r="I26" s="78"/>
      <c r="J26" s="101" t="s">
        <v>54</v>
      </c>
      <c r="K26" s="101" t="s">
        <v>55</v>
      </c>
      <c r="L26" s="24"/>
      <c r="M26" s="86" t="s">
        <v>56</v>
      </c>
      <c r="N26" s="88"/>
      <c r="O26" s="86" t="s">
        <v>57</v>
      </c>
      <c r="P26" s="88"/>
      <c r="Q26" s="86" t="s">
        <v>58</v>
      </c>
      <c r="R26" s="87"/>
      <c r="S26" s="87"/>
      <c r="T26" s="87"/>
      <c r="U26" s="87"/>
      <c r="V26" s="87"/>
      <c r="W26" s="87"/>
      <c r="X26" s="87"/>
      <c r="Y26" s="88"/>
    </row>
    <row r="27" spans="1:27" ht="38.25" customHeight="1" x14ac:dyDescent="0.25">
      <c r="A27" s="102"/>
      <c r="B27" s="102"/>
      <c r="C27" s="102"/>
      <c r="D27" s="25" t="s">
        <v>59</v>
      </c>
      <c r="E27" s="25" t="s">
        <v>60</v>
      </c>
      <c r="F27" s="26" t="s">
        <v>59</v>
      </c>
      <c r="G27" s="26" t="s">
        <v>60</v>
      </c>
      <c r="H27" s="26" t="s">
        <v>61</v>
      </c>
      <c r="I27" s="26" t="s">
        <v>62</v>
      </c>
      <c r="J27" s="102"/>
      <c r="K27" s="102"/>
      <c r="L27" s="24"/>
      <c r="M27" s="91">
        <v>0</v>
      </c>
      <c r="N27" s="92"/>
      <c r="O27" s="91">
        <v>0</v>
      </c>
      <c r="P27" s="92"/>
      <c r="Q27" s="86">
        <v>0</v>
      </c>
      <c r="R27" s="87"/>
      <c r="S27" s="87"/>
      <c r="T27" s="87"/>
      <c r="U27" s="87"/>
      <c r="V27" s="87"/>
      <c r="W27" s="87"/>
      <c r="X27" s="87"/>
      <c r="Y27" s="88"/>
    </row>
    <row r="28" spans="1:27" ht="38.25" customHeight="1" x14ac:dyDescent="0.25">
      <c r="A28" s="103">
        <v>237228</v>
      </c>
      <c r="B28" s="103">
        <v>8301</v>
      </c>
      <c r="C28" s="103">
        <v>0</v>
      </c>
      <c r="D28" s="103">
        <v>9252</v>
      </c>
      <c r="E28" s="103">
        <v>0</v>
      </c>
      <c r="F28" s="103">
        <v>0</v>
      </c>
      <c r="G28" s="103">
        <v>0</v>
      </c>
      <c r="H28" s="103">
        <v>261</v>
      </c>
      <c r="I28" s="103">
        <v>835</v>
      </c>
      <c r="J28" s="103">
        <v>716</v>
      </c>
      <c r="K28" s="103">
        <v>623</v>
      </c>
      <c r="L28" s="24"/>
      <c r="M28" s="91" t="s">
        <v>63</v>
      </c>
      <c r="N28" s="92"/>
      <c r="O28" s="91" t="s">
        <v>64</v>
      </c>
      <c r="P28" s="92"/>
      <c r="Q28" s="95" t="s">
        <v>65</v>
      </c>
      <c r="R28" s="99"/>
      <c r="S28" s="96"/>
      <c r="T28" s="95" t="s">
        <v>66</v>
      </c>
      <c r="U28" s="99"/>
      <c r="V28" s="99"/>
      <c r="W28" s="99"/>
      <c r="X28" s="99"/>
      <c r="Y28" s="96"/>
    </row>
    <row r="29" spans="1:27" ht="19.5" customHeight="1" x14ac:dyDescent="0.25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27"/>
      <c r="M29" s="91">
        <v>0</v>
      </c>
      <c r="N29" s="92"/>
      <c r="O29" s="91">
        <v>0</v>
      </c>
      <c r="P29" s="92"/>
      <c r="Q29" s="91">
        <v>0</v>
      </c>
      <c r="R29" s="97"/>
      <c r="S29" s="92"/>
      <c r="T29" s="28"/>
      <c r="U29" s="86" t="s">
        <v>0</v>
      </c>
      <c r="V29" s="88"/>
      <c r="W29" s="29" t="s">
        <v>1</v>
      </c>
      <c r="X29" s="86" t="s">
        <v>67</v>
      </c>
      <c r="Y29" s="88"/>
    </row>
    <row r="30" spans="1:27" ht="18" customHeight="1" x14ac:dyDescent="0.25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27"/>
      <c r="M30" s="93"/>
      <c r="N30" s="94"/>
      <c r="O30" s="93"/>
      <c r="P30" s="94"/>
      <c r="Q30" s="93"/>
      <c r="R30" s="98"/>
      <c r="S30" s="94"/>
      <c r="T30" s="30" t="s">
        <v>68</v>
      </c>
      <c r="U30" s="100">
        <v>0</v>
      </c>
      <c r="V30" s="100"/>
      <c r="W30" s="29">
        <v>0</v>
      </c>
      <c r="X30" s="100">
        <v>0</v>
      </c>
      <c r="Y30" s="100"/>
    </row>
    <row r="31" spans="1:27" ht="18" customHeight="1" x14ac:dyDescent="0.25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27"/>
      <c r="M31" s="93"/>
      <c r="N31" s="94"/>
      <c r="O31" s="93"/>
      <c r="P31" s="94"/>
      <c r="Q31" s="93"/>
      <c r="R31" s="98"/>
      <c r="S31" s="94"/>
      <c r="T31" s="30" t="s">
        <v>69</v>
      </c>
      <c r="U31" s="100">
        <v>0</v>
      </c>
      <c r="V31" s="100"/>
      <c r="W31" s="29">
        <v>0</v>
      </c>
      <c r="X31" s="100">
        <v>0</v>
      </c>
      <c r="Y31" s="100"/>
    </row>
    <row r="32" spans="1:27" ht="18" customHeight="1" x14ac:dyDescent="0.25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27"/>
      <c r="M32" s="95"/>
      <c r="N32" s="96"/>
      <c r="O32" s="95"/>
      <c r="P32" s="96"/>
      <c r="Q32" s="95"/>
      <c r="R32" s="99"/>
      <c r="S32" s="96"/>
      <c r="T32" s="30" t="s">
        <v>70</v>
      </c>
      <c r="U32" s="100">
        <v>0</v>
      </c>
      <c r="V32" s="100"/>
      <c r="W32" s="29">
        <v>0</v>
      </c>
      <c r="X32" s="100">
        <v>0</v>
      </c>
      <c r="Y32" s="100"/>
    </row>
    <row r="33" spans="1:25" ht="8.25" customHeight="1" x14ac:dyDescent="0.2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3"/>
      <c r="M33" s="32"/>
      <c r="N33" s="32"/>
      <c r="O33" s="32"/>
      <c r="P33" s="32"/>
      <c r="Q33" s="32"/>
      <c r="R33" s="34"/>
      <c r="S33" s="34"/>
      <c r="T33" s="34"/>
      <c r="U33" s="34"/>
      <c r="V33" s="34"/>
      <c r="W33" s="32"/>
      <c r="X33" s="32"/>
      <c r="Y33" s="7"/>
    </row>
    <row r="34" spans="1:25" ht="18" customHeight="1" x14ac:dyDescent="0.3">
      <c r="A34" s="18" t="s">
        <v>71</v>
      </c>
      <c r="B34" s="19"/>
      <c r="C34" s="19"/>
      <c r="D34" s="19"/>
      <c r="E34" s="19"/>
      <c r="F34" s="19"/>
      <c r="G34" s="19"/>
      <c r="H34" s="19"/>
      <c r="I34" s="19"/>
      <c r="J34" s="19"/>
      <c r="K34" s="20"/>
      <c r="L34" s="35"/>
      <c r="M34" s="18" t="s">
        <v>72</v>
      </c>
      <c r="N34" s="20"/>
      <c r="O34" s="36"/>
      <c r="P34" s="19"/>
      <c r="Q34" s="19"/>
      <c r="R34" s="19"/>
      <c r="S34" s="19"/>
      <c r="T34" s="19"/>
      <c r="U34" s="19"/>
      <c r="V34" s="19"/>
      <c r="W34" s="22"/>
      <c r="X34" s="22"/>
      <c r="Y34" s="37"/>
    </row>
    <row r="35" spans="1:25" ht="57" customHeight="1" x14ac:dyDescent="0.25">
      <c r="A35" s="71"/>
      <c r="B35" s="72"/>
      <c r="C35" s="72"/>
      <c r="D35" s="72"/>
      <c r="E35" s="73"/>
      <c r="F35" s="68" t="s">
        <v>12</v>
      </c>
      <c r="G35" s="70"/>
      <c r="H35" s="68" t="s">
        <v>13</v>
      </c>
      <c r="I35" s="70"/>
      <c r="J35" s="38" t="s">
        <v>73</v>
      </c>
      <c r="K35" s="39"/>
      <c r="L35" s="40"/>
      <c r="M35" s="77" t="s">
        <v>74</v>
      </c>
      <c r="N35" s="78"/>
      <c r="O35" s="77" t="s">
        <v>75</v>
      </c>
      <c r="P35" s="78"/>
      <c r="Q35" s="77" t="s">
        <v>76</v>
      </c>
      <c r="R35" s="78"/>
      <c r="S35" s="77" t="s">
        <v>77</v>
      </c>
      <c r="T35" s="79"/>
      <c r="U35" s="79"/>
      <c r="V35" s="78"/>
      <c r="W35" s="77" t="s">
        <v>78</v>
      </c>
      <c r="X35" s="79"/>
      <c r="Y35" s="78"/>
    </row>
    <row r="36" spans="1:25" ht="13.5" customHeight="1" x14ac:dyDescent="0.25">
      <c r="A36" s="74"/>
      <c r="B36" s="75"/>
      <c r="C36" s="75"/>
      <c r="D36" s="75"/>
      <c r="E36" s="76"/>
      <c r="F36" s="10" t="s">
        <v>79</v>
      </c>
      <c r="G36" s="10" t="s">
        <v>14</v>
      </c>
      <c r="H36" s="10" t="s">
        <v>79</v>
      </c>
      <c r="I36" s="10" t="s">
        <v>14</v>
      </c>
      <c r="J36" s="10" t="s">
        <v>79</v>
      </c>
      <c r="K36" s="10" t="s">
        <v>14</v>
      </c>
      <c r="L36" s="41"/>
      <c r="M36" s="42" t="s">
        <v>80</v>
      </c>
      <c r="N36" s="42" t="s">
        <v>81</v>
      </c>
      <c r="O36" s="42" t="s">
        <v>80</v>
      </c>
      <c r="P36" s="43" t="s">
        <v>81</v>
      </c>
      <c r="Q36" s="42" t="s">
        <v>80</v>
      </c>
      <c r="R36" s="42" t="s">
        <v>81</v>
      </c>
      <c r="S36" s="44"/>
      <c r="T36" s="42" t="s">
        <v>0</v>
      </c>
      <c r="U36" s="45" t="s">
        <v>1</v>
      </c>
      <c r="V36" s="46" t="s">
        <v>82</v>
      </c>
      <c r="W36" s="42" t="s">
        <v>0</v>
      </c>
      <c r="X36" s="45" t="s">
        <v>1</v>
      </c>
      <c r="Y36" s="46" t="s">
        <v>82</v>
      </c>
    </row>
    <row r="37" spans="1:25" ht="18" customHeight="1" x14ac:dyDescent="0.3">
      <c r="A37" s="80" t="s">
        <v>83</v>
      </c>
      <c r="B37" s="81"/>
      <c r="C37" s="81"/>
      <c r="D37" s="81"/>
      <c r="E37" s="82"/>
      <c r="F37" s="51">
        <v>708</v>
      </c>
      <c r="G37" s="51">
        <v>1</v>
      </c>
      <c r="H37" s="51">
        <v>1</v>
      </c>
      <c r="I37" s="51">
        <v>0</v>
      </c>
      <c r="J37" s="51">
        <v>0</v>
      </c>
      <c r="K37" s="51">
        <v>0</v>
      </c>
      <c r="L37" s="41"/>
      <c r="M37" s="201">
        <v>1642</v>
      </c>
      <c r="N37" s="201">
        <v>113</v>
      </c>
      <c r="O37" s="201">
        <v>769</v>
      </c>
      <c r="P37" s="201">
        <v>3804</v>
      </c>
      <c r="Q37" s="201">
        <v>7</v>
      </c>
      <c r="R37" s="201">
        <v>148</v>
      </c>
      <c r="S37" s="47" t="s">
        <v>68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</row>
    <row r="38" spans="1:25" ht="18" customHeight="1" x14ac:dyDescent="0.3">
      <c r="A38" s="80" t="s">
        <v>8</v>
      </c>
      <c r="B38" s="81"/>
      <c r="C38" s="81"/>
      <c r="D38" s="81"/>
      <c r="E38" s="82"/>
      <c r="F38" s="51">
        <v>13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41"/>
      <c r="M38" s="202"/>
      <c r="N38" s="202"/>
      <c r="O38" s="202"/>
      <c r="P38" s="202"/>
      <c r="Q38" s="202"/>
      <c r="R38" s="202"/>
      <c r="S38" s="47" t="s">
        <v>69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</row>
    <row r="39" spans="1:25" ht="18" customHeight="1" x14ac:dyDescent="0.25">
      <c r="A39" s="86" t="s">
        <v>84</v>
      </c>
      <c r="B39" s="87"/>
      <c r="C39" s="87"/>
      <c r="D39" s="87"/>
      <c r="E39" s="88"/>
      <c r="F39" s="51">
        <v>0</v>
      </c>
      <c r="G39" s="51">
        <v>0</v>
      </c>
      <c r="H39" s="51">
        <v>0</v>
      </c>
      <c r="I39" s="51">
        <v>0</v>
      </c>
      <c r="J39" s="51">
        <v>0</v>
      </c>
      <c r="K39" s="51">
        <v>0</v>
      </c>
      <c r="L39" s="41"/>
      <c r="M39" s="202"/>
      <c r="N39" s="202"/>
      <c r="O39" s="202"/>
      <c r="P39" s="202"/>
      <c r="Q39" s="202"/>
      <c r="R39" s="202"/>
      <c r="S39" s="89" t="s">
        <v>70</v>
      </c>
      <c r="T39" s="83">
        <v>0</v>
      </c>
      <c r="U39" s="83">
        <v>0</v>
      </c>
      <c r="V39" s="83">
        <v>0</v>
      </c>
      <c r="W39" s="83">
        <v>0</v>
      </c>
      <c r="X39" s="83">
        <v>0</v>
      </c>
      <c r="Y39" s="83">
        <v>0</v>
      </c>
    </row>
    <row r="40" spans="1:25" ht="18" customHeight="1" x14ac:dyDescent="0.25">
      <c r="A40" s="68" t="s">
        <v>7</v>
      </c>
      <c r="B40" s="69"/>
      <c r="C40" s="69"/>
      <c r="D40" s="69"/>
      <c r="E40" s="70"/>
      <c r="F40" s="51">
        <v>721</v>
      </c>
      <c r="G40" s="51">
        <v>1</v>
      </c>
      <c r="H40" s="51">
        <v>1</v>
      </c>
      <c r="I40" s="51">
        <v>0</v>
      </c>
      <c r="J40" s="51">
        <v>0</v>
      </c>
      <c r="K40" s="51">
        <v>0</v>
      </c>
      <c r="L40" s="41"/>
      <c r="M40" s="203"/>
      <c r="N40" s="203"/>
      <c r="O40" s="203"/>
      <c r="P40" s="203"/>
      <c r="Q40" s="203"/>
      <c r="R40" s="203"/>
      <c r="S40" s="90"/>
      <c r="T40" s="85"/>
      <c r="U40" s="85"/>
      <c r="V40" s="85"/>
      <c r="W40" s="85"/>
      <c r="X40" s="85"/>
      <c r="Y40" s="85"/>
    </row>
    <row r="41" spans="1:25" ht="23.4" x14ac:dyDescent="0.45">
      <c r="A41" s="120" t="s">
        <v>17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</row>
    <row r="42" spans="1:25" ht="23.4" x14ac:dyDescent="0.25">
      <c r="A42" s="111" t="s">
        <v>18</v>
      </c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"/>
      <c r="U42" s="112" t="s">
        <v>19</v>
      </c>
      <c r="V42" s="112"/>
      <c r="W42" s="1"/>
      <c r="X42" s="1"/>
      <c r="Y42" s="1"/>
    </row>
    <row r="43" spans="1:25" ht="30.9" customHeight="1" x14ac:dyDescent="0.25">
      <c r="A43" s="113" t="s">
        <v>20</v>
      </c>
      <c r="B43" s="113"/>
      <c r="C43" s="113"/>
      <c r="D43" s="113"/>
      <c r="E43" s="204" t="s">
        <v>90</v>
      </c>
      <c r="F43" s="204"/>
      <c r="G43" s="204"/>
      <c r="H43" s="116" t="s">
        <v>22</v>
      </c>
      <c r="I43" s="116"/>
      <c r="J43" s="115">
        <v>0</v>
      </c>
      <c r="K43" s="115"/>
      <c r="L43" s="116" t="s">
        <v>23</v>
      </c>
      <c r="M43" s="116"/>
      <c r="N43" s="204" t="s">
        <v>15</v>
      </c>
      <c r="O43" s="204"/>
      <c r="P43" s="204"/>
      <c r="Q43" s="118" t="s">
        <v>24</v>
      </c>
      <c r="R43" s="118"/>
      <c r="S43" s="118"/>
      <c r="T43" s="118"/>
      <c r="U43" s="119" t="s">
        <v>85</v>
      </c>
      <c r="V43" s="119"/>
      <c r="W43" s="119"/>
      <c r="X43" s="147" t="s">
        <v>93</v>
      </c>
      <c r="Y43" s="147"/>
    </row>
    <row r="44" spans="1:25" x14ac:dyDescent="0.25">
      <c r="Q44" s="118"/>
      <c r="R44" s="118"/>
      <c r="S44" s="118"/>
      <c r="T44" s="118"/>
      <c r="U44" s="119"/>
      <c r="V44" s="119"/>
      <c r="W44" s="119"/>
      <c r="X44" s="147"/>
      <c r="Y44" s="147"/>
    </row>
    <row r="45" spans="1:25" ht="15.6" x14ac:dyDescent="0.3">
      <c r="A45" s="166" t="s">
        <v>26</v>
      </c>
      <c r="B45" s="166"/>
      <c r="C45" s="166"/>
      <c r="D45" s="166"/>
      <c r="E45" s="166"/>
      <c r="F45" s="166"/>
      <c r="G45" s="167" t="s">
        <v>27</v>
      </c>
      <c r="H45" s="167"/>
      <c r="I45" s="167"/>
      <c r="J45" s="167"/>
      <c r="K45" s="167"/>
      <c r="L45" s="167"/>
      <c r="M45" s="167"/>
      <c r="N45" s="2"/>
      <c r="Q45" s="168" t="s">
        <v>28</v>
      </c>
      <c r="R45" s="168"/>
      <c r="S45" s="168"/>
      <c r="T45" s="168"/>
      <c r="U45" s="168"/>
      <c r="V45" s="148" t="s">
        <v>29</v>
      </c>
      <c r="W45" s="148"/>
      <c r="X45" s="148"/>
      <c r="Y45" s="148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" customHeight="1" x14ac:dyDescent="0.25">
      <c r="A47" s="149" t="s">
        <v>31</v>
      </c>
      <c r="B47" s="150"/>
      <c r="C47" s="150"/>
      <c r="D47" s="150"/>
      <c r="E47" s="150"/>
      <c r="F47" s="150"/>
      <c r="G47" s="150"/>
      <c r="H47" s="150"/>
      <c r="I47" s="151"/>
      <c r="J47" s="152" t="s">
        <v>32</v>
      </c>
      <c r="K47" s="153"/>
      <c r="L47" s="152" t="s">
        <v>33</v>
      </c>
      <c r="M47" s="153"/>
      <c r="N47" s="91" t="s">
        <v>34</v>
      </c>
      <c r="O47" s="92"/>
      <c r="P47" s="152" t="s">
        <v>35</v>
      </c>
      <c r="Q47" s="153"/>
      <c r="R47" s="68" t="s">
        <v>36</v>
      </c>
      <c r="S47" s="69"/>
      <c r="T47" s="69"/>
      <c r="U47" s="69"/>
      <c r="V47" s="69"/>
      <c r="W47" s="70"/>
      <c r="X47" s="152" t="s">
        <v>7</v>
      </c>
      <c r="Y47" s="153"/>
    </row>
    <row r="48" spans="1:25" ht="23.25" customHeight="1" x14ac:dyDescent="0.25">
      <c r="A48" s="158" t="s">
        <v>37</v>
      </c>
      <c r="B48" s="159"/>
      <c r="C48" s="159"/>
      <c r="D48" s="159"/>
      <c r="E48" s="159"/>
      <c r="F48" s="159"/>
      <c r="G48" s="159"/>
      <c r="H48" s="159"/>
      <c r="I48" s="160"/>
      <c r="J48" s="154"/>
      <c r="K48" s="155"/>
      <c r="L48" s="154"/>
      <c r="M48" s="155"/>
      <c r="N48" s="93"/>
      <c r="O48" s="94"/>
      <c r="P48" s="154"/>
      <c r="Q48" s="155"/>
      <c r="R48" s="164" t="s">
        <v>38</v>
      </c>
      <c r="S48" s="164"/>
      <c r="T48" s="164" t="s">
        <v>39</v>
      </c>
      <c r="U48" s="164"/>
      <c r="V48" s="164" t="s">
        <v>40</v>
      </c>
      <c r="W48" s="164"/>
      <c r="X48" s="154"/>
      <c r="Y48" s="155"/>
    </row>
    <row r="49" spans="1:25" x14ac:dyDescent="0.25">
      <c r="A49" s="161"/>
      <c r="B49" s="162"/>
      <c r="C49" s="162"/>
      <c r="D49" s="162"/>
      <c r="E49" s="162"/>
      <c r="F49" s="162"/>
      <c r="G49" s="162"/>
      <c r="H49" s="162"/>
      <c r="I49" s="163"/>
      <c r="J49" s="156"/>
      <c r="K49" s="157"/>
      <c r="L49" s="156"/>
      <c r="M49" s="157"/>
      <c r="N49" s="95"/>
      <c r="O49" s="96"/>
      <c r="P49" s="156"/>
      <c r="Q49" s="157"/>
      <c r="R49" s="165"/>
      <c r="S49" s="165"/>
      <c r="T49" s="165"/>
      <c r="U49" s="165"/>
      <c r="V49" s="165"/>
      <c r="W49" s="165"/>
      <c r="X49" s="156"/>
      <c r="Y49" s="157"/>
    </row>
    <row r="50" spans="1:25" ht="18" customHeight="1" x14ac:dyDescent="0.3">
      <c r="A50" s="106" t="s">
        <v>41</v>
      </c>
      <c r="B50" s="107"/>
      <c r="C50" s="107"/>
      <c r="D50" s="107"/>
      <c r="E50" s="107"/>
      <c r="F50" s="107"/>
      <c r="G50" s="107"/>
      <c r="H50" s="107"/>
      <c r="I50" s="108"/>
      <c r="J50" s="68">
        <v>768</v>
      </c>
      <c r="K50" s="70"/>
      <c r="L50" s="68">
        <v>45</v>
      </c>
      <c r="M50" s="70"/>
      <c r="N50" s="68">
        <v>0</v>
      </c>
      <c r="O50" s="70"/>
      <c r="P50" s="68">
        <v>813</v>
      </c>
      <c r="Q50" s="70"/>
      <c r="R50" s="68">
        <v>0</v>
      </c>
      <c r="S50" s="70"/>
      <c r="T50" s="68">
        <v>1</v>
      </c>
      <c r="U50" s="70"/>
      <c r="V50" s="68">
        <v>0</v>
      </c>
      <c r="W50" s="70"/>
      <c r="X50" s="80">
        <v>814</v>
      </c>
      <c r="Y50" s="82"/>
    </row>
    <row r="51" spans="1:25" ht="18" customHeight="1" x14ac:dyDescent="0.3">
      <c r="A51" s="106" t="s">
        <v>42</v>
      </c>
      <c r="B51" s="107"/>
      <c r="C51" s="107"/>
      <c r="D51" s="107"/>
      <c r="E51" s="107"/>
      <c r="F51" s="107"/>
      <c r="G51" s="107"/>
      <c r="H51" s="107"/>
      <c r="I51" s="108"/>
      <c r="J51" s="68">
        <v>417</v>
      </c>
      <c r="K51" s="70"/>
      <c r="L51" s="68">
        <v>3</v>
      </c>
      <c r="M51" s="70"/>
      <c r="N51" s="68">
        <v>0</v>
      </c>
      <c r="O51" s="70"/>
      <c r="P51" s="68">
        <v>420</v>
      </c>
      <c r="Q51" s="70"/>
      <c r="R51" s="68">
        <v>0</v>
      </c>
      <c r="S51" s="70"/>
      <c r="T51" s="68">
        <v>0</v>
      </c>
      <c r="U51" s="70"/>
      <c r="V51" s="68">
        <v>7</v>
      </c>
      <c r="W51" s="70"/>
      <c r="X51" s="80">
        <v>427</v>
      </c>
      <c r="Y51" s="82"/>
    </row>
    <row r="52" spans="1:25" ht="18" customHeight="1" x14ac:dyDescent="0.3">
      <c r="A52" s="106" t="s">
        <v>43</v>
      </c>
      <c r="B52" s="107"/>
      <c r="C52" s="107"/>
      <c r="D52" s="107"/>
      <c r="E52" s="107"/>
      <c r="F52" s="107"/>
      <c r="G52" s="107"/>
      <c r="H52" s="107"/>
      <c r="I52" s="108"/>
      <c r="J52" s="68">
        <v>0</v>
      </c>
      <c r="K52" s="70"/>
      <c r="L52" s="68">
        <v>0</v>
      </c>
      <c r="M52" s="70"/>
      <c r="N52" s="68">
        <v>0</v>
      </c>
      <c r="O52" s="70"/>
      <c r="P52" s="68">
        <v>0</v>
      </c>
      <c r="Q52" s="70"/>
      <c r="R52" s="68">
        <v>0</v>
      </c>
      <c r="S52" s="70"/>
      <c r="T52" s="68">
        <v>0</v>
      </c>
      <c r="U52" s="70"/>
      <c r="V52" s="68">
        <v>0</v>
      </c>
      <c r="W52" s="70"/>
      <c r="X52" s="80">
        <v>0</v>
      </c>
      <c r="Y52" s="82"/>
    </row>
    <row r="53" spans="1:25" ht="18" customHeight="1" x14ac:dyDescent="0.3">
      <c r="A53" s="106" t="s">
        <v>44</v>
      </c>
      <c r="B53" s="107"/>
      <c r="C53" s="107"/>
      <c r="D53" s="107"/>
      <c r="E53" s="107"/>
      <c r="F53" s="107"/>
      <c r="G53" s="107"/>
      <c r="H53" s="107"/>
      <c r="I53" s="108"/>
      <c r="J53" s="68">
        <v>439</v>
      </c>
      <c r="K53" s="70"/>
      <c r="L53" s="68">
        <v>1</v>
      </c>
      <c r="M53" s="70"/>
      <c r="N53" s="68">
        <v>2</v>
      </c>
      <c r="O53" s="70"/>
      <c r="P53" s="68">
        <v>442</v>
      </c>
      <c r="Q53" s="70"/>
      <c r="R53" s="68">
        <v>0</v>
      </c>
      <c r="S53" s="70"/>
      <c r="T53" s="68">
        <v>0</v>
      </c>
      <c r="U53" s="70"/>
      <c r="V53" s="68">
        <v>2</v>
      </c>
      <c r="W53" s="70"/>
      <c r="X53" s="80">
        <v>444</v>
      </c>
      <c r="Y53" s="82"/>
    </row>
    <row r="54" spans="1:25" ht="18" customHeight="1" x14ac:dyDescent="0.3">
      <c r="A54" s="106" t="s">
        <v>7</v>
      </c>
      <c r="B54" s="107"/>
      <c r="C54" s="107"/>
      <c r="D54" s="107"/>
      <c r="E54" s="107"/>
      <c r="F54" s="107"/>
      <c r="G54" s="107"/>
      <c r="H54" s="107"/>
      <c r="I54" s="108"/>
      <c r="J54" s="170">
        <v>1624</v>
      </c>
      <c r="K54" s="171"/>
      <c r="L54" s="170">
        <v>49</v>
      </c>
      <c r="M54" s="171"/>
      <c r="N54" s="170">
        <v>2</v>
      </c>
      <c r="O54" s="171"/>
      <c r="P54" s="170">
        <v>1675</v>
      </c>
      <c r="Q54" s="171"/>
      <c r="R54" s="170">
        <v>0</v>
      </c>
      <c r="S54" s="171"/>
      <c r="T54" s="170">
        <v>1</v>
      </c>
      <c r="U54" s="171"/>
      <c r="V54" s="170">
        <v>9</v>
      </c>
      <c r="W54" s="171"/>
      <c r="X54" s="172">
        <v>1685</v>
      </c>
      <c r="Y54" s="173"/>
    </row>
    <row r="55" spans="1:25" ht="15.6" x14ac:dyDescent="0.3">
      <c r="A55" s="4" t="s">
        <v>45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6"/>
      <c r="S55" s="6"/>
      <c r="T55" s="6"/>
      <c r="U55" s="6"/>
      <c r="V55" s="6"/>
      <c r="W55" s="6"/>
      <c r="X55" s="6"/>
      <c r="Y55" s="7"/>
    </row>
    <row r="56" spans="1:25" x14ac:dyDescent="0.25">
      <c r="A56" s="71"/>
      <c r="B56" s="72"/>
      <c r="C56" s="72"/>
      <c r="D56" s="72"/>
      <c r="E56" s="72"/>
      <c r="F56" s="72"/>
      <c r="G56" s="73"/>
      <c r="H56" s="68" t="s">
        <v>0</v>
      </c>
      <c r="I56" s="69"/>
      <c r="J56" s="136" t="s">
        <v>1</v>
      </c>
      <c r="K56" s="69"/>
      <c r="L56" s="134" t="s">
        <v>2</v>
      </c>
      <c r="M56" s="69"/>
      <c r="N56" s="134" t="s">
        <v>3</v>
      </c>
      <c r="O56" s="69"/>
      <c r="P56" s="134" t="s">
        <v>4</v>
      </c>
      <c r="Q56" s="135"/>
      <c r="R56" s="134" t="s">
        <v>5</v>
      </c>
      <c r="S56" s="69"/>
      <c r="T56" s="134" t="s">
        <v>6</v>
      </c>
      <c r="U56" s="69"/>
      <c r="V56" s="134" t="s">
        <v>46</v>
      </c>
      <c r="W56" s="69"/>
      <c r="X56" s="134" t="s">
        <v>7</v>
      </c>
      <c r="Y56" s="135"/>
    </row>
    <row r="57" spans="1:25" x14ac:dyDescent="0.25">
      <c r="A57" s="74"/>
      <c r="B57" s="75"/>
      <c r="C57" s="75"/>
      <c r="D57" s="75"/>
      <c r="E57" s="75"/>
      <c r="F57" s="75"/>
      <c r="G57" s="76"/>
      <c r="H57" s="10" t="s">
        <v>10</v>
      </c>
      <c r="I57" s="10" t="s">
        <v>11</v>
      </c>
      <c r="J57" s="10" t="s">
        <v>10</v>
      </c>
      <c r="K57" s="10" t="s">
        <v>11</v>
      </c>
      <c r="L57" s="10" t="s">
        <v>10</v>
      </c>
      <c r="M57" s="10" t="s">
        <v>11</v>
      </c>
      <c r="N57" s="10" t="s">
        <v>10</v>
      </c>
      <c r="O57" s="10" t="s">
        <v>11</v>
      </c>
      <c r="P57" s="10" t="s">
        <v>10</v>
      </c>
      <c r="Q57" s="10" t="s">
        <v>11</v>
      </c>
      <c r="R57" s="10" t="s">
        <v>10</v>
      </c>
      <c r="S57" s="10" t="s">
        <v>11</v>
      </c>
      <c r="T57" s="10" t="s">
        <v>10</v>
      </c>
      <c r="U57" s="10" t="s">
        <v>11</v>
      </c>
      <c r="V57" s="10" t="s">
        <v>10</v>
      </c>
      <c r="W57" s="10" t="s">
        <v>11</v>
      </c>
      <c r="X57" s="10" t="s">
        <v>10</v>
      </c>
      <c r="Y57" s="10" t="s">
        <v>11</v>
      </c>
    </row>
    <row r="58" spans="1:25" ht="18" customHeight="1" x14ac:dyDescent="0.25">
      <c r="A58" s="106" t="s">
        <v>41</v>
      </c>
      <c r="B58" s="107"/>
      <c r="C58" s="107"/>
      <c r="D58" s="107"/>
      <c r="E58" s="107"/>
      <c r="F58" s="107"/>
      <c r="G58" s="108"/>
      <c r="H58" s="10">
        <v>5</v>
      </c>
      <c r="I58" s="10">
        <v>0</v>
      </c>
      <c r="J58" s="10">
        <v>7</v>
      </c>
      <c r="K58" s="10">
        <v>27</v>
      </c>
      <c r="L58" s="10">
        <v>76</v>
      </c>
      <c r="M58" s="10">
        <v>86</v>
      </c>
      <c r="N58" s="10">
        <v>55</v>
      </c>
      <c r="O58" s="10">
        <v>61</v>
      </c>
      <c r="P58" s="10">
        <v>47</v>
      </c>
      <c r="Q58" s="10">
        <v>38</v>
      </c>
      <c r="R58" s="10">
        <v>55</v>
      </c>
      <c r="S58" s="10">
        <v>54</v>
      </c>
      <c r="T58" s="10">
        <v>73</v>
      </c>
      <c r="U58" s="10">
        <v>61</v>
      </c>
      <c r="V58" s="10">
        <v>100</v>
      </c>
      <c r="W58" s="10">
        <v>69</v>
      </c>
      <c r="X58" s="10">
        <v>418</v>
      </c>
      <c r="Y58" s="10">
        <v>396</v>
      </c>
    </row>
    <row r="59" spans="1:25" ht="18" customHeight="1" x14ac:dyDescent="0.25">
      <c r="A59" s="106" t="s">
        <v>42</v>
      </c>
      <c r="B59" s="107"/>
      <c r="C59" s="107"/>
      <c r="D59" s="107"/>
      <c r="E59" s="107"/>
      <c r="F59" s="107"/>
      <c r="G59" s="108"/>
      <c r="H59" s="10">
        <v>5</v>
      </c>
      <c r="I59" s="10">
        <v>6</v>
      </c>
      <c r="J59" s="10">
        <v>11</v>
      </c>
      <c r="K59" s="10">
        <v>17</v>
      </c>
      <c r="L59" s="10">
        <v>24</v>
      </c>
      <c r="M59" s="10">
        <v>32</v>
      </c>
      <c r="N59" s="10">
        <v>29</v>
      </c>
      <c r="O59" s="10">
        <v>25</v>
      </c>
      <c r="P59" s="10">
        <v>29</v>
      </c>
      <c r="Q59" s="10">
        <v>26</v>
      </c>
      <c r="R59" s="10">
        <v>33</v>
      </c>
      <c r="S59" s="10">
        <v>27</v>
      </c>
      <c r="T59" s="10">
        <v>33</v>
      </c>
      <c r="U59" s="10">
        <v>39</v>
      </c>
      <c r="V59" s="10">
        <v>58</v>
      </c>
      <c r="W59" s="10">
        <v>32</v>
      </c>
      <c r="X59" s="10">
        <v>222</v>
      </c>
      <c r="Y59" s="10">
        <v>204</v>
      </c>
    </row>
    <row r="60" spans="1:25" ht="18" customHeight="1" x14ac:dyDescent="0.25">
      <c r="A60" s="106" t="s">
        <v>43</v>
      </c>
      <c r="B60" s="107"/>
      <c r="C60" s="107"/>
      <c r="D60" s="107"/>
      <c r="E60" s="107"/>
      <c r="F60" s="107"/>
      <c r="G60" s="108"/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</row>
    <row r="61" spans="1:25" ht="18" customHeight="1" x14ac:dyDescent="0.25">
      <c r="A61" s="106" t="s">
        <v>44</v>
      </c>
      <c r="B61" s="107"/>
      <c r="C61" s="107"/>
      <c r="D61" s="107"/>
      <c r="E61" s="107"/>
      <c r="F61" s="107"/>
      <c r="G61" s="108"/>
      <c r="H61" s="10">
        <v>4</v>
      </c>
      <c r="I61" s="10">
        <v>5</v>
      </c>
      <c r="J61" s="10">
        <v>15</v>
      </c>
      <c r="K61" s="10">
        <v>16</v>
      </c>
      <c r="L61" s="10">
        <v>48</v>
      </c>
      <c r="M61" s="10">
        <v>37</v>
      </c>
      <c r="N61" s="10">
        <v>45</v>
      </c>
      <c r="O61" s="10">
        <v>40</v>
      </c>
      <c r="P61" s="10">
        <v>25</v>
      </c>
      <c r="Q61" s="10">
        <v>36</v>
      </c>
      <c r="R61" s="10">
        <v>28</v>
      </c>
      <c r="S61" s="10">
        <v>27</v>
      </c>
      <c r="T61" s="10">
        <v>34</v>
      </c>
      <c r="U61" s="10">
        <v>17</v>
      </c>
      <c r="V61" s="10">
        <v>36</v>
      </c>
      <c r="W61" s="10">
        <v>29</v>
      </c>
      <c r="X61" s="10">
        <v>235</v>
      </c>
      <c r="Y61" s="10">
        <v>207</v>
      </c>
    </row>
    <row r="62" spans="1:25" ht="18" customHeight="1" x14ac:dyDescent="0.25">
      <c r="A62" s="106" t="s">
        <v>7</v>
      </c>
      <c r="B62" s="107"/>
      <c r="C62" s="107"/>
      <c r="D62" s="107"/>
      <c r="E62" s="107"/>
      <c r="F62" s="107"/>
      <c r="G62" s="108"/>
      <c r="H62" s="51">
        <v>14</v>
      </c>
      <c r="I62" s="51">
        <v>11</v>
      </c>
      <c r="J62" s="51">
        <v>33</v>
      </c>
      <c r="K62" s="51">
        <v>60</v>
      </c>
      <c r="L62" s="51">
        <v>148</v>
      </c>
      <c r="M62" s="51">
        <v>155</v>
      </c>
      <c r="N62" s="51">
        <v>129</v>
      </c>
      <c r="O62" s="51">
        <v>126</v>
      </c>
      <c r="P62" s="51">
        <v>101</v>
      </c>
      <c r="Q62" s="51">
        <v>100</v>
      </c>
      <c r="R62" s="51">
        <v>116</v>
      </c>
      <c r="S62" s="51">
        <v>108</v>
      </c>
      <c r="T62" s="51">
        <v>140</v>
      </c>
      <c r="U62" s="51">
        <v>117</v>
      </c>
      <c r="V62" s="51">
        <v>194</v>
      </c>
      <c r="W62" s="51">
        <v>130</v>
      </c>
      <c r="X62" s="51">
        <v>875</v>
      </c>
      <c r="Y62" s="51">
        <v>807</v>
      </c>
    </row>
    <row r="63" spans="1:25" ht="6.75" customHeight="1" x14ac:dyDescent="0.25">
      <c r="A63" s="11"/>
      <c r="B63" s="12"/>
      <c r="C63" s="12"/>
      <c r="D63" s="12"/>
      <c r="E63" s="12"/>
      <c r="F63" s="13"/>
      <c r="G63" s="13"/>
      <c r="H63" s="13"/>
      <c r="I63" s="13"/>
      <c r="J63" s="13"/>
      <c r="K63" s="13"/>
      <c r="L63" s="14"/>
      <c r="M63" s="13"/>
      <c r="N63" s="15"/>
      <c r="O63" s="16"/>
      <c r="P63" s="13"/>
      <c r="Q63" s="13"/>
      <c r="R63" s="13"/>
      <c r="S63" s="13"/>
      <c r="T63" s="13"/>
      <c r="U63" s="13"/>
      <c r="V63" s="13"/>
      <c r="W63" s="13"/>
      <c r="X63" s="13"/>
      <c r="Y63" s="17"/>
    </row>
    <row r="64" spans="1:25" ht="18" customHeight="1" x14ac:dyDescent="0.3">
      <c r="A64" s="18" t="s">
        <v>47</v>
      </c>
      <c r="B64" s="19"/>
      <c r="C64" s="19"/>
      <c r="D64" s="19"/>
      <c r="E64" s="19"/>
      <c r="F64" s="19"/>
      <c r="G64" s="19"/>
      <c r="H64" s="19"/>
      <c r="I64" s="19"/>
      <c r="J64" s="19"/>
      <c r="K64" s="20"/>
      <c r="L64" s="21"/>
      <c r="M64" s="18" t="s">
        <v>48</v>
      </c>
      <c r="N64" s="19"/>
      <c r="O64" s="19"/>
      <c r="P64" s="19"/>
      <c r="Q64" s="22"/>
      <c r="R64" s="22"/>
      <c r="S64" s="22"/>
      <c r="T64" s="22"/>
      <c r="U64" s="22"/>
      <c r="V64" s="22"/>
      <c r="W64" s="22"/>
      <c r="X64" s="22"/>
      <c r="Y64" s="23"/>
    </row>
    <row r="65" spans="1:25" ht="57.75" customHeight="1" x14ac:dyDescent="0.25">
      <c r="A65" s="101" t="s">
        <v>49</v>
      </c>
      <c r="B65" s="101" t="s">
        <v>50</v>
      </c>
      <c r="C65" s="101" t="s">
        <v>51</v>
      </c>
      <c r="D65" s="77" t="s">
        <v>52</v>
      </c>
      <c r="E65" s="78"/>
      <c r="F65" s="77" t="s">
        <v>53</v>
      </c>
      <c r="G65" s="79"/>
      <c r="H65" s="79"/>
      <c r="I65" s="78"/>
      <c r="J65" s="101" t="s">
        <v>54</v>
      </c>
      <c r="K65" s="101" t="s">
        <v>55</v>
      </c>
      <c r="L65" s="24"/>
      <c r="M65" s="86" t="s">
        <v>56</v>
      </c>
      <c r="N65" s="88"/>
      <c r="O65" s="86" t="s">
        <v>57</v>
      </c>
      <c r="P65" s="88"/>
      <c r="Q65" s="86" t="s">
        <v>58</v>
      </c>
      <c r="R65" s="87"/>
      <c r="S65" s="87"/>
      <c r="T65" s="87"/>
      <c r="U65" s="87"/>
      <c r="V65" s="87"/>
      <c r="W65" s="87"/>
      <c r="X65" s="87"/>
      <c r="Y65" s="88"/>
    </row>
    <row r="66" spans="1:25" ht="38.25" customHeight="1" x14ac:dyDescent="0.25">
      <c r="A66" s="102"/>
      <c r="B66" s="102"/>
      <c r="C66" s="102"/>
      <c r="D66" s="25" t="s">
        <v>59</v>
      </c>
      <c r="E66" s="25" t="s">
        <v>60</v>
      </c>
      <c r="F66" s="26" t="s">
        <v>59</v>
      </c>
      <c r="G66" s="26" t="s">
        <v>60</v>
      </c>
      <c r="H66" s="26" t="s">
        <v>61</v>
      </c>
      <c r="I66" s="26" t="s">
        <v>62</v>
      </c>
      <c r="J66" s="102"/>
      <c r="K66" s="102"/>
      <c r="L66" s="24"/>
      <c r="M66" s="91">
        <v>0</v>
      </c>
      <c r="N66" s="92"/>
      <c r="O66" s="91">
        <v>0</v>
      </c>
      <c r="P66" s="92"/>
      <c r="Q66" s="86">
        <v>0</v>
      </c>
      <c r="R66" s="87"/>
      <c r="S66" s="87"/>
      <c r="T66" s="87"/>
      <c r="U66" s="87"/>
      <c r="V66" s="87"/>
      <c r="W66" s="87"/>
      <c r="X66" s="87"/>
      <c r="Y66" s="88"/>
    </row>
    <row r="67" spans="1:25" ht="38.25" customHeight="1" x14ac:dyDescent="0.25">
      <c r="A67" s="103">
        <v>296432</v>
      </c>
      <c r="B67" s="103">
        <v>9485</v>
      </c>
      <c r="C67" s="103">
        <v>1648</v>
      </c>
      <c r="D67" s="103">
        <v>4172</v>
      </c>
      <c r="E67" s="103">
        <v>5583</v>
      </c>
      <c r="F67" s="103">
        <v>0</v>
      </c>
      <c r="G67" s="103">
        <v>0</v>
      </c>
      <c r="H67" s="103">
        <v>905</v>
      </c>
      <c r="I67" s="103">
        <v>905</v>
      </c>
      <c r="J67" s="103">
        <v>813</v>
      </c>
      <c r="K67" s="103">
        <v>1381</v>
      </c>
      <c r="L67" s="24"/>
      <c r="M67" s="91" t="s">
        <v>63</v>
      </c>
      <c r="N67" s="92"/>
      <c r="O67" s="91" t="s">
        <v>64</v>
      </c>
      <c r="P67" s="92"/>
      <c r="Q67" s="95" t="s">
        <v>65</v>
      </c>
      <c r="R67" s="99"/>
      <c r="S67" s="96"/>
      <c r="T67" s="95" t="s">
        <v>66</v>
      </c>
      <c r="U67" s="99"/>
      <c r="V67" s="99"/>
      <c r="W67" s="99"/>
      <c r="X67" s="99"/>
      <c r="Y67" s="96"/>
    </row>
    <row r="68" spans="1:25" ht="19.5" customHeight="1" x14ac:dyDescent="0.25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27"/>
      <c r="M68" s="91">
        <v>0</v>
      </c>
      <c r="N68" s="92"/>
      <c r="O68" s="91">
        <v>0</v>
      </c>
      <c r="P68" s="92"/>
      <c r="Q68" s="91">
        <v>0</v>
      </c>
      <c r="R68" s="97"/>
      <c r="S68" s="92"/>
      <c r="T68" s="28"/>
      <c r="U68" s="86" t="s">
        <v>0</v>
      </c>
      <c r="V68" s="88"/>
      <c r="W68" s="29" t="s">
        <v>1</v>
      </c>
      <c r="X68" s="86" t="s">
        <v>67</v>
      </c>
      <c r="Y68" s="88"/>
    </row>
    <row r="69" spans="1:25" ht="18" customHeight="1" x14ac:dyDescent="0.25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27"/>
      <c r="M69" s="93"/>
      <c r="N69" s="94"/>
      <c r="O69" s="93"/>
      <c r="P69" s="94"/>
      <c r="Q69" s="93"/>
      <c r="R69" s="98"/>
      <c r="S69" s="94"/>
      <c r="T69" s="30" t="s">
        <v>68</v>
      </c>
      <c r="U69" s="100">
        <v>0</v>
      </c>
      <c r="V69" s="100"/>
      <c r="W69" s="29">
        <v>0</v>
      </c>
      <c r="X69" s="100">
        <v>0</v>
      </c>
      <c r="Y69" s="100"/>
    </row>
    <row r="70" spans="1:25" ht="18" customHeight="1" x14ac:dyDescent="0.25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27"/>
      <c r="M70" s="93"/>
      <c r="N70" s="94"/>
      <c r="O70" s="93"/>
      <c r="P70" s="94"/>
      <c r="Q70" s="93"/>
      <c r="R70" s="98"/>
      <c r="S70" s="94"/>
      <c r="T70" s="30" t="s">
        <v>69</v>
      </c>
      <c r="U70" s="100">
        <v>0</v>
      </c>
      <c r="V70" s="100"/>
      <c r="W70" s="29">
        <v>0</v>
      </c>
      <c r="X70" s="100">
        <v>0</v>
      </c>
      <c r="Y70" s="100"/>
    </row>
    <row r="71" spans="1:25" ht="18" customHeight="1" x14ac:dyDescent="0.25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27"/>
      <c r="M71" s="95"/>
      <c r="N71" s="96"/>
      <c r="O71" s="95"/>
      <c r="P71" s="96"/>
      <c r="Q71" s="95"/>
      <c r="R71" s="99"/>
      <c r="S71" s="96"/>
      <c r="T71" s="30" t="s">
        <v>70</v>
      </c>
      <c r="U71" s="100">
        <v>0</v>
      </c>
      <c r="V71" s="100"/>
      <c r="W71" s="29">
        <v>0</v>
      </c>
      <c r="X71" s="100">
        <v>0</v>
      </c>
      <c r="Y71" s="100"/>
    </row>
    <row r="72" spans="1:25" ht="8.25" customHeight="1" x14ac:dyDescent="0.25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3"/>
      <c r="M72" s="32"/>
      <c r="N72" s="32"/>
      <c r="O72" s="32"/>
      <c r="P72" s="32"/>
      <c r="Q72" s="32"/>
      <c r="R72" s="34"/>
      <c r="S72" s="34"/>
      <c r="T72" s="34"/>
      <c r="U72" s="34"/>
      <c r="V72" s="34"/>
      <c r="W72" s="32"/>
      <c r="X72" s="32"/>
      <c r="Y72" s="7"/>
    </row>
    <row r="73" spans="1:25" ht="18" customHeight="1" x14ac:dyDescent="0.3">
      <c r="A73" s="18" t="s">
        <v>71</v>
      </c>
      <c r="B73" s="19"/>
      <c r="C73" s="19"/>
      <c r="D73" s="19"/>
      <c r="E73" s="19"/>
      <c r="F73" s="19"/>
      <c r="G73" s="19"/>
      <c r="H73" s="19"/>
      <c r="I73" s="19"/>
      <c r="J73" s="19"/>
      <c r="K73" s="20"/>
      <c r="L73" s="35"/>
      <c r="M73" s="18" t="s">
        <v>72</v>
      </c>
      <c r="N73" s="20"/>
      <c r="O73" s="36"/>
      <c r="P73" s="19"/>
      <c r="Q73" s="19"/>
      <c r="R73" s="19"/>
      <c r="S73" s="19"/>
      <c r="T73" s="19"/>
      <c r="U73" s="19"/>
      <c r="V73" s="19"/>
      <c r="W73" s="22"/>
      <c r="X73" s="22"/>
      <c r="Y73" s="37"/>
    </row>
    <row r="74" spans="1:25" ht="57" customHeight="1" x14ac:dyDescent="0.25">
      <c r="A74" s="71"/>
      <c r="B74" s="72"/>
      <c r="C74" s="72"/>
      <c r="D74" s="72"/>
      <c r="E74" s="73"/>
      <c r="F74" s="68" t="s">
        <v>12</v>
      </c>
      <c r="G74" s="70"/>
      <c r="H74" s="68" t="s">
        <v>13</v>
      </c>
      <c r="I74" s="70"/>
      <c r="J74" s="38" t="s">
        <v>73</v>
      </c>
      <c r="K74" s="39"/>
      <c r="L74" s="40"/>
      <c r="M74" s="77" t="s">
        <v>74</v>
      </c>
      <c r="N74" s="78"/>
      <c r="O74" s="77" t="s">
        <v>75</v>
      </c>
      <c r="P74" s="78"/>
      <c r="Q74" s="77" t="s">
        <v>76</v>
      </c>
      <c r="R74" s="78"/>
      <c r="S74" s="77" t="s">
        <v>77</v>
      </c>
      <c r="T74" s="79"/>
      <c r="U74" s="79"/>
      <c r="V74" s="78"/>
      <c r="W74" s="77" t="s">
        <v>78</v>
      </c>
      <c r="X74" s="79"/>
      <c r="Y74" s="78"/>
    </row>
    <row r="75" spans="1:25" ht="13.5" customHeight="1" x14ac:dyDescent="0.25">
      <c r="A75" s="74"/>
      <c r="B75" s="75"/>
      <c r="C75" s="75"/>
      <c r="D75" s="75"/>
      <c r="E75" s="76"/>
      <c r="F75" s="10" t="s">
        <v>79</v>
      </c>
      <c r="G75" s="10" t="s">
        <v>14</v>
      </c>
      <c r="H75" s="10" t="s">
        <v>79</v>
      </c>
      <c r="I75" s="10" t="s">
        <v>14</v>
      </c>
      <c r="J75" s="10" t="s">
        <v>79</v>
      </c>
      <c r="K75" s="10" t="s">
        <v>14</v>
      </c>
      <c r="L75" s="41"/>
      <c r="M75" s="42" t="s">
        <v>80</v>
      </c>
      <c r="N75" s="42" t="s">
        <v>81</v>
      </c>
      <c r="O75" s="42" t="s">
        <v>80</v>
      </c>
      <c r="P75" s="43" t="s">
        <v>81</v>
      </c>
      <c r="Q75" s="42" t="s">
        <v>80</v>
      </c>
      <c r="R75" s="42" t="s">
        <v>81</v>
      </c>
      <c r="S75" s="44"/>
      <c r="T75" s="42" t="s">
        <v>0</v>
      </c>
      <c r="U75" s="45" t="s">
        <v>1</v>
      </c>
      <c r="V75" s="46" t="s">
        <v>82</v>
      </c>
      <c r="W75" s="42" t="s">
        <v>0</v>
      </c>
      <c r="X75" s="45" t="s">
        <v>1</v>
      </c>
      <c r="Y75" s="46" t="s">
        <v>82</v>
      </c>
    </row>
    <row r="76" spans="1:25" ht="18" customHeight="1" x14ac:dyDescent="0.3">
      <c r="A76" s="80" t="s">
        <v>83</v>
      </c>
      <c r="B76" s="81"/>
      <c r="C76" s="81"/>
      <c r="D76" s="81"/>
      <c r="E76" s="82"/>
      <c r="F76" s="10">
        <v>793</v>
      </c>
      <c r="G76" s="10">
        <v>0</v>
      </c>
      <c r="H76" s="10">
        <v>0</v>
      </c>
      <c r="I76" s="10">
        <v>1</v>
      </c>
      <c r="J76" s="10">
        <v>0</v>
      </c>
      <c r="K76" s="10">
        <v>0</v>
      </c>
      <c r="L76" s="41"/>
      <c r="M76" s="201">
        <v>1101</v>
      </c>
      <c r="N76" s="201">
        <v>4501</v>
      </c>
      <c r="O76" s="201">
        <v>930</v>
      </c>
      <c r="P76" s="201">
        <v>4096</v>
      </c>
      <c r="Q76" s="201">
        <v>12</v>
      </c>
      <c r="R76" s="201">
        <v>202</v>
      </c>
      <c r="S76" s="47" t="s">
        <v>68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</row>
    <row r="77" spans="1:25" ht="18" customHeight="1" x14ac:dyDescent="0.3">
      <c r="A77" s="80" t="s">
        <v>8</v>
      </c>
      <c r="B77" s="81"/>
      <c r="C77" s="81"/>
      <c r="D77" s="81"/>
      <c r="E77" s="82"/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41"/>
      <c r="M77" s="202"/>
      <c r="N77" s="202"/>
      <c r="O77" s="202"/>
      <c r="P77" s="202"/>
      <c r="Q77" s="202"/>
      <c r="R77" s="202"/>
      <c r="S77" s="47" t="s">
        <v>69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</row>
    <row r="78" spans="1:25" ht="18" customHeight="1" x14ac:dyDescent="0.25">
      <c r="A78" s="86" t="s">
        <v>84</v>
      </c>
      <c r="B78" s="87"/>
      <c r="C78" s="87"/>
      <c r="D78" s="87"/>
      <c r="E78" s="88"/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41"/>
      <c r="M78" s="202"/>
      <c r="N78" s="202"/>
      <c r="O78" s="202"/>
      <c r="P78" s="202"/>
      <c r="Q78" s="202"/>
      <c r="R78" s="202"/>
      <c r="S78" s="89" t="s">
        <v>70</v>
      </c>
      <c r="T78" s="83">
        <v>0</v>
      </c>
      <c r="U78" s="83">
        <v>0</v>
      </c>
      <c r="V78" s="83">
        <v>66</v>
      </c>
      <c r="W78" s="83">
        <v>0</v>
      </c>
      <c r="X78" s="83">
        <v>0</v>
      </c>
      <c r="Y78" s="83">
        <v>0</v>
      </c>
    </row>
    <row r="79" spans="1:25" ht="18" customHeight="1" x14ac:dyDescent="0.25">
      <c r="A79" s="68" t="s">
        <v>7</v>
      </c>
      <c r="B79" s="69"/>
      <c r="C79" s="69"/>
      <c r="D79" s="69"/>
      <c r="E79" s="70"/>
      <c r="F79" s="10">
        <v>793</v>
      </c>
      <c r="G79" s="10">
        <v>0</v>
      </c>
      <c r="H79" s="10">
        <v>0</v>
      </c>
      <c r="I79" s="10">
        <v>1</v>
      </c>
      <c r="J79" s="10">
        <v>0</v>
      </c>
      <c r="K79" s="10">
        <v>0</v>
      </c>
      <c r="L79" s="41"/>
      <c r="M79" s="203"/>
      <c r="N79" s="203"/>
      <c r="O79" s="203"/>
      <c r="P79" s="203"/>
      <c r="Q79" s="203"/>
      <c r="R79" s="203"/>
      <c r="S79" s="90"/>
      <c r="T79" s="85"/>
      <c r="U79" s="85"/>
      <c r="V79" s="85"/>
      <c r="W79" s="85"/>
      <c r="X79" s="85"/>
      <c r="Y79" s="85"/>
    </row>
    <row r="80" spans="1:25" ht="23.4" x14ac:dyDescent="0.45">
      <c r="A80" s="120" t="s">
        <v>17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</row>
    <row r="81" spans="1:25" ht="23.4" x14ac:dyDescent="0.25">
      <c r="A81" s="111" t="s">
        <v>18</v>
      </c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"/>
      <c r="U81" s="112" t="s">
        <v>19</v>
      </c>
      <c r="V81" s="112"/>
      <c r="W81" s="1"/>
      <c r="X81" s="1"/>
      <c r="Y81" s="1"/>
    </row>
    <row r="82" spans="1:25" ht="30.9" customHeight="1" x14ac:dyDescent="0.25">
      <c r="A82" s="113" t="s">
        <v>20</v>
      </c>
      <c r="B82" s="113"/>
      <c r="C82" s="113"/>
      <c r="D82" s="113"/>
      <c r="E82" s="204" t="s">
        <v>90</v>
      </c>
      <c r="F82" s="204"/>
      <c r="G82" s="204"/>
      <c r="H82" s="116" t="s">
        <v>22</v>
      </c>
      <c r="I82" s="116"/>
      <c r="J82" s="115">
        <v>0</v>
      </c>
      <c r="K82" s="115"/>
      <c r="L82" s="116" t="s">
        <v>23</v>
      </c>
      <c r="M82" s="116"/>
      <c r="N82" s="204" t="s">
        <v>15</v>
      </c>
      <c r="O82" s="204"/>
      <c r="P82" s="204"/>
      <c r="Q82" s="118" t="s">
        <v>24</v>
      </c>
      <c r="R82" s="118"/>
      <c r="S82" s="118"/>
      <c r="T82" s="118"/>
      <c r="U82" s="119" t="s">
        <v>86</v>
      </c>
      <c r="V82" s="119"/>
      <c r="W82" s="119"/>
      <c r="X82" s="147" t="s">
        <v>93</v>
      </c>
      <c r="Y82" s="147"/>
    </row>
    <row r="83" spans="1:25" ht="15" customHeight="1" x14ac:dyDescent="0.25">
      <c r="Q83" s="118"/>
      <c r="R83" s="118"/>
      <c r="S83" s="118"/>
      <c r="T83" s="118"/>
      <c r="U83" s="119"/>
      <c r="V83" s="119"/>
      <c r="W83" s="119"/>
      <c r="X83" s="147"/>
      <c r="Y83" s="147"/>
    </row>
    <row r="84" spans="1:25" ht="15.6" x14ac:dyDescent="0.3">
      <c r="A84" s="166" t="s">
        <v>26</v>
      </c>
      <c r="B84" s="166"/>
      <c r="C84" s="166"/>
      <c r="D84" s="166"/>
      <c r="E84" s="166"/>
      <c r="F84" s="166"/>
      <c r="G84" s="167" t="s">
        <v>27</v>
      </c>
      <c r="H84" s="167"/>
      <c r="I84" s="167"/>
      <c r="J84" s="167"/>
      <c r="K84" s="167"/>
      <c r="L84" s="167"/>
      <c r="M84" s="167"/>
      <c r="N84" s="2"/>
      <c r="Q84" s="168" t="s">
        <v>28</v>
      </c>
      <c r="R84" s="168"/>
      <c r="S84" s="168"/>
      <c r="T84" s="168"/>
      <c r="U84" s="168"/>
      <c r="V84" s="148" t="s">
        <v>29</v>
      </c>
      <c r="W84" s="148"/>
      <c r="X84" s="148"/>
      <c r="Y84" s="148"/>
    </row>
    <row r="85" spans="1:2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" customHeight="1" x14ac:dyDescent="0.25">
      <c r="A86" s="149" t="s">
        <v>31</v>
      </c>
      <c r="B86" s="150"/>
      <c r="C86" s="150"/>
      <c r="D86" s="150"/>
      <c r="E86" s="150"/>
      <c r="F86" s="150"/>
      <c r="G86" s="150"/>
      <c r="H86" s="150"/>
      <c r="I86" s="151"/>
      <c r="J86" s="152" t="s">
        <v>32</v>
      </c>
      <c r="K86" s="153"/>
      <c r="L86" s="152" t="s">
        <v>33</v>
      </c>
      <c r="M86" s="153"/>
      <c r="N86" s="91" t="s">
        <v>34</v>
      </c>
      <c r="O86" s="92"/>
      <c r="P86" s="152" t="s">
        <v>35</v>
      </c>
      <c r="Q86" s="153"/>
      <c r="R86" s="68" t="s">
        <v>36</v>
      </c>
      <c r="S86" s="69"/>
      <c r="T86" s="69"/>
      <c r="U86" s="69"/>
      <c r="V86" s="69"/>
      <c r="W86" s="70"/>
      <c r="X86" s="152" t="s">
        <v>7</v>
      </c>
      <c r="Y86" s="153"/>
    </row>
    <row r="87" spans="1:25" ht="23.25" customHeight="1" x14ac:dyDescent="0.25">
      <c r="A87" s="158" t="s">
        <v>37</v>
      </c>
      <c r="B87" s="159"/>
      <c r="C87" s="159"/>
      <c r="D87" s="159"/>
      <c r="E87" s="159"/>
      <c r="F87" s="159"/>
      <c r="G87" s="159"/>
      <c r="H87" s="159"/>
      <c r="I87" s="160"/>
      <c r="J87" s="154"/>
      <c r="K87" s="155"/>
      <c r="L87" s="154"/>
      <c r="M87" s="155"/>
      <c r="N87" s="93"/>
      <c r="O87" s="94"/>
      <c r="P87" s="154"/>
      <c r="Q87" s="155"/>
      <c r="R87" s="164" t="s">
        <v>38</v>
      </c>
      <c r="S87" s="164"/>
      <c r="T87" s="164" t="s">
        <v>39</v>
      </c>
      <c r="U87" s="164"/>
      <c r="V87" s="164" t="s">
        <v>40</v>
      </c>
      <c r="W87" s="164"/>
      <c r="X87" s="154"/>
      <c r="Y87" s="155"/>
    </row>
    <row r="88" spans="1:25" x14ac:dyDescent="0.25">
      <c r="A88" s="161"/>
      <c r="B88" s="162"/>
      <c r="C88" s="162"/>
      <c r="D88" s="162"/>
      <c r="E88" s="162"/>
      <c r="F88" s="162"/>
      <c r="G88" s="162"/>
      <c r="H88" s="162"/>
      <c r="I88" s="163"/>
      <c r="J88" s="156"/>
      <c r="K88" s="157"/>
      <c r="L88" s="156"/>
      <c r="M88" s="157"/>
      <c r="N88" s="95"/>
      <c r="O88" s="96"/>
      <c r="P88" s="156"/>
      <c r="Q88" s="157"/>
      <c r="R88" s="165"/>
      <c r="S88" s="165"/>
      <c r="T88" s="165"/>
      <c r="U88" s="165"/>
      <c r="V88" s="165"/>
      <c r="W88" s="165"/>
      <c r="X88" s="156"/>
      <c r="Y88" s="157"/>
    </row>
    <row r="89" spans="1:25" ht="18" customHeight="1" x14ac:dyDescent="0.3">
      <c r="A89" s="106" t="s">
        <v>41</v>
      </c>
      <c r="B89" s="107"/>
      <c r="C89" s="107"/>
      <c r="D89" s="107"/>
      <c r="E89" s="107"/>
      <c r="F89" s="107"/>
      <c r="G89" s="107"/>
      <c r="H89" s="107"/>
      <c r="I89" s="108"/>
      <c r="J89" s="170">
        <v>788</v>
      </c>
      <c r="K89" s="171"/>
      <c r="L89" s="170">
        <v>60</v>
      </c>
      <c r="M89" s="171"/>
      <c r="N89" s="170">
        <v>0</v>
      </c>
      <c r="O89" s="171"/>
      <c r="P89" s="170">
        <v>848</v>
      </c>
      <c r="Q89" s="171"/>
      <c r="R89" s="170">
        <v>1</v>
      </c>
      <c r="S89" s="171"/>
      <c r="T89" s="170">
        <v>0</v>
      </c>
      <c r="U89" s="171"/>
      <c r="V89" s="170">
        <v>0</v>
      </c>
      <c r="W89" s="171"/>
      <c r="X89" s="172">
        <v>849</v>
      </c>
      <c r="Y89" s="173"/>
    </row>
    <row r="90" spans="1:25" ht="18" customHeight="1" x14ac:dyDescent="0.3">
      <c r="A90" s="106" t="s">
        <v>42</v>
      </c>
      <c r="B90" s="107"/>
      <c r="C90" s="107"/>
      <c r="D90" s="107"/>
      <c r="E90" s="107"/>
      <c r="F90" s="107"/>
      <c r="G90" s="107"/>
      <c r="H90" s="107"/>
      <c r="I90" s="108"/>
      <c r="J90" s="170">
        <v>481</v>
      </c>
      <c r="K90" s="171"/>
      <c r="L90" s="170">
        <v>15</v>
      </c>
      <c r="M90" s="171"/>
      <c r="N90" s="170">
        <v>1</v>
      </c>
      <c r="O90" s="171"/>
      <c r="P90" s="170">
        <v>497</v>
      </c>
      <c r="Q90" s="171"/>
      <c r="R90" s="170">
        <v>0</v>
      </c>
      <c r="S90" s="171"/>
      <c r="T90" s="170">
        <v>0</v>
      </c>
      <c r="U90" s="171"/>
      <c r="V90" s="170">
        <v>3</v>
      </c>
      <c r="W90" s="171"/>
      <c r="X90" s="172">
        <v>500</v>
      </c>
      <c r="Y90" s="173"/>
    </row>
    <row r="91" spans="1:25" ht="18" customHeight="1" x14ac:dyDescent="0.3">
      <c r="A91" s="106" t="s">
        <v>43</v>
      </c>
      <c r="B91" s="107"/>
      <c r="C91" s="107"/>
      <c r="D91" s="107"/>
      <c r="E91" s="107"/>
      <c r="F91" s="107"/>
      <c r="G91" s="107"/>
      <c r="H91" s="107"/>
      <c r="I91" s="108"/>
      <c r="J91" s="170">
        <v>0</v>
      </c>
      <c r="K91" s="171"/>
      <c r="L91" s="170">
        <v>0</v>
      </c>
      <c r="M91" s="171"/>
      <c r="N91" s="170">
        <v>0</v>
      </c>
      <c r="O91" s="171"/>
      <c r="P91" s="170">
        <v>0</v>
      </c>
      <c r="Q91" s="171"/>
      <c r="R91" s="170">
        <v>0</v>
      </c>
      <c r="S91" s="171"/>
      <c r="T91" s="170">
        <v>0</v>
      </c>
      <c r="U91" s="171"/>
      <c r="V91" s="170">
        <v>0</v>
      </c>
      <c r="W91" s="171"/>
      <c r="X91" s="172">
        <v>0</v>
      </c>
      <c r="Y91" s="173"/>
    </row>
    <row r="92" spans="1:25" ht="18" customHeight="1" x14ac:dyDescent="0.3">
      <c r="A92" s="106" t="s">
        <v>44</v>
      </c>
      <c r="B92" s="107"/>
      <c r="C92" s="107"/>
      <c r="D92" s="107"/>
      <c r="E92" s="107"/>
      <c r="F92" s="107"/>
      <c r="G92" s="107"/>
      <c r="H92" s="107"/>
      <c r="I92" s="108"/>
      <c r="J92" s="170">
        <v>454</v>
      </c>
      <c r="K92" s="171"/>
      <c r="L92" s="170">
        <v>4</v>
      </c>
      <c r="M92" s="171"/>
      <c r="N92" s="170">
        <v>1</v>
      </c>
      <c r="O92" s="171"/>
      <c r="P92" s="170">
        <v>459</v>
      </c>
      <c r="Q92" s="171"/>
      <c r="R92" s="170">
        <v>0</v>
      </c>
      <c r="S92" s="171"/>
      <c r="T92" s="170">
        <v>0</v>
      </c>
      <c r="U92" s="171"/>
      <c r="V92" s="170">
        <v>2</v>
      </c>
      <c r="W92" s="171"/>
      <c r="X92" s="172">
        <v>461</v>
      </c>
      <c r="Y92" s="173"/>
    </row>
    <row r="93" spans="1:25" ht="18" customHeight="1" x14ac:dyDescent="0.3">
      <c r="A93" s="106" t="s">
        <v>7</v>
      </c>
      <c r="B93" s="107"/>
      <c r="C93" s="107"/>
      <c r="D93" s="107"/>
      <c r="E93" s="107"/>
      <c r="F93" s="107"/>
      <c r="G93" s="107"/>
      <c r="H93" s="107"/>
      <c r="I93" s="108"/>
      <c r="J93" s="170">
        <v>1723</v>
      </c>
      <c r="K93" s="171"/>
      <c r="L93" s="170">
        <v>79</v>
      </c>
      <c r="M93" s="171"/>
      <c r="N93" s="170">
        <v>2</v>
      </c>
      <c r="O93" s="171"/>
      <c r="P93" s="170">
        <v>1804</v>
      </c>
      <c r="Q93" s="171"/>
      <c r="R93" s="170">
        <v>1</v>
      </c>
      <c r="S93" s="171"/>
      <c r="T93" s="170">
        <v>0</v>
      </c>
      <c r="U93" s="171"/>
      <c r="V93" s="170">
        <v>5</v>
      </c>
      <c r="W93" s="171"/>
      <c r="X93" s="172">
        <v>1810</v>
      </c>
      <c r="Y93" s="173"/>
    </row>
    <row r="94" spans="1:25" ht="15.6" x14ac:dyDescent="0.3">
      <c r="A94" s="4" t="s">
        <v>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"/>
      <c r="S94" s="6"/>
      <c r="T94" s="6"/>
      <c r="U94" s="6"/>
      <c r="V94" s="6"/>
      <c r="W94" s="6"/>
      <c r="X94" s="6"/>
      <c r="Y94" s="7"/>
    </row>
    <row r="95" spans="1:25" x14ac:dyDescent="0.25">
      <c r="A95" s="71"/>
      <c r="B95" s="72"/>
      <c r="C95" s="72"/>
      <c r="D95" s="72"/>
      <c r="E95" s="72"/>
      <c r="F95" s="72"/>
      <c r="G95" s="73"/>
      <c r="H95" s="68" t="s">
        <v>0</v>
      </c>
      <c r="I95" s="69"/>
      <c r="J95" s="136" t="s">
        <v>1</v>
      </c>
      <c r="K95" s="69"/>
      <c r="L95" s="134" t="s">
        <v>2</v>
      </c>
      <c r="M95" s="69"/>
      <c r="N95" s="134" t="s">
        <v>3</v>
      </c>
      <c r="O95" s="69"/>
      <c r="P95" s="134" t="s">
        <v>4</v>
      </c>
      <c r="Q95" s="135"/>
      <c r="R95" s="134" t="s">
        <v>5</v>
      </c>
      <c r="S95" s="69"/>
      <c r="T95" s="134" t="s">
        <v>6</v>
      </c>
      <c r="U95" s="69"/>
      <c r="V95" s="134" t="s">
        <v>46</v>
      </c>
      <c r="W95" s="69"/>
      <c r="X95" s="134" t="s">
        <v>7</v>
      </c>
      <c r="Y95" s="135"/>
    </row>
    <row r="96" spans="1:25" x14ac:dyDescent="0.25">
      <c r="A96" s="74"/>
      <c r="B96" s="75"/>
      <c r="C96" s="75"/>
      <c r="D96" s="75"/>
      <c r="E96" s="75"/>
      <c r="F96" s="75"/>
      <c r="G96" s="76"/>
      <c r="H96" s="10" t="s">
        <v>10</v>
      </c>
      <c r="I96" s="10" t="s">
        <v>11</v>
      </c>
      <c r="J96" s="10" t="s">
        <v>10</v>
      </c>
      <c r="K96" s="10" t="s">
        <v>11</v>
      </c>
      <c r="L96" s="10" t="s">
        <v>10</v>
      </c>
      <c r="M96" s="10" t="s">
        <v>11</v>
      </c>
      <c r="N96" s="10" t="s">
        <v>10</v>
      </c>
      <c r="O96" s="10" t="s">
        <v>11</v>
      </c>
      <c r="P96" s="10" t="s">
        <v>10</v>
      </c>
      <c r="Q96" s="10" t="s">
        <v>11</v>
      </c>
      <c r="R96" s="10" t="s">
        <v>10</v>
      </c>
      <c r="S96" s="10" t="s">
        <v>11</v>
      </c>
      <c r="T96" s="10" t="s">
        <v>10</v>
      </c>
      <c r="U96" s="10" t="s">
        <v>11</v>
      </c>
      <c r="V96" s="10" t="s">
        <v>10</v>
      </c>
      <c r="W96" s="10" t="s">
        <v>11</v>
      </c>
      <c r="X96" s="10" t="s">
        <v>10</v>
      </c>
      <c r="Y96" s="10" t="s">
        <v>11</v>
      </c>
    </row>
    <row r="97" spans="1:25" ht="18" customHeight="1" x14ac:dyDescent="0.25">
      <c r="A97" s="106" t="s">
        <v>41</v>
      </c>
      <c r="B97" s="107"/>
      <c r="C97" s="107"/>
      <c r="D97" s="107"/>
      <c r="E97" s="107"/>
      <c r="F97" s="107"/>
      <c r="G97" s="108"/>
      <c r="H97" s="10">
        <v>1</v>
      </c>
      <c r="I97" s="10">
        <v>2</v>
      </c>
      <c r="J97" s="10">
        <v>7</v>
      </c>
      <c r="K97" s="10">
        <v>21</v>
      </c>
      <c r="L97" s="10">
        <v>45</v>
      </c>
      <c r="M97" s="10">
        <v>95</v>
      </c>
      <c r="N97" s="10">
        <v>59</v>
      </c>
      <c r="O97" s="10">
        <v>66</v>
      </c>
      <c r="P97" s="10">
        <v>60</v>
      </c>
      <c r="Q97" s="10">
        <v>45</v>
      </c>
      <c r="R97" s="10">
        <v>50</v>
      </c>
      <c r="S97" s="10">
        <v>47</v>
      </c>
      <c r="T97" s="10">
        <v>56</v>
      </c>
      <c r="U97" s="10">
        <v>61</v>
      </c>
      <c r="V97" s="10">
        <v>124</v>
      </c>
      <c r="W97" s="10">
        <v>109</v>
      </c>
      <c r="X97" s="10">
        <v>402</v>
      </c>
      <c r="Y97" s="10">
        <v>446</v>
      </c>
    </row>
    <row r="98" spans="1:25" ht="18" customHeight="1" x14ac:dyDescent="0.25">
      <c r="A98" s="106" t="s">
        <v>42</v>
      </c>
      <c r="B98" s="107"/>
      <c r="C98" s="107"/>
      <c r="D98" s="107"/>
      <c r="E98" s="107"/>
      <c r="F98" s="107"/>
      <c r="G98" s="108"/>
      <c r="H98" s="10">
        <v>5</v>
      </c>
      <c r="I98" s="10">
        <v>4</v>
      </c>
      <c r="J98" s="10">
        <v>12</v>
      </c>
      <c r="K98" s="10">
        <v>19</v>
      </c>
      <c r="L98" s="10">
        <v>26</v>
      </c>
      <c r="M98" s="10">
        <v>41</v>
      </c>
      <c r="N98" s="10">
        <v>39</v>
      </c>
      <c r="O98" s="10">
        <v>27</v>
      </c>
      <c r="P98" s="10">
        <v>32</v>
      </c>
      <c r="Q98" s="10">
        <v>26</v>
      </c>
      <c r="R98" s="10">
        <v>34</v>
      </c>
      <c r="S98" s="10">
        <v>34</v>
      </c>
      <c r="T98" s="10">
        <v>38</v>
      </c>
      <c r="U98" s="10">
        <v>37</v>
      </c>
      <c r="V98" s="10">
        <v>66</v>
      </c>
      <c r="W98" s="10">
        <v>58</v>
      </c>
      <c r="X98" s="10">
        <v>252</v>
      </c>
      <c r="Y98" s="10">
        <v>246</v>
      </c>
    </row>
    <row r="99" spans="1:25" ht="18" customHeight="1" x14ac:dyDescent="0.25">
      <c r="A99" s="106" t="s">
        <v>43</v>
      </c>
      <c r="B99" s="107"/>
      <c r="C99" s="107"/>
      <c r="D99" s="107"/>
      <c r="E99" s="107"/>
      <c r="F99" s="107"/>
      <c r="G99" s="108"/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</row>
    <row r="100" spans="1:25" ht="18" customHeight="1" x14ac:dyDescent="0.25">
      <c r="A100" s="106" t="s">
        <v>44</v>
      </c>
      <c r="B100" s="107"/>
      <c r="C100" s="107"/>
      <c r="D100" s="107"/>
      <c r="E100" s="107"/>
      <c r="F100" s="107"/>
      <c r="G100" s="108"/>
      <c r="H100" s="10">
        <v>6</v>
      </c>
      <c r="I100" s="10">
        <v>2</v>
      </c>
      <c r="J100" s="10">
        <v>10</v>
      </c>
      <c r="K100" s="10">
        <v>14</v>
      </c>
      <c r="L100" s="10">
        <v>40</v>
      </c>
      <c r="M100" s="10">
        <v>60</v>
      </c>
      <c r="N100" s="10">
        <v>37</v>
      </c>
      <c r="O100" s="10">
        <v>36</v>
      </c>
      <c r="P100" s="10">
        <v>23</v>
      </c>
      <c r="Q100" s="10">
        <v>30</v>
      </c>
      <c r="R100" s="10">
        <v>28</v>
      </c>
      <c r="S100" s="10">
        <v>19</v>
      </c>
      <c r="T100" s="10">
        <v>43</v>
      </c>
      <c r="U100" s="10">
        <v>18</v>
      </c>
      <c r="V100" s="10">
        <v>66</v>
      </c>
      <c r="W100" s="10">
        <v>31</v>
      </c>
      <c r="X100" s="10">
        <v>253</v>
      </c>
      <c r="Y100" s="10">
        <v>210</v>
      </c>
    </row>
    <row r="101" spans="1:25" ht="18" customHeight="1" x14ac:dyDescent="0.25">
      <c r="A101" s="106" t="s">
        <v>7</v>
      </c>
      <c r="B101" s="107"/>
      <c r="C101" s="107"/>
      <c r="D101" s="107"/>
      <c r="E101" s="107"/>
      <c r="F101" s="107"/>
      <c r="G101" s="108"/>
      <c r="H101" s="10">
        <v>12</v>
      </c>
      <c r="I101" s="10">
        <v>8</v>
      </c>
      <c r="J101" s="10">
        <v>29</v>
      </c>
      <c r="K101" s="10">
        <v>54</v>
      </c>
      <c r="L101" s="10">
        <v>111</v>
      </c>
      <c r="M101" s="10">
        <v>196</v>
      </c>
      <c r="N101" s="10">
        <v>135</v>
      </c>
      <c r="O101" s="10">
        <v>129</v>
      </c>
      <c r="P101" s="10">
        <v>115</v>
      </c>
      <c r="Q101" s="10">
        <v>101</v>
      </c>
      <c r="R101" s="10">
        <v>112</v>
      </c>
      <c r="S101" s="10">
        <v>100</v>
      </c>
      <c r="T101" s="10">
        <v>137</v>
      </c>
      <c r="U101" s="10">
        <v>116</v>
      </c>
      <c r="V101" s="10">
        <v>256</v>
      </c>
      <c r="W101" s="10">
        <v>198</v>
      </c>
      <c r="X101" s="10">
        <v>907</v>
      </c>
      <c r="Y101" s="10">
        <v>902</v>
      </c>
    </row>
    <row r="102" spans="1:25" ht="6.75" customHeight="1" x14ac:dyDescent="0.25">
      <c r="A102" s="11"/>
      <c r="B102" s="12"/>
      <c r="C102" s="12"/>
      <c r="D102" s="12"/>
      <c r="E102" s="12"/>
      <c r="F102" s="13"/>
      <c r="G102" s="13"/>
      <c r="H102" s="13"/>
      <c r="I102" s="13"/>
      <c r="J102" s="13"/>
      <c r="K102" s="13"/>
      <c r="L102" s="14"/>
      <c r="M102" s="13"/>
      <c r="N102" s="15"/>
      <c r="O102" s="16"/>
      <c r="P102" s="13"/>
      <c r="Q102" s="13"/>
      <c r="R102" s="13"/>
      <c r="S102" s="13"/>
      <c r="T102" s="13"/>
      <c r="U102" s="13"/>
      <c r="V102" s="13"/>
      <c r="W102" s="13"/>
      <c r="X102" s="13"/>
      <c r="Y102" s="17"/>
    </row>
    <row r="103" spans="1:25" ht="18" customHeight="1" x14ac:dyDescent="0.3">
      <c r="A103" s="18" t="s">
        <v>47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20"/>
      <c r="L103" s="21"/>
      <c r="M103" s="18" t="s">
        <v>48</v>
      </c>
      <c r="N103" s="19"/>
      <c r="O103" s="19"/>
      <c r="P103" s="19"/>
      <c r="Q103" s="22"/>
      <c r="R103" s="22"/>
      <c r="S103" s="22"/>
      <c r="T103" s="22"/>
      <c r="U103" s="22"/>
      <c r="V103" s="22"/>
      <c r="W103" s="22"/>
      <c r="X103" s="22"/>
      <c r="Y103" s="23"/>
    </row>
    <row r="104" spans="1:25" ht="57.75" customHeight="1" x14ac:dyDescent="0.25">
      <c r="A104" s="101" t="s">
        <v>49</v>
      </c>
      <c r="B104" s="101" t="s">
        <v>50</v>
      </c>
      <c r="C104" s="101" t="s">
        <v>51</v>
      </c>
      <c r="D104" s="77" t="s">
        <v>52</v>
      </c>
      <c r="E104" s="78"/>
      <c r="F104" s="77" t="s">
        <v>53</v>
      </c>
      <c r="G104" s="79"/>
      <c r="H104" s="79"/>
      <c r="I104" s="78"/>
      <c r="J104" s="101" t="s">
        <v>54</v>
      </c>
      <c r="K104" s="101" t="s">
        <v>55</v>
      </c>
      <c r="L104" s="24"/>
      <c r="M104" s="86" t="s">
        <v>56</v>
      </c>
      <c r="N104" s="88"/>
      <c r="O104" s="86" t="s">
        <v>57</v>
      </c>
      <c r="P104" s="88"/>
      <c r="Q104" s="86" t="s">
        <v>58</v>
      </c>
      <c r="R104" s="87"/>
      <c r="S104" s="87"/>
      <c r="T104" s="87"/>
      <c r="U104" s="87"/>
      <c r="V104" s="87"/>
      <c r="W104" s="87"/>
      <c r="X104" s="87"/>
      <c r="Y104" s="88"/>
    </row>
    <row r="105" spans="1:25" ht="38.25" customHeight="1" x14ac:dyDescent="0.25">
      <c r="A105" s="102"/>
      <c r="B105" s="102"/>
      <c r="C105" s="102"/>
      <c r="D105" s="25" t="s">
        <v>59</v>
      </c>
      <c r="E105" s="25" t="s">
        <v>60</v>
      </c>
      <c r="F105" s="26" t="s">
        <v>59</v>
      </c>
      <c r="G105" s="26" t="s">
        <v>60</v>
      </c>
      <c r="H105" s="26" t="s">
        <v>61</v>
      </c>
      <c r="I105" s="26" t="s">
        <v>62</v>
      </c>
      <c r="J105" s="102"/>
      <c r="K105" s="102"/>
      <c r="L105" s="24"/>
      <c r="M105" s="91">
        <v>0</v>
      </c>
      <c r="N105" s="92"/>
      <c r="O105" s="91">
        <v>0</v>
      </c>
      <c r="P105" s="92"/>
      <c r="Q105" s="86">
        <v>0</v>
      </c>
      <c r="R105" s="87"/>
      <c r="S105" s="87"/>
      <c r="T105" s="87"/>
      <c r="U105" s="87"/>
      <c r="V105" s="87"/>
      <c r="W105" s="87"/>
      <c r="X105" s="87"/>
      <c r="Y105" s="88"/>
    </row>
    <row r="106" spans="1:25" ht="38.25" customHeight="1" x14ac:dyDescent="0.25">
      <c r="A106" s="103">
        <v>312649</v>
      </c>
      <c r="B106" s="103">
        <v>10205</v>
      </c>
      <c r="C106" s="103">
        <v>1123</v>
      </c>
      <c r="D106" s="103">
        <v>6346</v>
      </c>
      <c r="E106" s="103">
        <v>5235</v>
      </c>
      <c r="F106" s="103">
        <v>0</v>
      </c>
      <c r="G106" s="103">
        <v>0</v>
      </c>
      <c r="H106" s="103">
        <v>786</v>
      </c>
      <c r="I106" s="103">
        <v>786</v>
      </c>
      <c r="J106" s="103">
        <v>817</v>
      </c>
      <c r="K106" s="164">
        <v>1160</v>
      </c>
      <c r="L106" s="24"/>
      <c r="M106" s="91" t="s">
        <v>63</v>
      </c>
      <c r="N106" s="92"/>
      <c r="O106" s="91" t="s">
        <v>64</v>
      </c>
      <c r="P106" s="92"/>
      <c r="Q106" s="95" t="s">
        <v>65</v>
      </c>
      <c r="R106" s="99"/>
      <c r="S106" s="96"/>
      <c r="T106" s="95" t="s">
        <v>66</v>
      </c>
      <c r="U106" s="99"/>
      <c r="V106" s="99"/>
      <c r="W106" s="99"/>
      <c r="X106" s="99"/>
      <c r="Y106" s="96"/>
    </row>
    <row r="107" spans="1:25" ht="19.5" customHeight="1" x14ac:dyDescent="0.25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89"/>
      <c r="L107" s="27"/>
      <c r="M107" s="91">
        <v>0</v>
      </c>
      <c r="N107" s="92"/>
      <c r="O107" s="91">
        <v>0</v>
      </c>
      <c r="P107" s="92"/>
      <c r="Q107" s="91">
        <v>0</v>
      </c>
      <c r="R107" s="97"/>
      <c r="S107" s="92"/>
      <c r="T107" s="28"/>
      <c r="U107" s="86" t="s">
        <v>0</v>
      </c>
      <c r="V107" s="88"/>
      <c r="W107" s="29" t="s">
        <v>1</v>
      </c>
      <c r="X107" s="86" t="s">
        <v>67</v>
      </c>
      <c r="Y107" s="88"/>
    </row>
    <row r="108" spans="1:25" ht="18" customHeight="1" x14ac:dyDescent="0.25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89"/>
      <c r="L108" s="27"/>
      <c r="M108" s="93"/>
      <c r="N108" s="94"/>
      <c r="O108" s="93"/>
      <c r="P108" s="94"/>
      <c r="Q108" s="93"/>
      <c r="R108" s="98"/>
      <c r="S108" s="94"/>
      <c r="T108" s="30" t="s">
        <v>68</v>
      </c>
      <c r="U108" s="100">
        <v>0</v>
      </c>
      <c r="V108" s="100"/>
      <c r="W108" s="29">
        <v>0</v>
      </c>
      <c r="X108" s="100">
        <v>0</v>
      </c>
      <c r="Y108" s="100"/>
    </row>
    <row r="109" spans="1:25" ht="18" customHeight="1" x14ac:dyDescent="0.25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89"/>
      <c r="L109" s="27"/>
      <c r="M109" s="93"/>
      <c r="N109" s="94"/>
      <c r="O109" s="93"/>
      <c r="P109" s="94"/>
      <c r="Q109" s="93"/>
      <c r="R109" s="98"/>
      <c r="S109" s="94"/>
      <c r="T109" s="30" t="s">
        <v>69</v>
      </c>
      <c r="U109" s="100">
        <v>0</v>
      </c>
      <c r="V109" s="100"/>
      <c r="W109" s="29">
        <v>0</v>
      </c>
      <c r="X109" s="100">
        <v>0</v>
      </c>
      <c r="Y109" s="100"/>
    </row>
    <row r="110" spans="1:25" ht="18" customHeight="1" x14ac:dyDescent="0.25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65"/>
      <c r="L110" s="27"/>
      <c r="M110" s="95"/>
      <c r="N110" s="96"/>
      <c r="O110" s="95"/>
      <c r="P110" s="96"/>
      <c r="Q110" s="95"/>
      <c r="R110" s="99"/>
      <c r="S110" s="96"/>
      <c r="T110" s="30" t="s">
        <v>70</v>
      </c>
      <c r="U110" s="100">
        <v>0</v>
      </c>
      <c r="V110" s="100"/>
      <c r="W110" s="29">
        <v>0</v>
      </c>
      <c r="X110" s="100">
        <v>0</v>
      </c>
      <c r="Y110" s="100"/>
    </row>
    <row r="111" spans="1:25" ht="8.25" customHeight="1" x14ac:dyDescent="0.25">
      <c r="A111" s="31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3"/>
      <c r="M111" s="32"/>
      <c r="N111" s="32"/>
      <c r="O111" s="32"/>
      <c r="P111" s="32"/>
      <c r="Q111" s="32"/>
      <c r="R111" s="34"/>
      <c r="S111" s="34"/>
      <c r="T111" s="34"/>
      <c r="U111" s="34"/>
      <c r="V111" s="34"/>
      <c r="W111" s="32"/>
      <c r="X111" s="32"/>
      <c r="Y111" s="7"/>
    </row>
    <row r="112" spans="1:25" ht="18" customHeight="1" x14ac:dyDescent="0.3">
      <c r="A112" s="18" t="s">
        <v>71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20"/>
      <c r="L112" s="35"/>
      <c r="M112" s="18" t="s">
        <v>72</v>
      </c>
      <c r="N112" s="20"/>
      <c r="O112" s="36"/>
      <c r="P112" s="19"/>
      <c r="Q112" s="19"/>
      <c r="R112" s="19"/>
      <c r="S112" s="19"/>
      <c r="T112" s="19"/>
      <c r="U112" s="19"/>
      <c r="V112" s="19"/>
      <c r="W112" s="22"/>
      <c r="X112" s="22"/>
      <c r="Y112" s="37"/>
    </row>
    <row r="113" spans="1:25" ht="57" customHeight="1" x14ac:dyDescent="0.25">
      <c r="A113" s="71"/>
      <c r="B113" s="72"/>
      <c r="C113" s="72"/>
      <c r="D113" s="72"/>
      <c r="E113" s="73"/>
      <c r="F113" s="68" t="s">
        <v>12</v>
      </c>
      <c r="G113" s="70"/>
      <c r="H113" s="68" t="s">
        <v>13</v>
      </c>
      <c r="I113" s="70"/>
      <c r="J113" s="38" t="s">
        <v>73</v>
      </c>
      <c r="K113" s="39"/>
      <c r="L113" s="40"/>
      <c r="M113" s="77" t="s">
        <v>74</v>
      </c>
      <c r="N113" s="78"/>
      <c r="O113" s="77" t="s">
        <v>75</v>
      </c>
      <c r="P113" s="78"/>
      <c r="Q113" s="77" t="s">
        <v>76</v>
      </c>
      <c r="R113" s="78"/>
      <c r="S113" s="77" t="s">
        <v>77</v>
      </c>
      <c r="T113" s="79"/>
      <c r="U113" s="79"/>
      <c r="V113" s="78"/>
      <c r="W113" s="77" t="s">
        <v>78</v>
      </c>
      <c r="X113" s="79"/>
      <c r="Y113" s="78"/>
    </row>
    <row r="114" spans="1:25" s="62" customFormat="1" ht="27" customHeight="1" x14ac:dyDescent="0.25">
      <c r="A114" s="74"/>
      <c r="B114" s="75"/>
      <c r="C114" s="75"/>
      <c r="D114" s="75"/>
      <c r="E114" s="76"/>
      <c r="F114" s="10" t="s">
        <v>79</v>
      </c>
      <c r="G114" s="10" t="s">
        <v>14</v>
      </c>
      <c r="H114" s="10" t="s">
        <v>79</v>
      </c>
      <c r="I114" s="10" t="s">
        <v>14</v>
      </c>
      <c r="J114" s="10" t="s">
        <v>79</v>
      </c>
      <c r="K114" s="10" t="s">
        <v>14</v>
      </c>
      <c r="L114" s="60"/>
      <c r="M114" s="42" t="s">
        <v>80</v>
      </c>
      <c r="N114" s="42" t="s">
        <v>81</v>
      </c>
      <c r="O114" s="42" t="s">
        <v>80</v>
      </c>
      <c r="P114" s="42" t="s">
        <v>81</v>
      </c>
      <c r="Q114" s="42" t="s">
        <v>80</v>
      </c>
      <c r="R114" s="42" t="s">
        <v>81</v>
      </c>
      <c r="S114" s="44"/>
      <c r="T114" s="44" t="s">
        <v>0</v>
      </c>
      <c r="U114" s="58" t="s">
        <v>1</v>
      </c>
      <c r="V114" s="61" t="s">
        <v>82</v>
      </c>
      <c r="W114" s="44" t="s">
        <v>0</v>
      </c>
      <c r="X114" s="58" t="s">
        <v>1</v>
      </c>
      <c r="Y114" s="61" t="s">
        <v>82</v>
      </c>
    </row>
    <row r="115" spans="1:25" ht="18" customHeight="1" x14ac:dyDescent="0.3">
      <c r="A115" s="80" t="s">
        <v>83</v>
      </c>
      <c r="B115" s="81"/>
      <c r="C115" s="81"/>
      <c r="D115" s="81"/>
      <c r="E115" s="82"/>
      <c r="F115" s="10">
        <v>694</v>
      </c>
      <c r="G115" s="10">
        <v>5</v>
      </c>
      <c r="H115" s="10">
        <v>0</v>
      </c>
      <c r="I115" s="10">
        <v>0</v>
      </c>
      <c r="J115" s="10">
        <v>0</v>
      </c>
      <c r="K115" s="10">
        <v>0</v>
      </c>
      <c r="L115" s="41"/>
      <c r="M115" s="201">
        <v>1007</v>
      </c>
      <c r="N115" s="201">
        <v>4487</v>
      </c>
      <c r="O115" s="201">
        <v>913</v>
      </c>
      <c r="P115" s="201">
        <v>4131</v>
      </c>
      <c r="Q115" s="201">
        <v>14</v>
      </c>
      <c r="R115" s="201">
        <v>155</v>
      </c>
      <c r="S115" s="47" t="s">
        <v>68</v>
      </c>
      <c r="T115" s="29">
        <v>1</v>
      </c>
      <c r="U115" s="29">
        <v>4</v>
      </c>
      <c r="V115" s="29">
        <v>0</v>
      </c>
      <c r="W115" s="29">
        <v>0</v>
      </c>
      <c r="X115" s="29">
        <v>0</v>
      </c>
      <c r="Y115" s="29">
        <v>0</v>
      </c>
    </row>
    <row r="116" spans="1:25" ht="18" customHeight="1" x14ac:dyDescent="0.3">
      <c r="A116" s="80" t="s">
        <v>8</v>
      </c>
      <c r="B116" s="81"/>
      <c r="C116" s="81"/>
      <c r="D116" s="81"/>
      <c r="E116" s="82"/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41"/>
      <c r="M116" s="202"/>
      <c r="N116" s="202"/>
      <c r="O116" s="202"/>
      <c r="P116" s="202"/>
      <c r="Q116" s="202"/>
      <c r="R116" s="202"/>
      <c r="S116" s="47" t="s">
        <v>69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</row>
    <row r="117" spans="1:25" ht="18" customHeight="1" x14ac:dyDescent="0.25">
      <c r="A117" s="86" t="s">
        <v>84</v>
      </c>
      <c r="B117" s="87"/>
      <c r="C117" s="87"/>
      <c r="D117" s="87"/>
      <c r="E117" s="88"/>
      <c r="F117" s="10">
        <v>8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41"/>
      <c r="M117" s="202"/>
      <c r="N117" s="202"/>
      <c r="O117" s="202"/>
      <c r="P117" s="202"/>
      <c r="Q117" s="202"/>
      <c r="R117" s="202"/>
      <c r="S117" s="89" t="s">
        <v>70</v>
      </c>
      <c r="T117" s="83">
        <v>0</v>
      </c>
      <c r="U117" s="83">
        <v>0</v>
      </c>
      <c r="V117" s="83">
        <v>0</v>
      </c>
      <c r="W117" s="83">
        <v>0</v>
      </c>
      <c r="X117" s="83">
        <v>0</v>
      </c>
      <c r="Y117" s="83">
        <v>0</v>
      </c>
    </row>
    <row r="118" spans="1:25" ht="18" customHeight="1" x14ac:dyDescent="0.25">
      <c r="A118" s="68" t="s">
        <v>7</v>
      </c>
      <c r="B118" s="69"/>
      <c r="C118" s="69"/>
      <c r="D118" s="69"/>
      <c r="E118" s="70"/>
      <c r="F118" s="10">
        <v>702</v>
      </c>
      <c r="G118" s="10">
        <v>5</v>
      </c>
      <c r="H118" s="10">
        <v>0</v>
      </c>
      <c r="I118" s="10">
        <v>0</v>
      </c>
      <c r="J118" s="10">
        <v>0</v>
      </c>
      <c r="K118" s="10">
        <v>0</v>
      </c>
      <c r="L118" s="41"/>
      <c r="M118" s="203"/>
      <c r="N118" s="203"/>
      <c r="O118" s="203"/>
      <c r="P118" s="203"/>
      <c r="Q118" s="203"/>
      <c r="R118" s="203"/>
      <c r="S118" s="90"/>
      <c r="T118" s="85"/>
      <c r="U118" s="85"/>
      <c r="V118" s="85"/>
      <c r="W118" s="85"/>
      <c r="X118" s="85"/>
      <c r="Y118" s="85"/>
    </row>
    <row r="119" spans="1:25" ht="23.4" x14ac:dyDescent="0.45">
      <c r="A119" s="120" t="s">
        <v>17</v>
      </c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</row>
    <row r="120" spans="1:25" ht="23.4" x14ac:dyDescent="0.25">
      <c r="A120" s="111" t="s">
        <v>18</v>
      </c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"/>
      <c r="U120" s="112" t="s">
        <v>19</v>
      </c>
      <c r="V120" s="112"/>
      <c r="W120" s="1"/>
      <c r="X120" s="1"/>
      <c r="Y120" s="1"/>
    </row>
    <row r="121" spans="1:25" ht="30.9" customHeight="1" x14ac:dyDescent="0.25">
      <c r="A121" s="113" t="s">
        <v>20</v>
      </c>
      <c r="B121" s="113"/>
      <c r="C121" s="113"/>
      <c r="D121" s="113"/>
      <c r="E121" s="204" t="s">
        <v>90</v>
      </c>
      <c r="F121" s="204"/>
      <c r="G121" s="204"/>
      <c r="H121" s="116" t="s">
        <v>22</v>
      </c>
      <c r="I121" s="116"/>
      <c r="J121" s="115">
        <v>0</v>
      </c>
      <c r="K121" s="115"/>
      <c r="L121" s="116" t="s">
        <v>23</v>
      </c>
      <c r="M121" s="116"/>
      <c r="N121" s="204" t="s">
        <v>15</v>
      </c>
      <c r="O121" s="204"/>
      <c r="P121" s="204"/>
      <c r="Q121" s="118" t="s">
        <v>24</v>
      </c>
      <c r="R121" s="118"/>
      <c r="S121" s="118"/>
      <c r="T121" s="118"/>
      <c r="U121" s="119" t="s">
        <v>87</v>
      </c>
      <c r="V121" s="119"/>
      <c r="W121" s="119"/>
      <c r="X121" s="147" t="s">
        <v>93</v>
      </c>
      <c r="Y121" s="147"/>
    </row>
    <row r="122" spans="1:25" ht="15" customHeight="1" x14ac:dyDescent="0.25">
      <c r="Q122" s="118"/>
      <c r="R122" s="118"/>
      <c r="S122" s="118"/>
      <c r="T122" s="118"/>
      <c r="U122" s="119"/>
      <c r="V122" s="119"/>
      <c r="W122" s="119"/>
      <c r="X122" s="147"/>
      <c r="Y122" s="147"/>
    </row>
    <row r="123" spans="1:25" ht="15.6" x14ac:dyDescent="0.3">
      <c r="A123" s="166" t="s">
        <v>26</v>
      </c>
      <c r="B123" s="166"/>
      <c r="C123" s="166"/>
      <c r="D123" s="166"/>
      <c r="E123" s="166"/>
      <c r="F123" s="166"/>
      <c r="G123" s="167" t="s">
        <v>27</v>
      </c>
      <c r="H123" s="167"/>
      <c r="I123" s="167"/>
      <c r="J123" s="167"/>
      <c r="K123" s="167"/>
      <c r="L123" s="167"/>
      <c r="M123" s="167"/>
      <c r="N123" s="2"/>
      <c r="Q123" s="168" t="s">
        <v>28</v>
      </c>
      <c r="R123" s="168"/>
      <c r="S123" s="168"/>
      <c r="T123" s="168"/>
      <c r="U123" s="168"/>
      <c r="V123" s="148" t="s">
        <v>29</v>
      </c>
      <c r="W123" s="148"/>
      <c r="X123" s="148"/>
      <c r="Y123" s="148"/>
    </row>
    <row r="124" spans="1:2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 customHeight="1" x14ac:dyDescent="0.25">
      <c r="A125" s="149" t="s">
        <v>31</v>
      </c>
      <c r="B125" s="150"/>
      <c r="C125" s="150"/>
      <c r="D125" s="150"/>
      <c r="E125" s="150"/>
      <c r="F125" s="150"/>
      <c r="G125" s="150"/>
      <c r="H125" s="150"/>
      <c r="I125" s="151"/>
      <c r="J125" s="152" t="s">
        <v>32</v>
      </c>
      <c r="K125" s="153"/>
      <c r="L125" s="152" t="s">
        <v>33</v>
      </c>
      <c r="M125" s="153"/>
      <c r="N125" s="91" t="s">
        <v>34</v>
      </c>
      <c r="O125" s="92"/>
      <c r="P125" s="152" t="s">
        <v>35</v>
      </c>
      <c r="Q125" s="153"/>
      <c r="R125" s="68" t="s">
        <v>36</v>
      </c>
      <c r="S125" s="69"/>
      <c r="T125" s="69"/>
      <c r="U125" s="69"/>
      <c r="V125" s="69"/>
      <c r="W125" s="70"/>
      <c r="X125" s="152" t="s">
        <v>7</v>
      </c>
      <c r="Y125" s="153"/>
    </row>
    <row r="126" spans="1:25" ht="23.25" customHeight="1" x14ac:dyDescent="0.25">
      <c r="A126" s="158" t="s">
        <v>37</v>
      </c>
      <c r="B126" s="159"/>
      <c r="C126" s="159"/>
      <c r="D126" s="159"/>
      <c r="E126" s="159"/>
      <c r="F126" s="159"/>
      <c r="G126" s="159"/>
      <c r="H126" s="159"/>
      <c r="I126" s="160"/>
      <c r="J126" s="154"/>
      <c r="K126" s="155"/>
      <c r="L126" s="154"/>
      <c r="M126" s="155"/>
      <c r="N126" s="93"/>
      <c r="O126" s="94"/>
      <c r="P126" s="154"/>
      <c r="Q126" s="155"/>
      <c r="R126" s="164" t="s">
        <v>38</v>
      </c>
      <c r="S126" s="164"/>
      <c r="T126" s="164" t="s">
        <v>39</v>
      </c>
      <c r="U126" s="164"/>
      <c r="V126" s="164" t="s">
        <v>40</v>
      </c>
      <c r="W126" s="164"/>
      <c r="X126" s="154"/>
      <c r="Y126" s="155"/>
    </row>
    <row r="127" spans="1:25" x14ac:dyDescent="0.25">
      <c r="A127" s="161"/>
      <c r="B127" s="162"/>
      <c r="C127" s="162"/>
      <c r="D127" s="162"/>
      <c r="E127" s="162"/>
      <c r="F127" s="162"/>
      <c r="G127" s="162"/>
      <c r="H127" s="162"/>
      <c r="I127" s="163"/>
      <c r="J127" s="156"/>
      <c r="K127" s="157"/>
      <c r="L127" s="156"/>
      <c r="M127" s="157"/>
      <c r="N127" s="95"/>
      <c r="O127" s="96"/>
      <c r="P127" s="156"/>
      <c r="Q127" s="157"/>
      <c r="R127" s="165"/>
      <c r="S127" s="165"/>
      <c r="T127" s="165"/>
      <c r="U127" s="165"/>
      <c r="V127" s="165"/>
      <c r="W127" s="165"/>
      <c r="X127" s="156"/>
      <c r="Y127" s="157"/>
    </row>
    <row r="128" spans="1:25" ht="18" customHeight="1" x14ac:dyDescent="0.3">
      <c r="A128" s="106" t="s">
        <v>41</v>
      </c>
      <c r="B128" s="107"/>
      <c r="C128" s="107"/>
      <c r="D128" s="107"/>
      <c r="E128" s="107"/>
      <c r="F128" s="107"/>
      <c r="G128" s="107"/>
      <c r="H128" s="107"/>
      <c r="I128" s="108"/>
      <c r="J128" s="170">
        <v>664</v>
      </c>
      <c r="K128" s="171"/>
      <c r="L128" s="170">
        <v>44</v>
      </c>
      <c r="M128" s="171"/>
      <c r="N128" s="170">
        <v>0</v>
      </c>
      <c r="O128" s="171"/>
      <c r="P128" s="170">
        <v>708</v>
      </c>
      <c r="Q128" s="171"/>
      <c r="R128" s="170">
        <v>0</v>
      </c>
      <c r="S128" s="171"/>
      <c r="T128" s="170">
        <v>0</v>
      </c>
      <c r="U128" s="171"/>
      <c r="V128" s="170">
        <v>0</v>
      </c>
      <c r="W128" s="171"/>
      <c r="X128" s="172">
        <v>708</v>
      </c>
      <c r="Y128" s="173"/>
    </row>
    <row r="129" spans="1:25" ht="18" customHeight="1" x14ac:dyDescent="0.3">
      <c r="A129" s="106" t="s">
        <v>42</v>
      </c>
      <c r="B129" s="107"/>
      <c r="C129" s="107"/>
      <c r="D129" s="107"/>
      <c r="E129" s="107"/>
      <c r="F129" s="107"/>
      <c r="G129" s="107"/>
      <c r="H129" s="107"/>
      <c r="I129" s="108"/>
      <c r="J129" s="170">
        <v>375</v>
      </c>
      <c r="K129" s="171"/>
      <c r="L129" s="170">
        <v>5</v>
      </c>
      <c r="M129" s="171"/>
      <c r="N129" s="170">
        <v>1</v>
      </c>
      <c r="O129" s="171"/>
      <c r="P129" s="170">
        <v>381</v>
      </c>
      <c r="Q129" s="171"/>
      <c r="R129" s="170">
        <v>0</v>
      </c>
      <c r="S129" s="171"/>
      <c r="T129" s="170">
        <v>0</v>
      </c>
      <c r="U129" s="171"/>
      <c r="V129" s="170">
        <v>2</v>
      </c>
      <c r="W129" s="171"/>
      <c r="X129" s="172">
        <v>383</v>
      </c>
      <c r="Y129" s="173"/>
    </row>
    <row r="130" spans="1:25" ht="18" customHeight="1" x14ac:dyDescent="0.3">
      <c r="A130" s="106" t="s">
        <v>43</v>
      </c>
      <c r="B130" s="107"/>
      <c r="C130" s="107"/>
      <c r="D130" s="107"/>
      <c r="E130" s="107"/>
      <c r="F130" s="107"/>
      <c r="G130" s="107"/>
      <c r="H130" s="107"/>
      <c r="I130" s="108"/>
      <c r="J130" s="170">
        <v>0</v>
      </c>
      <c r="K130" s="171"/>
      <c r="L130" s="170">
        <v>0</v>
      </c>
      <c r="M130" s="171"/>
      <c r="N130" s="170">
        <v>0</v>
      </c>
      <c r="O130" s="171"/>
      <c r="P130" s="170">
        <v>0</v>
      </c>
      <c r="Q130" s="171"/>
      <c r="R130" s="170">
        <v>0</v>
      </c>
      <c r="S130" s="171"/>
      <c r="T130" s="170">
        <v>0</v>
      </c>
      <c r="U130" s="171"/>
      <c r="V130" s="170">
        <v>0</v>
      </c>
      <c r="W130" s="171"/>
      <c r="X130" s="172">
        <v>0</v>
      </c>
      <c r="Y130" s="173"/>
    </row>
    <row r="131" spans="1:25" ht="18" customHeight="1" x14ac:dyDescent="0.3">
      <c r="A131" s="106" t="s">
        <v>44</v>
      </c>
      <c r="B131" s="107"/>
      <c r="C131" s="107"/>
      <c r="D131" s="107"/>
      <c r="E131" s="107"/>
      <c r="F131" s="107"/>
      <c r="G131" s="107"/>
      <c r="H131" s="107"/>
      <c r="I131" s="108"/>
      <c r="J131" s="170">
        <v>381</v>
      </c>
      <c r="K131" s="171"/>
      <c r="L131" s="170">
        <v>2</v>
      </c>
      <c r="M131" s="171"/>
      <c r="N131" s="170">
        <v>0</v>
      </c>
      <c r="O131" s="171"/>
      <c r="P131" s="170">
        <v>383</v>
      </c>
      <c r="Q131" s="171"/>
      <c r="R131" s="170">
        <v>0</v>
      </c>
      <c r="S131" s="171"/>
      <c r="T131" s="170">
        <v>0</v>
      </c>
      <c r="U131" s="171"/>
      <c r="V131" s="170">
        <v>3</v>
      </c>
      <c r="W131" s="171"/>
      <c r="X131" s="172">
        <v>386</v>
      </c>
      <c r="Y131" s="173"/>
    </row>
    <row r="132" spans="1:25" ht="18" customHeight="1" x14ac:dyDescent="0.3">
      <c r="A132" s="106" t="s">
        <v>7</v>
      </c>
      <c r="B132" s="107"/>
      <c r="C132" s="107"/>
      <c r="D132" s="107"/>
      <c r="E132" s="107"/>
      <c r="F132" s="107"/>
      <c r="G132" s="107"/>
      <c r="H132" s="107"/>
      <c r="I132" s="108"/>
      <c r="J132" s="170">
        <v>1420</v>
      </c>
      <c r="K132" s="171"/>
      <c r="L132" s="170">
        <v>51</v>
      </c>
      <c r="M132" s="171"/>
      <c r="N132" s="170">
        <v>1</v>
      </c>
      <c r="O132" s="171"/>
      <c r="P132" s="170">
        <v>1472</v>
      </c>
      <c r="Q132" s="171"/>
      <c r="R132" s="170">
        <v>0</v>
      </c>
      <c r="S132" s="171"/>
      <c r="T132" s="170">
        <v>0</v>
      </c>
      <c r="U132" s="171"/>
      <c r="V132" s="170">
        <v>5</v>
      </c>
      <c r="W132" s="171"/>
      <c r="X132" s="172">
        <v>1477</v>
      </c>
      <c r="Y132" s="173"/>
    </row>
    <row r="133" spans="1:25" ht="15.6" x14ac:dyDescent="0.3">
      <c r="A133" s="4" t="s">
        <v>45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"/>
      <c r="S133" s="6"/>
      <c r="T133" s="6"/>
      <c r="U133" s="6"/>
      <c r="V133" s="6"/>
      <c r="W133" s="6"/>
      <c r="X133" s="6"/>
      <c r="Y133" s="7"/>
    </row>
    <row r="134" spans="1:25" x14ac:dyDescent="0.25">
      <c r="A134" s="71"/>
      <c r="B134" s="72"/>
      <c r="C134" s="72"/>
      <c r="D134" s="72"/>
      <c r="E134" s="72"/>
      <c r="F134" s="72"/>
      <c r="G134" s="73"/>
      <c r="H134" s="68" t="s">
        <v>0</v>
      </c>
      <c r="I134" s="69"/>
      <c r="J134" s="136" t="s">
        <v>1</v>
      </c>
      <c r="K134" s="69"/>
      <c r="L134" s="134" t="s">
        <v>2</v>
      </c>
      <c r="M134" s="69"/>
      <c r="N134" s="134" t="s">
        <v>3</v>
      </c>
      <c r="O134" s="69"/>
      <c r="P134" s="134" t="s">
        <v>4</v>
      </c>
      <c r="Q134" s="135"/>
      <c r="R134" s="134" t="s">
        <v>5</v>
      </c>
      <c r="S134" s="69"/>
      <c r="T134" s="134" t="s">
        <v>6</v>
      </c>
      <c r="U134" s="69"/>
      <c r="V134" s="134" t="s">
        <v>46</v>
      </c>
      <c r="W134" s="69"/>
      <c r="X134" s="134" t="s">
        <v>7</v>
      </c>
      <c r="Y134" s="135"/>
    </row>
    <row r="135" spans="1:25" x14ac:dyDescent="0.25">
      <c r="A135" s="74"/>
      <c r="B135" s="75"/>
      <c r="C135" s="75"/>
      <c r="D135" s="75"/>
      <c r="E135" s="75"/>
      <c r="F135" s="75"/>
      <c r="G135" s="76"/>
      <c r="H135" s="10" t="s">
        <v>10</v>
      </c>
      <c r="I135" s="10" t="s">
        <v>11</v>
      </c>
      <c r="J135" s="10" t="s">
        <v>10</v>
      </c>
      <c r="K135" s="10" t="s">
        <v>11</v>
      </c>
      <c r="L135" s="10" t="s">
        <v>10</v>
      </c>
      <c r="M135" s="10" t="s">
        <v>11</v>
      </c>
      <c r="N135" s="10" t="s">
        <v>10</v>
      </c>
      <c r="O135" s="10" t="s">
        <v>11</v>
      </c>
      <c r="P135" s="10" t="s">
        <v>10</v>
      </c>
      <c r="Q135" s="10" t="s">
        <v>11</v>
      </c>
      <c r="R135" s="10" t="s">
        <v>10</v>
      </c>
      <c r="S135" s="10" t="s">
        <v>11</v>
      </c>
      <c r="T135" s="10" t="s">
        <v>10</v>
      </c>
      <c r="U135" s="10" t="s">
        <v>11</v>
      </c>
      <c r="V135" s="10" t="s">
        <v>10</v>
      </c>
      <c r="W135" s="10" t="s">
        <v>11</v>
      </c>
      <c r="X135" s="10" t="s">
        <v>10</v>
      </c>
      <c r="Y135" s="10" t="s">
        <v>11</v>
      </c>
    </row>
    <row r="136" spans="1:25" ht="18" customHeight="1" x14ac:dyDescent="0.25">
      <c r="A136" s="106" t="s">
        <v>41</v>
      </c>
      <c r="B136" s="107"/>
      <c r="C136" s="107"/>
      <c r="D136" s="107"/>
      <c r="E136" s="107"/>
      <c r="F136" s="107"/>
      <c r="G136" s="108"/>
      <c r="H136" s="10">
        <v>1</v>
      </c>
      <c r="I136" s="10">
        <v>0</v>
      </c>
      <c r="J136" s="10">
        <v>1</v>
      </c>
      <c r="K136" s="10">
        <v>4</v>
      </c>
      <c r="L136" s="10">
        <v>52</v>
      </c>
      <c r="M136" s="10">
        <v>70</v>
      </c>
      <c r="N136" s="10">
        <v>53</v>
      </c>
      <c r="O136" s="10">
        <v>45</v>
      </c>
      <c r="P136" s="10">
        <v>42</v>
      </c>
      <c r="Q136" s="10">
        <v>38</v>
      </c>
      <c r="R136" s="10">
        <v>60</v>
      </c>
      <c r="S136" s="10">
        <v>35</v>
      </c>
      <c r="T136" s="10">
        <v>73</v>
      </c>
      <c r="U136" s="10">
        <v>59</v>
      </c>
      <c r="V136" s="10">
        <v>101</v>
      </c>
      <c r="W136" s="10">
        <v>73</v>
      </c>
      <c r="X136" s="10">
        <v>383</v>
      </c>
      <c r="Y136" s="10">
        <v>324</v>
      </c>
    </row>
    <row r="137" spans="1:25" ht="18" customHeight="1" x14ac:dyDescent="0.25">
      <c r="A137" s="106" t="s">
        <v>42</v>
      </c>
      <c r="B137" s="107"/>
      <c r="C137" s="107"/>
      <c r="D137" s="107"/>
      <c r="E137" s="107"/>
      <c r="F137" s="107"/>
      <c r="G137" s="108"/>
      <c r="H137" s="10">
        <v>6</v>
      </c>
      <c r="I137" s="10">
        <v>5</v>
      </c>
      <c r="J137" s="10">
        <v>4</v>
      </c>
      <c r="K137" s="10">
        <v>7</v>
      </c>
      <c r="L137" s="10">
        <v>16</v>
      </c>
      <c r="M137" s="10">
        <v>24</v>
      </c>
      <c r="N137" s="10">
        <v>21</v>
      </c>
      <c r="O137" s="10">
        <v>19</v>
      </c>
      <c r="P137" s="10">
        <v>28</v>
      </c>
      <c r="Q137" s="10">
        <v>27</v>
      </c>
      <c r="R137" s="10">
        <v>26</v>
      </c>
      <c r="S137" s="10">
        <v>23</v>
      </c>
      <c r="T137" s="10">
        <v>42</v>
      </c>
      <c r="U137" s="10">
        <v>40</v>
      </c>
      <c r="V137" s="10">
        <v>52</v>
      </c>
      <c r="W137" s="10">
        <v>41</v>
      </c>
      <c r="X137" s="10">
        <v>195</v>
      </c>
      <c r="Y137" s="10">
        <v>186</v>
      </c>
    </row>
    <row r="138" spans="1:25" ht="18" customHeight="1" x14ac:dyDescent="0.25">
      <c r="A138" s="106" t="s">
        <v>43</v>
      </c>
      <c r="B138" s="107"/>
      <c r="C138" s="107"/>
      <c r="D138" s="107"/>
      <c r="E138" s="107"/>
      <c r="F138" s="107"/>
      <c r="G138" s="108"/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</row>
    <row r="139" spans="1:25" ht="18" customHeight="1" x14ac:dyDescent="0.25">
      <c r="A139" s="106" t="s">
        <v>44</v>
      </c>
      <c r="B139" s="107"/>
      <c r="C139" s="107"/>
      <c r="D139" s="107"/>
      <c r="E139" s="107"/>
      <c r="F139" s="107"/>
      <c r="G139" s="108"/>
      <c r="H139" s="10">
        <v>1</v>
      </c>
      <c r="I139" s="10">
        <v>0</v>
      </c>
      <c r="J139" s="10">
        <v>9</v>
      </c>
      <c r="K139" s="10">
        <v>5</v>
      </c>
      <c r="L139" s="10">
        <v>38</v>
      </c>
      <c r="M139" s="10">
        <v>35</v>
      </c>
      <c r="N139" s="10">
        <v>33</v>
      </c>
      <c r="O139" s="10">
        <v>37</v>
      </c>
      <c r="P139" s="10">
        <v>18</v>
      </c>
      <c r="Q139" s="10">
        <v>42</v>
      </c>
      <c r="R139" s="10">
        <v>16</v>
      </c>
      <c r="S139" s="10">
        <v>17</v>
      </c>
      <c r="T139" s="10">
        <v>35</v>
      </c>
      <c r="U139" s="10">
        <v>25</v>
      </c>
      <c r="V139" s="10">
        <v>48</v>
      </c>
      <c r="W139" s="10">
        <v>24</v>
      </c>
      <c r="X139" s="10">
        <v>198</v>
      </c>
      <c r="Y139" s="10">
        <v>185</v>
      </c>
    </row>
    <row r="140" spans="1:25" ht="18" customHeight="1" x14ac:dyDescent="0.25">
      <c r="A140" s="106" t="s">
        <v>7</v>
      </c>
      <c r="B140" s="107"/>
      <c r="C140" s="107"/>
      <c r="D140" s="107"/>
      <c r="E140" s="107"/>
      <c r="F140" s="107"/>
      <c r="G140" s="108"/>
      <c r="H140" s="10">
        <v>8</v>
      </c>
      <c r="I140" s="10">
        <v>5</v>
      </c>
      <c r="J140" s="10">
        <v>14</v>
      </c>
      <c r="K140" s="10">
        <v>16</v>
      </c>
      <c r="L140" s="10">
        <v>106</v>
      </c>
      <c r="M140" s="10">
        <v>129</v>
      </c>
      <c r="N140" s="10">
        <v>107</v>
      </c>
      <c r="O140" s="10">
        <v>101</v>
      </c>
      <c r="P140" s="10">
        <v>88</v>
      </c>
      <c r="Q140" s="10">
        <v>107</v>
      </c>
      <c r="R140" s="10">
        <v>102</v>
      </c>
      <c r="S140" s="10">
        <v>75</v>
      </c>
      <c r="T140" s="10">
        <v>150</v>
      </c>
      <c r="U140" s="10">
        <v>124</v>
      </c>
      <c r="V140" s="10">
        <v>201</v>
      </c>
      <c r="W140" s="10">
        <v>138</v>
      </c>
      <c r="X140" s="10">
        <v>776</v>
      </c>
      <c r="Y140" s="10">
        <v>695</v>
      </c>
    </row>
    <row r="141" spans="1:25" ht="6.75" customHeight="1" x14ac:dyDescent="0.25">
      <c r="A141" s="11"/>
      <c r="B141" s="12"/>
      <c r="C141" s="12"/>
      <c r="D141" s="12"/>
      <c r="E141" s="12"/>
      <c r="F141" s="13"/>
      <c r="G141" s="13"/>
      <c r="H141" s="13"/>
      <c r="I141" s="13"/>
      <c r="J141" s="13"/>
      <c r="K141" s="13"/>
      <c r="L141" s="14"/>
      <c r="M141" s="13"/>
      <c r="N141" s="15"/>
      <c r="O141" s="16"/>
      <c r="P141" s="13"/>
      <c r="Q141" s="13"/>
      <c r="R141" s="13"/>
      <c r="S141" s="13"/>
      <c r="T141" s="13"/>
      <c r="U141" s="13"/>
      <c r="V141" s="13"/>
      <c r="W141" s="13"/>
      <c r="X141" s="13"/>
      <c r="Y141" s="17"/>
    </row>
    <row r="142" spans="1:25" ht="18" customHeight="1" x14ac:dyDescent="0.3">
      <c r="A142" s="18" t="s">
        <v>47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20"/>
      <c r="L142" s="21"/>
      <c r="M142" s="18" t="s">
        <v>48</v>
      </c>
      <c r="N142" s="19"/>
      <c r="O142" s="19"/>
      <c r="P142" s="19"/>
      <c r="Q142" s="22"/>
      <c r="R142" s="22"/>
      <c r="S142" s="22"/>
      <c r="T142" s="22"/>
      <c r="U142" s="22"/>
      <c r="V142" s="22"/>
      <c r="W142" s="22"/>
      <c r="X142" s="22"/>
      <c r="Y142" s="23"/>
    </row>
    <row r="143" spans="1:25" ht="57.75" customHeight="1" x14ac:dyDescent="0.25">
      <c r="A143" s="101" t="s">
        <v>49</v>
      </c>
      <c r="B143" s="101" t="s">
        <v>50</v>
      </c>
      <c r="C143" s="101" t="s">
        <v>51</v>
      </c>
      <c r="D143" s="77" t="s">
        <v>52</v>
      </c>
      <c r="E143" s="78"/>
      <c r="F143" s="77" t="s">
        <v>53</v>
      </c>
      <c r="G143" s="79"/>
      <c r="H143" s="79"/>
      <c r="I143" s="78"/>
      <c r="J143" s="101" t="s">
        <v>54</v>
      </c>
      <c r="K143" s="101" t="s">
        <v>55</v>
      </c>
      <c r="L143" s="24"/>
      <c r="M143" s="86" t="s">
        <v>56</v>
      </c>
      <c r="N143" s="88"/>
      <c r="O143" s="86" t="s">
        <v>57</v>
      </c>
      <c r="P143" s="88"/>
      <c r="Q143" s="86" t="s">
        <v>58</v>
      </c>
      <c r="R143" s="87"/>
      <c r="S143" s="87"/>
      <c r="T143" s="87"/>
      <c r="U143" s="87"/>
      <c r="V143" s="87"/>
      <c r="W143" s="87"/>
      <c r="X143" s="87"/>
      <c r="Y143" s="88"/>
    </row>
    <row r="144" spans="1:25" ht="38.25" customHeight="1" x14ac:dyDescent="0.25">
      <c r="A144" s="102"/>
      <c r="B144" s="102"/>
      <c r="C144" s="102"/>
      <c r="D144" s="25" t="s">
        <v>59</v>
      </c>
      <c r="E144" s="25" t="s">
        <v>60</v>
      </c>
      <c r="F144" s="26" t="s">
        <v>59</v>
      </c>
      <c r="G144" s="26" t="s">
        <v>60</v>
      </c>
      <c r="H144" s="26" t="s">
        <v>61</v>
      </c>
      <c r="I144" s="26" t="s">
        <v>62</v>
      </c>
      <c r="J144" s="102"/>
      <c r="K144" s="102"/>
      <c r="L144" s="24"/>
      <c r="M144" s="91">
        <v>0</v>
      </c>
      <c r="N144" s="92"/>
      <c r="O144" s="91">
        <v>0</v>
      </c>
      <c r="P144" s="92"/>
      <c r="Q144" s="86">
        <v>0</v>
      </c>
      <c r="R144" s="87"/>
      <c r="S144" s="87"/>
      <c r="T144" s="87"/>
      <c r="U144" s="87"/>
      <c r="V144" s="87"/>
      <c r="W144" s="87"/>
      <c r="X144" s="87"/>
      <c r="Y144" s="88"/>
    </row>
    <row r="145" spans="1:25" ht="38.25" customHeight="1" x14ac:dyDescent="0.25">
      <c r="A145" s="103">
        <v>289150</v>
      </c>
      <c r="B145" s="103">
        <v>10268</v>
      </c>
      <c r="C145" s="103">
        <v>1856</v>
      </c>
      <c r="D145" s="103">
        <v>5334</v>
      </c>
      <c r="E145" s="103">
        <v>6159</v>
      </c>
      <c r="F145" s="103">
        <v>2</v>
      </c>
      <c r="G145" s="103">
        <v>0</v>
      </c>
      <c r="H145" s="103">
        <v>533</v>
      </c>
      <c r="I145" s="103">
        <v>536</v>
      </c>
      <c r="J145" s="103">
        <v>1223</v>
      </c>
      <c r="K145" s="164">
        <v>1027</v>
      </c>
      <c r="L145" s="24"/>
      <c r="M145" s="91" t="s">
        <v>63</v>
      </c>
      <c r="N145" s="92"/>
      <c r="O145" s="91" t="s">
        <v>64</v>
      </c>
      <c r="P145" s="92"/>
      <c r="Q145" s="95" t="s">
        <v>65</v>
      </c>
      <c r="R145" s="99"/>
      <c r="S145" s="96"/>
      <c r="T145" s="95" t="s">
        <v>66</v>
      </c>
      <c r="U145" s="99"/>
      <c r="V145" s="99"/>
      <c r="W145" s="99"/>
      <c r="X145" s="99"/>
      <c r="Y145" s="96"/>
    </row>
    <row r="146" spans="1:25" ht="19.5" customHeight="1" x14ac:dyDescent="0.25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89"/>
      <c r="L146" s="27"/>
      <c r="M146" s="91">
        <v>0</v>
      </c>
      <c r="N146" s="92"/>
      <c r="O146" s="91">
        <v>0</v>
      </c>
      <c r="P146" s="92"/>
      <c r="Q146" s="91">
        <v>0</v>
      </c>
      <c r="R146" s="97"/>
      <c r="S146" s="92"/>
      <c r="T146" s="28"/>
      <c r="U146" s="86" t="s">
        <v>0</v>
      </c>
      <c r="V146" s="88"/>
      <c r="W146" s="29" t="s">
        <v>1</v>
      </c>
      <c r="X146" s="86" t="s">
        <v>67</v>
      </c>
      <c r="Y146" s="88"/>
    </row>
    <row r="147" spans="1:25" ht="18" customHeight="1" x14ac:dyDescent="0.25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89"/>
      <c r="L147" s="27"/>
      <c r="M147" s="93"/>
      <c r="N147" s="94"/>
      <c r="O147" s="93"/>
      <c r="P147" s="94"/>
      <c r="Q147" s="93"/>
      <c r="R147" s="98"/>
      <c r="S147" s="94"/>
      <c r="T147" s="30" t="s">
        <v>68</v>
      </c>
      <c r="U147" s="100">
        <v>0</v>
      </c>
      <c r="V147" s="100"/>
      <c r="W147" s="29">
        <v>0</v>
      </c>
      <c r="X147" s="100">
        <v>0</v>
      </c>
      <c r="Y147" s="100"/>
    </row>
    <row r="148" spans="1:25" ht="18" customHeight="1" x14ac:dyDescent="0.25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89"/>
      <c r="L148" s="27"/>
      <c r="M148" s="93"/>
      <c r="N148" s="94"/>
      <c r="O148" s="93"/>
      <c r="P148" s="94"/>
      <c r="Q148" s="93"/>
      <c r="R148" s="98"/>
      <c r="S148" s="94"/>
      <c r="T148" s="30" t="s">
        <v>69</v>
      </c>
      <c r="U148" s="100">
        <v>0</v>
      </c>
      <c r="V148" s="100"/>
      <c r="W148" s="29">
        <v>0</v>
      </c>
      <c r="X148" s="100">
        <v>0</v>
      </c>
      <c r="Y148" s="100"/>
    </row>
    <row r="149" spans="1:25" ht="18" customHeight="1" x14ac:dyDescent="0.25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65"/>
      <c r="L149" s="27"/>
      <c r="M149" s="95"/>
      <c r="N149" s="96"/>
      <c r="O149" s="95"/>
      <c r="P149" s="96"/>
      <c r="Q149" s="95"/>
      <c r="R149" s="99"/>
      <c r="S149" s="96"/>
      <c r="T149" s="30" t="s">
        <v>70</v>
      </c>
      <c r="U149" s="100">
        <v>0</v>
      </c>
      <c r="V149" s="100"/>
      <c r="W149" s="29">
        <v>0</v>
      </c>
      <c r="X149" s="100">
        <v>0</v>
      </c>
      <c r="Y149" s="100"/>
    </row>
    <row r="150" spans="1:25" ht="8.25" customHeight="1" x14ac:dyDescent="0.25">
      <c r="A150" s="31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3"/>
      <c r="M150" s="32"/>
      <c r="N150" s="32"/>
      <c r="O150" s="32"/>
      <c r="P150" s="32"/>
      <c r="Q150" s="32"/>
      <c r="R150" s="34"/>
      <c r="S150" s="34"/>
      <c r="T150" s="34"/>
      <c r="U150" s="34"/>
      <c r="V150" s="34"/>
      <c r="W150" s="32"/>
      <c r="X150" s="32"/>
      <c r="Y150" s="7"/>
    </row>
    <row r="151" spans="1:25" ht="18" customHeight="1" x14ac:dyDescent="0.3">
      <c r="A151" s="18" t="s">
        <v>71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20"/>
      <c r="L151" s="35"/>
      <c r="M151" s="18" t="s">
        <v>72</v>
      </c>
      <c r="N151" s="20"/>
      <c r="O151" s="36"/>
      <c r="P151" s="19"/>
      <c r="Q151" s="19"/>
      <c r="R151" s="19"/>
      <c r="S151" s="19"/>
      <c r="T151" s="19"/>
      <c r="U151" s="19"/>
      <c r="V151" s="19"/>
      <c r="W151" s="22"/>
      <c r="X151" s="22"/>
      <c r="Y151" s="37"/>
    </row>
    <row r="152" spans="1:25" ht="57" customHeight="1" x14ac:dyDescent="0.25">
      <c r="A152" s="71"/>
      <c r="B152" s="72"/>
      <c r="C152" s="72"/>
      <c r="D152" s="72"/>
      <c r="E152" s="73"/>
      <c r="F152" s="68" t="s">
        <v>12</v>
      </c>
      <c r="G152" s="70"/>
      <c r="H152" s="68" t="s">
        <v>13</v>
      </c>
      <c r="I152" s="70"/>
      <c r="J152" s="38" t="s">
        <v>73</v>
      </c>
      <c r="K152" s="39"/>
      <c r="L152" s="40"/>
      <c r="M152" s="77" t="s">
        <v>74</v>
      </c>
      <c r="N152" s="78"/>
      <c r="O152" s="77" t="s">
        <v>75</v>
      </c>
      <c r="P152" s="78"/>
      <c r="Q152" s="77" t="s">
        <v>76</v>
      </c>
      <c r="R152" s="78"/>
      <c r="S152" s="77" t="s">
        <v>77</v>
      </c>
      <c r="T152" s="79"/>
      <c r="U152" s="79"/>
      <c r="V152" s="78"/>
      <c r="W152" s="77" t="s">
        <v>78</v>
      </c>
      <c r="X152" s="79"/>
      <c r="Y152" s="78"/>
    </row>
    <row r="153" spans="1:25" ht="13.5" customHeight="1" x14ac:dyDescent="0.25">
      <c r="A153" s="74"/>
      <c r="B153" s="75"/>
      <c r="C153" s="75"/>
      <c r="D153" s="75"/>
      <c r="E153" s="76"/>
      <c r="F153" s="10" t="s">
        <v>79</v>
      </c>
      <c r="G153" s="10" t="s">
        <v>14</v>
      </c>
      <c r="H153" s="10" t="s">
        <v>79</v>
      </c>
      <c r="I153" s="10" t="s">
        <v>14</v>
      </c>
      <c r="J153" s="10" t="s">
        <v>79</v>
      </c>
      <c r="K153" s="10" t="s">
        <v>14</v>
      </c>
      <c r="L153" s="41"/>
      <c r="M153" s="42" t="s">
        <v>80</v>
      </c>
      <c r="N153" s="42" t="s">
        <v>81</v>
      </c>
      <c r="O153" s="42" t="s">
        <v>80</v>
      </c>
      <c r="P153" s="43" t="s">
        <v>81</v>
      </c>
      <c r="Q153" s="42" t="s">
        <v>80</v>
      </c>
      <c r="R153" s="42" t="s">
        <v>81</v>
      </c>
      <c r="S153" s="44"/>
      <c r="T153" s="42" t="s">
        <v>0</v>
      </c>
      <c r="U153" s="45" t="s">
        <v>1</v>
      </c>
      <c r="V153" s="46" t="s">
        <v>82</v>
      </c>
      <c r="W153" s="42" t="s">
        <v>0</v>
      </c>
      <c r="X153" s="45" t="s">
        <v>1</v>
      </c>
      <c r="Y153" s="46" t="s">
        <v>82</v>
      </c>
    </row>
    <row r="154" spans="1:25" ht="18" customHeight="1" x14ac:dyDescent="0.3">
      <c r="A154" s="80" t="s">
        <v>83</v>
      </c>
      <c r="B154" s="81"/>
      <c r="C154" s="81"/>
      <c r="D154" s="81"/>
      <c r="E154" s="82"/>
      <c r="F154" s="10">
        <v>694</v>
      </c>
      <c r="G154" s="10">
        <v>1</v>
      </c>
      <c r="H154" s="10">
        <v>0</v>
      </c>
      <c r="I154" s="10">
        <v>0</v>
      </c>
      <c r="J154" s="10">
        <v>0</v>
      </c>
      <c r="K154" s="10">
        <v>0</v>
      </c>
      <c r="L154" s="41"/>
      <c r="M154" s="201">
        <v>732</v>
      </c>
      <c r="N154" s="201">
        <v>4262</v>
      </c>
      <c r="O154" s="201">
        <v>552</v>
      </c>
      <c r="P154" s="201">
        <v>3862</v>
      </c>
      <c r="Q154" s="201">
        <v>5</v>
      </c>
      <c r="R154" s="201">
        <v>202</v>
      </c>
      <c r="S154" s="47" t="s">
        <v>68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0</v>
      </c>
    </row>
    <row r="155" spans="1:25" ht="18" customHeight="1" x14ac:dyDescent="0.3">
      <c r="A155" s="80" t="s">
        <v>8</v>
      </c>
      <c r="B155" s="81"/>
      <c r="C155" s="81"/>
      <c r="D155" s="81"/>
      <c r="E155" s="82"/>
      <c r="F155" s="10">
        <v>5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41"/>
      <c r="M155" s="202"/>
      <c r="N155" s="202"/>
      <c r="O155" s="202"/>
      <c r="P155" s="202"/>
      <c r="Q155" s="202"/>
      <c r="R155" s="202"/>
      <c r="S155" s="47" t="s">
        <v>69</v>
      </c>
      <c r="T155" s="29">
        <v>0</v>
      </c>
      <c r="U155" s="29">
        <v>0</v>
      </c>
      <c r="V155" s="29">
        <v>0</v>
      </c>
      <c r="W155" s="29">
        <v>0</v>
      </c>
      <c r="X155" s="29">
        <v>0</v>
      </c>
      <c r="Y155" s="29">
        <v>0</v>
      </c>
    </row>
    <row r="156" spans="1:25" ht="18" customHeight="1" x14ac:dyDescent="0.25">
      <c r="A156" s="86" t="s">
        <v>84</v>
      </c>
      <c r="B156" s="87"/>
      <c r="C156" s="87"/>
      <c r="D156" s="87"/>
      <c r="E156" s="88"/>
      <c r="F156" s="10">
        <v>4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41"/>
      <c r="M156" s="202"/>
      <c r="N156" s="202"/>
      <c r="O156" s="202"/>
      <c r="P156" s="202"/>
      <c r="Q156" s="202"/>
      <c r="R156" s="202"/>
      <c r="S156" s="89" t="s">
        <v>70</v>
      </c>
      <c r="T156" s="83">
        <v>0</v>
      </c>
      <c r="U156" s="83">
        <v>5</v>
      </c>
      <c r="V156" s="83">
        <v>0</v>
      </c>
      <c r="W156" s="83">
        <v>0</v>
      </c>
      <c r="X156" s="83">
        <v>0</v>
      </c>
      <c r="Y156" s="83">
        <v>0</v>
      </c>
    </row>
    <row r="157" spans="1:25" ht="18" customHeight="1" x14ac:dyDescent="0.25">
      <c r="A157" s="68" t="s">
        <v>7</v>
      </c>
      <c r="B157" s="69"/>
      <c r="C157" s="69"/>
      <c r="D157" s="69"/>
      <c r="E157" s="70"/>
      <c r="F157" s="10">
        <v>703</v>
      </c>
      <c r="G157" s="10">
        <v>1</v>
      </c>
      <c r="H157" s="10">
        <v>0</v>
      </c>
      <c r="I157" s="10">
        <v>0</v>
      </c>
      <c r="J157" s="10">
        <v>0</v>
      </c>
      <c r="K157" s="10">
        <v>0</v>
      </c>
      <c r="L157" s="41"/>
      <c r="M157" s="203"/>
      <c r="N157" s="203"/>
      <c r="O157" s="203"/>
      <c r="P157" s="203"/>
      <c r="Q157" s="203"/>
      <c r="R157" s="203"/>
      <c r="S157" s="90"/>
      <c r="T157" s="85"/>
      <c r="U157" s="85"/>
      <c r="V157" s="85"/>
      <c r="W157" s="85"/>
      <c r="X157" s="85"/>
      <c r="Y157" s="85"/>
    </row>
    <row r="158" spans="1:25" ht="23.4" x14ac:dyDescent="0.45">
      <c r="A158" s="120" t="s">
        <v>17</v>
      </c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</row>
    <row r="159" spans="1:25" ht="23.4" x14ac:dyDescent="0.25">
      <c r="A159" s="111" t="s">
        <v>18</v>
      </c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"/>
      <c r="U159" s="112" t="s">
        <v>19</v>
      </c>
      <c r="V159" s="112"/>
      <c r="W159" s="1"/>
      <c r="X159" s="1"/>
      <c r="Y159" s="1"/>
    </row>
    <row r="160" spans="1:25" ht="30.9" customHeight="1" x14ac:dyDescent="0.25">
      <c r="A160" s="113" t="s">
        <v>20</v>
      </c>
      <c r="B160" s="113"/>
      <c r="C160" s="113"/>
      <c r="D160" s="113"/>
      <c r="E160" s="204" t="s">
        <v>90</v>
      </c>
      <c r="F160" s="204"/>
      <c r="G160" s="204"/>
      <c r="H160" s="116" t="s">
        <v>22</v>
      </c>
      <c r="I160" s="116"/>
      <c r="J160" s="115">
        <v>0</v>
      </c>
      <c r="K160" s="115"/>
      <c r="L160" s="116" t="s">
        <v>23</v>
      </c>
      <c r="M160" s="116"/>
      <c r="N160" s="204" t="s">
        <v>15</v>
      </c>
      <c r="O160" s="204"/>
      <c r="P160" s="204"/>
      <c r="Q160" s="118" t="s">
        <v>24</v>
      </c>
      <c r="R160" s="118"/>
      <c r="S160" s="118"/>
      <c r="T160" s="118"/>
      <c r="U160" s="119" t="s">
        <v>88</v>
      </c>
      <c r="V160" s="119"/>
      <c r="W160" s="119"/>
      <c r="X160" s="147" t="s">
        <v>93</v>
      </c>
      <c r="Y160" s="147"/>
    </row>
    <row r="161" spans="1:27" ht="15" customHeight="1" x14ac:dyDescent="0.25">
      <c r="Q161" s="118"/>
      <c r="R161" s="118"/>
      <c r="S161" s="118"/>
      <c r="T161" s="118"/>
      <c r="U161" s="119"/>
      <c r="V161" s="119"/>
      <c r="W161" s="119"/>
      <c r="X161" s="147"/>
      <c r="Y161" s="147"/>
    </row>
    <row r="162" spans="1:27" ht="15.6" x14ac:dyDescent="0.3">
      <c r="A162" s="166" t="s">
        <v>26</v>
      </c>
      <c r="B162" s="166"/>
      <c r="C162" s="166"/>
      <c r="D162" s="166"/>
      <c r="E162" s="166"/>
      <c r="F162" s="166"/>
      <c r="G162" s="167" t="s">
        <v>27</v>
      </c>
      <c r="H162" s="167"/>
      <c r="I162" s="167"/>
      <c r="J162" s="167"/>
      <c r="K162" s="167"/>
      <c r="L162" s="167"/>
      <c r="M162" s="167"/>
      <c r="N162" s="2"/>
      <c r="Q162" s="168" t="s">
        <v>28</v>
      </c>
      <c r="R162" s="168"/>
      <c r="S162" s="168"/>
      <c r="T162" s="168"/>
      <c r="U162" s="168"/>
      <c r="V162" s="148" t="s">
        <v>29</v>
      </c>
      <c r="W162" s="148"/>
      <c r="X162" s="148"/>
      <c r="Y162" s="148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7" ht="15" customHeight="1" x14ac:dyDescent="0.25">
      <c r="A164" s="149" t="s">
        <v>31</v>
      </c>
      <c r="B164" s="150"/>
      <c r="C164" s="150"/>
      <c r="D164" s="150"/>
      <c r="E164" s="150"/>
      <c r="F164" s="150"/>
      <c r="G164" s="150"/>
      <c r="H164" s="150"/>
      <c r="I164" s="151"/>
      <c r="J164" s="152" t="s">
        <v>32</v>
      </c>
      <c r="K164" s="153"/>
      <c r="L164" s="152" t="s">
        <v>33</v>
      </c>
      <c r="M164" s="153"/>
      <c r="N164" s="91" t="s">
        <v>34</v>
      </c>
      <c r="O164" s="92"/>
      <c r="P164" s="152" t="s">
        <v>35</v>
      </c>
      <c r="Q164" s="153"/>
      <c r="R164" s="68" t="s">
        <v>36</v>
      </c>
      <c r="S164" s="69"/>
      <c r="T164" s="69"/>
      <c r="U164" s="69"/>
      <c r="V164" s="69"/>
      <c r="W164" s="70"/>
      <c r="X164" s="152" t="s">
        <v>7</v>
      </c>
      <c r="Y164" s="153"/>
    </row>
    <row r="165" spans="1:27" ht="23.25" customHeight="1" x14ac:dyDescent="0.25">
      <c r="A165" s="158" t="s">
        <v>37</v>
      </c>
      <c r="B165" s="159"/>
      <c r="C165" s="159"/>
      <c r="D165" s="159"/>
      <c r="E165" s="159"/>
      <c r="F165" s="159"/>
      <c r="G165" s="159"/>
      <c r="H165" s="159"/>
      <c r="I165" s="160"/>
      <c r="J165" s="154"/>
      <c r="K165" s="155"/>
      <c r="L165" s="154"/>
      <c r="M165" s="155"/>
      <c r="N165" s="93"/>
      <c r="O165" s="94"/>
      <c r="P165" s="154"/>
      <c r="Q165" s="155"/>
      <c r="R165" s="164" t="s">
        <v>38</v>
      </c>
      <c r="S165" s="164"/>
      <c r="T165" s="164" t="s">
        <v>39</v>
      </c>
      <c r="U165" s="164"/>
      <c r="V165" s="164" t="s">
        <v>40</v>
      </c>
      <c r="W165" s="164"/>
      <c r="X165" s="154"/>
      <c r="Y165" s="155"/>
    </row>
    <row r="166" spans="1:27" x14ac:dyDescent="0.25">
      <c r="A166" s="161"/>
      <c r="B166" s="162"/>
      <c r="C166" s="162"/>
      <c r="D166" s="162"/>
      <c r="E166" s="162"/>
      <c r="F166" s="162"/>
      <c r="G166" s="162"/>
      <c r="H166" s="162"/>
      <c r="I166" s="163"/>
      <c r="J166" s="156"/>
      <c r="K166" s="157"/>
      <c r="L166" s="156"/>
      <c r="M166" s="157"/>
      <c r="N166" s="95"/>
      <c r="O166" s="96"/>
      <c r="P166" s="156"/>
      <c r="Q166" s="157"/>
      <c r="R166" s="165"/>
      <c r="S166" s="165"/>
      <c r="T166" s="165"/>
      <c r="U166" s="165"/>
      <c r="V166" s="165"/>
      <c r="W166" s="165"/>
      <c r="X166" s="156"/>
      <c r="Y166" s="157"/>
    </row>
    <row r="167" spans="1:27" ht="18" customHeight="1" x14ac:dyDescent="0.3">
      <c r="A167" s="106" t="s">
        <v>41</v>
      </c>
      <c r="B167" s="107"/>
      <c r="C167" s="107"/>
      <c r="D167" s="107"/>
      <c r="E167" s="107"/>
      <c r="F167" s="107"/>
      <c r="G167" s="107"/>
      <c r="H167" s="107"/>
      <c r="I167" s="108"/>
      <c r="J167" s="170">
        <v>2924</v>
      </c>
      <c r="K167" s="171"/>
      <c r="L167" s="170">
        <v>188</v>
      </c>
      <c r="M167" s="171"/>
      <c r="N167" s="170">
        <v>0</v>
      </c>
      <c r="O167" s="171"/>
      <c r="P167" s="170">
        <v>3112</v>
      </c>
      <c r="Q167" s="171"/>
      <c r="R167" s="170">
        <v>2</v>
      </c>
      <c r="S167" s="171"/>
      <c r="T167" s="170">
        <v>1</v>
      </c>
      <c r="U167" s="171"/>
      <c r="V167" s="170">
        <v>3</v>
      </c>
      <c r="W167" s="171"/>
      <c r="X167" s="172">
        <v>3118</v>
      </c>
      <c r="Y167" s="173"/>
    </row>
    <row r="168" spans="1:27" ht="18" customHeight="1" x14ac:dyDescent="0.3">
      <c r="A168" s="106" t="s">
        <v>42</v>
      </c>
      <c r="B168" s="107"/>
      <c r="C168" s="107"/>
      <c r="D168" s="107"/>
      <c r="E168" s="107"/>
      <c r="F168" s="107"/>
      <c r="G168" s="107"/>
      <c r="H168" s="107"/>
      <c r="I168" s="108"/>
      <c r="J168" s="170">
        <v>1681</v>
      </c>
      <c r="K168" s="171"/>
      <c r="L168" s="170">
        <v>27</v>
      </c>
      <c r="M168" s="171"/>
      <c r="N168" s="170">
        <v>4</v>
      </c>
      <c r="O168" s="171"/>
      <c r="P168" s="170">
        <v>1712</v>
      </c>
      <c r="Q168" s="171"/>
      <c r="R168" s="170">
        <v>0</v>
      </c>
      <c r="S168" s="171"/>
      <c r="T168" s="170">
        <v>0</v>
      </c>
      <c r="U168" s="171"/>
      <c r="V168" s="170">
        <v>13</v>
      </c>
      <c r="W168" s="171"/>
      <c r="X168" s="172">
        <v>1725</v>
      </c>
      <c r="Y168" s="173"/>
    </row>
    <row r="169" spans="1:27" ht="18" customHeight="1" x14ac:dyDescent="0.3">
      <c r="A169" s="106" t="s">
        <v>43</v>
      </c>
      <c r="B169" s="107"/>
      <c r="C169" s="107"/>
      <c r="D169" s="107"/>
      <c r="E169" s="107"/>
      <c r="F169" s="107"/>
      <c r="G169" s="107"/>
      <c r="H169" s="107"/>
      <c r="I169" s="108"/>
      <c r="J169" s="170">
        <v>3</v>
      </c>
      <c r="K169" s="171"/>
      <c r="L169" s="170">
        <v>0</v>
      </c>
      <c r="M169" s="171"/>
      <c r="N169" s="170">
        <v>0</v>
      </c>
      <c r="O169" s="171"/>
      <c r="P169" s="170">
        <v>3</v>
      </c>
      <c r="Q169" s="171"/>
      <c r="R169" s="170">
        <v>0</v>
      </c>
      <c r="S169" s="171"/>
      <c r="T169" s="170">
        <v>0</v>
      </c>
      <c r="U169" s="171"/>
      <c r="V169" s="170">
        <v>0</v>
      </c>
      <c r="W169" s="171"/>
      <c r="X169" s="172">
        <v>3</v>
      </c>
      <c r="Y169" s="173"/>
    </row>
    <row r="170" spans="1:27" ht="18" customHeight="1" x14ac:dyDescent="0.3">
      <c r="A170" s="106" t="s">
        <v>44</v>
      </c>
      <c r="B170" s="107"/>
      <c r="C170" s="107"/>
      <c r="D170" s="107"/>
      <c r="E170" s="107"/>
      <c r="F170" s="107"/>
      <c r="G170" s="107"/>
      <c r="H170" s="107"/>
      <c r="I170" s="108"/>
      <c r="J170" s="170">
        <v>1625</v>
      </c>
      <c r="K170" s="171"/>
      <c r="L170" s="170">
        <v>8</v>
      </c>
      <c r="M170" s="171"/>
      <c r="N170" s="170">
        <v>4</v>
      </c>
      <c r="O170" s="171"/>
      <c r="P170" s="170">
        <v>1637</v>
      </c>
      <c r="Q170" s="171"/>
      <c r="R170" s="170">
        <v>0</v>
      </c>
      <c r="S170" s="171"/>
      <c r="T170" s="170">
        <v>0</v>
      </c>
      <c r="U170" s="171"/>
      <c r="V170" s="170">
        <v>10</v>
      </c>
      <c r="W170" s="171"/>
      <c r="X170" s="172">
        <v>1647</v>
      </c>
      <c r="Y170" s="173"/>
    </row>
    <row r="171" spans="1:27" ht="18" customHeight="1" x14ac:dyDescent="0.3">
      <c r="A171" s="106" t="s">
        <v>7</v>
      </c>
      <c r="B171" s="107"/>
      <c r="C171" s="107"/>
      <c r="D171" s="107"/>
      <c r="E171" s="107"/>
      <c r="F171" s="107"/>
      <c r="G171" s="107"/>
      <c r="H171" s="107"/>
      <c r="I171" s="108"/>
      <c r="J171" s="170">
        <v>6233</v>
      </c>
      <c r="K171" s="171"/>
      <c r="L171" s="170">
        <v>223</v>
      </c>
      <c r="M171" s="171"/>
      <c r="N171" s="170">
        <v>8</v>
      </c>
      <c r="O171" s="171"/>
      <c r="P171" s="170">
        <v>6464</v>
      </c>
      <c r="Q171" s="171"/>
      <c r="R171" s="170">
        <v>2</v>
      </c>
      <c r="S171" s="171"/>
      <c r="T171" s="170">
        <v>1</v>
      </c>
      <c r="U171" s="171"/>
      <c r="V171" s="170">
        <v>26</v>
      </c>
      <c r="W171" s="171"/>
      <c r="X171" s="172">
        <v>6493</v>
      </c>
      <c r="Y171" s="173"/>
    </row>
    <row r="172" spans="1:27" ht="15.6" x14ac:dyDescent="0.3">
      <c r="A172" s="4" t="s">
        <v>45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"/>
      <c r="S172" s="6"/>
      <c r="T172" s="6"/>
      <c r="U172" s="6"/>
      <c r="V172" s="6"/>
      <c r="W172" s="6"/>
      <c r="X172" s="6"/>
      <c r="Y172" s="7"/>
    </row>
    <row r="173" spans="1:27" x14ac:dyDescent="0.25">
      <c r="A173" s="71"/>
      <c r="B173" s="72"/>
      <c r="C173" s="72"/>
      <c r="D173" s="72"/>
      <c r="E173" s="72"/>
      <c r="F173" s="72"/>
      <c r="G173" s="73"/>
      <c r="H173" s="68" t="s">
        <v>0</v>
      </c>
      <c r="I173" s="69"/>
      <c r="J173" s="136" t="s">
        <v>1</v>
      </c>
      <c r="K173" s="69"/>
      <c r="L173" s="134" t="s">
        <v>2</v>
      </c>
      <c r="M173" s="69"/>
      <c r="N173" s="134" t="s">
        <v>3</v>
      </c>
      <c r="O173" s="69"/>
      <c r="P173" s="134" t="s">
        <v>4</v>
      </c>
      <c r="Q173" s="135"/>
      <c r="R173" s="134" t="s">
        <v>5</v>
      </c>
      <c r="S173" s="69"/>
      <c r="T173" s="134" t="s">
        <v>6</v>
      </c>
      <c r="U173" s="69"/>
      <c r="V173" s="134" t="s">
        <v>46</v>
      </c>
      <c r="W173" s="69"/>
      <c r="X173" s="134" t="s">
        <v>7</v>
      </c>
      <c r="Y173" s="135"/>
    </row>
    <row r="174" spans="1:27" x14ac:dyDescent="0.25">
      <c r="A174" s="74"/>
      <c r="B174" s="75"/>
      <c r="C174" s="75"/>
      <c r="D174" s="75"/>
      <c r="E174" s="75"/>
      <c r="F174" s="75"/>
      <c r="G174" s="76"/>
      <c r="H174" s="10" t="s">
        <v>10</v>
      </c>
      <c r="I174" s="10" t="s">
        <v>11</v>
      </c>
      <c r="J174" s="10" t="s">
        <v>10</v>
      </c>
      <c r="K174" s="10" t="s">
        <v>11</v>
      </c>
      <c r="L174" s="10" t="s">
        <v>10</v>
      </c>
      <c r="M174" s="10" t="s">
        <v>11</v>
      </c>
      <c r="N174" s="10" t="s">
        <v>10</v>
      </c>
      <c r="O174" s="10" t="s">
        <v>11</v>
      </c>
      <c r="P174" s="10" t="s">
        <v>10</v>
      </c>
      <c r="Q174" s="10" t="s">
        <v>11</v>
      </c>
      <c r="R174" s="10" t="s">
        <v>10</v>
      </c>
      <c r="S174" s="10" t="s">
        <v>11</v>
      </c>
      <c r="T174" s="10" t="s">
        <v>10</v>
      </c>
      <c r="U174" s="10" t="s">
        <v>11</v>
      </c>
      <c r="V174" s="10" t="s">
        <v>10</v>
      </c>
      <c r="W174" s="10" t="s">
        <v>11</v>
      </c>
      <c r="X174" s="10" t="s">
        <v>10</v>
      </c>
      <c r="Y174" s="10" t="s">
        <v>11</v>
      </c>
    </row>
    <row r="175" spans="1:27" ht="18" customHeight="1" x14ac:dyDescent="0.25">
      <c r="A175" s="106" t="s">
        <v>41</v>
      </c>
      <c r="B175" s="107"/>
      <c r="C175" s="107"/>
      <c r="D175" s="107"/>
      <c r="E175" s="107"/>
      <c r="F175" s="107"/>
      <c r="G175" s="108"/>
      <c r="H175" s="10">
        <v>7</v>
      </c>
      <c r="I175" s="10">
        <v>2</v>
      </c>
      <c r="J175" s="10">
        <v>16</v>
      </c>
      <c r="K175" s="10">
        <v>63</v>
      </c>
      <c r="L175" s="10">
        <v>236</v>
      </c>
      <c r="M175" s="10">
        <v>323</v>
      </c>
      <c r="N175" s="10">
        <v>221</v>
      </c>
      <c r="O175" s="10">
        <v>231</v>
      </c>
      <c r="P175" s="10">
        <v>198</v>
      </c>
      <c r="Q175" s="10">
        <v>153</v>
      </c>
      <c r="R175" s="10">
        <v>216</v>
      </c>
      <c r="S175" s="10">
        <v>180</v>
      </c>
      <c r="T175" s="10">
        <v>284</v>
      </c>
      <c r="U175" s="10">
        <v>235</v>
      </c>
      <c r="V175" s="10">
        <v>427</v>
      </c>
      <c r="W175" s="10">
        <v>320</v>
      </c>
      <c r="X175" s="10">
        <v>1605</v>
      </c>
      <c r="Y175" s="10">
        <v>1507</v>
      </c>
      <c r="Z175" s="67">
        <v>3112</v>
      </c>
      <c r="AA175" s="67">
        <v>6</v>
      </c>
    </row>
    <row r="176" spans="1:27" ht="18" customHeight="1" x14ac:dyDescent="0.25">
      <c r="A176" s="106" t="s">
        <v>42</v>
      </c>
      <c r="B176" s="107"/>
      <c r="C176" s="107"/>
      <c r="D176" s="107"/>
      <c r="E176" s="107"/>
      <c r="F176" s="107"/>
      <c r="G176" s="108"/>
      <c r="H176" s="10">
        <v>19</v>
      </c>
      <c r="I176" s="10">
        <v>18</v>
      </c>
      <c r="J176" s="10">
        <v>33</v>
      </c>
      <c r="K176" s="10">
        <v>49</v>
      </c>
      <c r="L176" s="10">
        <v>91</v>
      </c>
      <c r="M176" s="10">
        <v>137</v>
      </c>
      <c r="N176" s="10">
        <v>114</v>
      </c>
      <c r="O176" s="10">
        <v>101</v>
      </c>
      <c r="P176" s="10">
        <v>113</v>
      </c>
      <c r="Q176" s="10">
        <v>112</v>
      </c>
      <c r="R176" s="10">
        <v>119</v>
      </c>
      <c r="S176" s="10">
        <v>115</v>
      </c>
      <c r="T176" s="10">
        <v>150</v>
      </c>
      <c r="U176" s="10">
        <v>144</v>
      </c>
      <c r="V176" s="10">
        <v>231</v>
      </c>
      <c r="W176" s="10">
        <v>173</v>
      </c>
      <c r="X176" s="10">
        <v>870</v>
      </c>
      <c r="Y176" s="10">
        <v>849</v>
      </c>
      <c r="Z176" s="67">
        <v>1719</v>
      </c>
      <c r="AA176" s="67">
        <v>6</v>
      </c>
    </row>
    <row r="177" spans="1:27" ht="18" customHeight="1" x14ac:dyDescent="0.25">
      <c r="A177" s="106" t="s">
        <v>43</v>
      </c>
      <c r="B177" s="107"/>
      <c r="C177" s="107"/>
      <c r="D177" s="107"/>
      <c r="E177" s="107"/>
      <c r="F177" s="107"/>
      <c r="G177" s="108"/>
      <c r="H177" s="10">
        <v>0</v>
      </c>
      <c r="I177" s="10">
        <v>0</v>
      </c>
      <c r="J177" s="10">
        <v>1</v>
      </c>
      <c r="K177" s="10">
        <v>0</v>
      </c>
      <c r="L177" s="10">
        <v>1</v>
      </c>
      <c r="M177" s="10">
        <v>0</v>
      </c>
      <c r="N177" s="10">
        <v>0</v>
      </c>
      <c r="O177" s="10">
        <v>1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2</v>
      </c>
      <c r="Y177" s="10">
        <v>1</v>
      </c>
      <c r="Z177" s="67">
        <v>3</v>
      </c>
      <c r="AA177" s="67">
        <v>0</v>
      </c>
    </row>
    <row r="178" spans="1:27" ht="18" customHeight="1" x14ac:dyDescent="0.25">
      <c r="A178" s="106" t="s">
        <v>44</v>
      </c>
      <c r="B178" s="107"/>
      <c r="C178" s="107"/>
      <c r="D178" s="107"/>
      <c r="E178" s="107"/>
      <c r="F178" s="107"/>
      <c r="G178" s="108"/>
      <c r="H178" s="10">
        <v>19</v>
      </c>
      <c r="I178" s="10">
        <v>11</v>
      </c>
      <c r="J178" s="10">
        <v>43</v>
      </c>
      <c r="K178" s="10">
        <v>40</v>
      </c>
      <c r="L178" s="10">
        <v>155</v>
      </c>
      <c r="M178" s="10">
        <v>167</v>
      </c>
      <c r="N178" s="10">
        <v>150</v>
      </c>
      <c r="O178" s="10">
        <v>146</v>
      </c>
      <c r="P178" s="10">
        <v>93</v>
      </c>
      <c r="Q178" s="10">
        <v>127</v>
      </c>
      <c r="R178" s="10">
        <v>95</v>
      </c>
      <c r="S178" s="10">
        <v>88</v>
      </c>
      <c r="T178" s="10">
        <v>138</v>
      </c>
      <c r="U178" s="10">
        <v>81</v>
      </c>
      <c r="V178" s="10">
        <v>183</v>
      </c>
      <c r="W178" s="10">
        <v>105</v>
      </c>
      <c r="X178" s="10">
        <v>876</v>
      </c>
      <c r="Y178" s="10">
        <v>765</v>
      </c>
      <c r="Z178" s="67">
        <v>1641</v>
      </c>
      <c r="AA178" s="67">
        <v>6</v>
      </c>
    </row>
    <row r="179" spans="1:27" ht="18" customHeight="1" x14ac:dyDescent="0.25">
      <c r="A179" s="106" t="s">
        <v>7</v>
      </c>
      <c r="B179" s="107"/>
      <c r="C179" s="107"/>
      <c r="D179" s="107"/>
      <c r="E179" s="107"/>
      <c r="F179" s="107"/>
      <c r="G179" s="108"/>
      <c r="H179" s="51">
        <v>45</v>
      </c>
      <c r="I179" s="51">
        <v>31</v>
      </c>
      <c r="J179" s="51">
        <v>93</v>
      </c>
      <c r="K179" s="51">
        <v>152</v>
      </c>
      <c r="L179" s="51">
        <v>483</v>
      </c>
      <c r="M179" s="51">
        <v>627</v>
      </c>
      <c r="N179" s="51">
        <v>485</v>
      </c>
      <c r="O179" s="51">
        <v>479</v>
      </c>
      <c r="P179" s="51">
        <v>404</v>
      </c>
      <c r="Q179" s="51">
        <v>392</v>
      </c>
      <c r="R179" s="51">
        <v>430</v>
      </c>
      <c r="S179" s="51">
        <v>383</v>
      </c>
      <c r="T179" s="51">
        <v>572</v>
      </c>
      <c r="U179" s="51">
        <v>460</v>
      </c>
      <c r="V179" s="51">
        <v>841</v>
      </c>
      <c r="W179" s="51">
        <v>598</v>
      </c>
      <c r="X179" s="51">
        <v>3353</v>
      </c>
      <c r="Y179" s="51">
        <v>3122</v>
      </c>
      <c r="Z179" s="67">
        <v>6475</v>
      </c>
      <c r="AA179" s="67">
        <v>18</v>
      </c>
    </row>
    <row r="180" spans="1:27" ht="6.75" customHeight="1" x14ac:dyDescent="0.25">
      <c r="A180" s="11"/>
      <c r="B180" s="12"/>
      <c r="C180" s="12"/>
      <c r="D180" s="12"/>
      <c r="E180" s="12"/>
      <c r="F180" s="13"/>
      <c r="G180" s="13"/>
      <c r="H180" s="13"/>
      <c r="I180" s="13"/>
      <c r="J180" s="13"/>
      <c r="K180" s="13"/>
      <c r="L180" s="14"/>
      <c r="M180" s="13"/>
      <c r="N180" s="15"/>
      <c r="O180" s="16"/>
      <c r="P180" s="13"/>
      <c r="Q180" s="13"/>
      <c r="R180" s="13"/>
      <c r="S180" s="13"/>
      <c r="T180" s="13"/>
      <c r="U180" s="13"/>
      <c r="V180" s="13"/>
      <c r="W180" s="13"/>
      <c r="X180" s="13"/>
      <c r="Y180" s="17"/>
    </row>
    <row r="181" spans="1:27" ht="18" customHeight="1" x14ac:dyDescent="0.3">
      <c r="A181" s="18" t="s">
        <v>47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20"/>
      <c r="L181" s="21"/>
      <c r="M181" s="18" t="s">
        <v>48</v>
      </c>
      <c r="N181" s="19"/>
      <c r="O181" s="19"/>
      <c r="P181" s="19"/>
      <c r="Q181" s="22"/>
      <c r="R181" s="22"/>
      <c r="S181" s="22"/>
      <c r="T181" s="22"/>
      <c r="U181" s="22"/>
      <c r="V181" s="22"/>
      <c r="W181" s="22"/>
      <c r="X181" s="22"/>
      <c r="Y181" s="23"/>
    </row>
    <row r="182" spans="1:27" ht="57.75" customHeight="1" x14ac:dyDescent="0.25">
      <c r="A182" s="101" t="s">
        <v>49</v>
      </c>
      <c r="B182" s="101" t="s">
        <v>50</v>
      </c>
      <c r="C182" s="101" t="s">
        <v>51</v>
      </c>
      <c r="D182" s="77" t="s">
        <v>52</v>
      </c>
      <c r="E182" s="78"/>
      <c r="F182" s="77" t="s">
        <v>53</v>
      </c>
      <c r="G182" s="79"/>
      <c r="H182" s="79"/>
      <c r="I182" s="78"/>
      <c r="J182" s="101" t="s">
        <v>54</v>
      </c>
      <c r="K182" s="101" t="s">
        <v>55</v>
      </c>
      <c r="L182" s="24"/>
      <c r="M182" s="86" t="s">
        <v>56</v>
      </c>
      <c r="N182" s="88"/>
      <c r="O182" s="86" t="s">
        <v>57</v>
      </c>
      <c r="P182" s="88"/>
      <c r="Q182" s="86" t="s">
        <v>58</v>
      </c>
      <c r="R182" s="87"/>
      <c r="S182" s="87"/>
      <c r="T182" s="87"/>
      <c r="U182" s="87"/>
      <c r="V182" s="87"/>
      <c r="W182" s="87"/>
      <c r="X182" s="87"/>
      <c r="Y182" s="88"/>
    </row>
    <row r="183" spans="1:27" ht="38.25" customHeight="1" x14ac:dyDescent="0.25">
      <c r="A183" s="102"/>
      <c r="B183" s="102"/>
      <c r="C183" s="102"/>
      <c r="D183" s="25" t="s">
        <v>59</v>
      </c>
      <c r="E183" s="25" t="s">
        <v>60</v>
      </c>
      <c r="F183" s="26" t="s">
        <v>59</v>
      </c>
      <c r="G183" s="26" t="s">
        <v>60</v>
      </c>
      <c r="H183" s="26" t="s">
        <v>61</v>
      </c>
      <c r="I183" s="26" t="s">
        <v>62</v>
      </c>
      <c r="J183" s="102"/>
      <c r="K183" s="102"/>
      <c r="L183" s="24"/>
      <c r="M183" s="91">
        <v>0</v>
      </c>
      <c r="N183" s="92"/>
      <c r="O183" s="91">
        <v>0</v>
      </c>
      <c r="P183" s="92"/>
      <c r="Q183" s="86">
        <v>0</v>
      </c>
      <c r="R183" s="87"/>
      <c r="S183" s="87"/>
      <c r="T183" s="87"/>
      <c r="U183" s="87"/>
      <c r="V183" s="87"/>
      <c r="W183" s="87"/>
      <c r="X183" s="87"/>
      <c r="Y183" s="88"/>
    </row>
    <row r="184" spans="1:27" ht="38.25" customHeight="1" x14ac:dyDescent="0.25">
      <c r="A184" s="103">
        <v>1135459</v>
      </c>
      <c r="B184" s="103">
        <v>38259</v>
      </c>
      <c r="C184" s="103">
        <v>4627</v>
      </c>
      <c r="D184" s="103">
        <v>25104</v>
      </c>
      <c r="E184" s="103">
        <v>16977</v>
      </c>
      <c r="F184" s="103">
        <v>2</v>
      </c>
      <c r="G184" s="103">
        <v>0</v>
      </c>
      <c r="H184" s="103">
        <v>2485</v>
      </c>
      <c r="I184" s="103">
        <v>3062</v>
      </c>
      <c r="J184" s="103">
        <v>3569</v>
      </c>
      <c r="K184" s="103">
        <v>4191</v>
      </c>
      <c r="L184" s="24"/>
      <c r="M184" s="91" t="s">
        <v>63</v>
      </c>
      <c r="N184" s="92"/>
      <c r="O184" s="91" t="s">
        <v>64</v>
      </c>
      <c r="P184" s="92"/>
      <c r="Q184" s="95" t="s">
        <v>65</v>
      </c>
      <c r="R184" s="99"/>
      <c r="S184" s="96"/>
      <c r="T184" s="95" t="s">
        <v>66</v>
      </c>
      <c r="U184" s="99"/>
      <c r="V184" s="99"/>
      <c r="W184" s="99"/>
      <c r="X184" s="99"/>
      <c r="Y184" s="96"/>
    </row>
    <row r="185" spans="1:27" ht="19.5" customHeight="1" x14ac:dyDescent="0.2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27"/>
      <c r="M185" s="91">
        <v>0</v>
      </c>
      <c r="N185" s="92"/>
      <c r="O185" s="91">
        <v>0</v>
      </c>
      <c r="P185" s="92"/>
      <c r="Q185" s="91">
        <v>0</v>
      </c>
      <c r="R185" s="97"/>
      <c r="S185" s="92"/>
      <c r="T185" s="28"/>
      <c r="U185" s="86" t="s">
        <v>0</v>
      </c>
      <c r="V185" s="88"/>
      <c r="W185" s="29" t="s">
        <v>1</v>
      </c>
      <c r="X185" s="86" t="s">
        <v>67</v>
      </c>
      <c r="Y185" s="88"/>
    </row>
    <row r="186" spans="1:27" ht="18" customHeight="1" x14ac:dyDescent="0.25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27"/>
      <c r="M186" s="93"/>
      <c r="N186" s="94"/>
      <c r="O186" s="93"/>
      <c r="P186" s="94"/>
      <c r="Q186" s="93"/>
      <c r="R186" s="98"/>
      <c r="S186" s="94"/>
      <c r="T186" s="30" t="s">
        <v>68</v>
      </c>
      <c r="U186" s="100">
        <v>0</v>
      </c>
      <c r="V186" s="100"/>
      <c r="W186" s="29">
        <v>0</v>
      </c>
      <c r="X186" s="100">
        <v>0</v>
      </c>
      <c r="Y186" s="100"/>
    </row>
    <row r="187" spans="1:27" ht="18" customHeight="1" x14ac:dyDescent="0.25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27"/>
      <c r="M187" s="93"/>
      <c r="N187" s="94"/>
      <c r="O187" s="93"/>
      <c r="P187" s="94"/>
      <c r="Q187" s="93"/>
      <c r="R187" s="98"/>
      <c r="S187" s="94"/>
      <c r="T187" s="30" t="s">
        <v>69</v>
      </c>
      <c r="U187" s="100">
        <v>0</v>
      </c>
      <c r="V187" s="100"/>
      <c r="W187" s="29">
        <v>0</v>
      </c>
      <c r="X187" s="100">
        <v>0</v>
      </c>
      <c r="Y187" s="100"/>
    </row>
    <row r="188" spans="1:27" ht="18" customHeight="1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27"/>
      <c r="M188" s="95"/>
      <c r="N188" s="96"/>
      <c r="O188" s="95"/>
      <c r="P188" s="96"/>
      <c r="Q188" s="95"/>
      <c r="R188" s="99"/>
      <c r="S188" s="96"/>
      <c r="T188" s="30" t="s">
        <v>70</v>
      </c>
      <c r="U188" s="100">
        <v>0</v>
      </c>
      <c r="V188" s="100"/>
      <c r="W188" s="29">
        <v>0</v>
      </c>
      <c r="X188" s="100">
        <v>0</v>
      </c>
      <c r="Y188" s="100"/>
    </row>
    <row r="189" spans="1:27" ht="8.25" customHeight="1" x14ac:dyDescent="0.25">
      <c r="A189" s="31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3"/>
      <c r="M189" s="32"/>
      <c r="N189" s="32"/>
      <c r="O189" s="32"/>
      <c r="P189" s="32"/>
      <c r="Q189" s="32"/>
      <c r="R189" s="34"/>
      <c r="S189" s="34"/>
      <c r="T189" s="34"/>
      <c r="U189" s="34"/>
      <c r="V189" s="34"/>
      <c r="W189" s="32"/>
      <c r="X189" s="32"/>
      <c r="Y189" s="7"/>
    </row>
    <row r="190" spans="1:27" ht="18" customHeight="1" x14ac:dyDescent="0.3">
      <c r="A190" s="63" t="s">
        <v>71</v>
      </c>
      <c r="B190" s="64"/>
      <c r="C190" s="64"/>
      <c r="D190" s="64"/>
      <c r="E190" s="64"/>
      <c r="F190" s="64"/>
      <c r="G190" s="64"/>
      <c r="H190" s="64"/>
      <c r="I190" s="64"/>
      <c r="J190" s="64"/>
      <c r="K190" s="65"/>
      <c r="L190" s="35"/>
      <c r="M190" s="18" t="s">
        <v>72</v>
      </c>
      <c r="N190" s="20"/>
      <c r="O190" s="36"/>
      <c r="P190" s="19"/>
      <c r="Q190" s="19"/>
      <c r="R190" s="19"/>
      <c r="S190" s="19"/>
      <c r="T190" s="19"/>
      <c r="U190" s="19"/>
      <c r="V190" s="19"/>
      <c r="W190" s="22"/>
      <c r="X190" s="22"/>
      <c r="Y190" s="37"/>
    </row>
    <row r="191" spans="1:27" ht="57" customHeight="1" x14ac:dyDescent="0.25">
      <c r="A191" s="71"/>
      <c r="B191" s="72"/>
      <c r="C191" s="72"/>
      <c r="D191" s="72"/>
      <c r="E191" s="73"/>
      <c r="F191" s="68" t="s">
        <v>12</v>
      </c>
      <c r="G191" s="70"/>
      <c r="H191" s="68" t="s">
        <v>13</v>
      </c>
      <c r="I191" s="70"/>
      <c r="J191" s="38" t="s">
        <v>73</v>
      </c>
      <c r="K191" s="39"/>
      <c r="L191" s="40"/>
      <c r="M191" s="77" t="s">
        <v>74</v>
      </c>
      <c r="N191" s="78"/>
      <c r="O191" s="77" t="s">
        <v>75</v>
      </c>
      <c r="P191" s="78"/>
      <c r="Q191" s="77" t="s">
        <v>76</v>
      </c>
      <c r="R191" s="78"/>
      <c r="S191" s="77" t="s">
        <v>77</v>
      </c>
      <c r="T191" s="79"/>
      <c r="U191" s="79"/>
      <c r="V191" s="78"/>
      <c r="W191" s="77" t="s">
        <v>78</v>
      </c>
      <c r="X191" s="79"/>
      <c r="Y191" s="78"/>
    </row>
    <row r="192" spans="1:27" ht="20.25" customHeight="1" x14ac:dyDescent="0.25">
      <c r="A192" s="74"/>
      <c r="B192" s="75"/>
      <c r="C192" s="75"/>
      <c r="D192" s="75"/>
      <c r="E192" s="76"/>
      <c r="F192" s="10" t="s">
        <v>79</v>
      </c>
      <c r="G192" s="10" t="s">
        <v>14</v>
      </c>
      <c r="H192" s="10" t="s">
        <v>79</v>
      </c>
      <c r="I192" s="10" t="s">
        <v>14</v>
      </c>
      <c r="J192" s="10" t="s">
        <v>79</v>
      </c>
      <c r="K192" s="10" t="s">
        <v>14</v>
      </c>
      <c r="L192" s="41"/>
      <c r="M192" s="44" t="s">
        <v>80</v>
      </c>
      <c r="N192" s="44" t="s">
        <v>81</v>
      </c>
      <c r="O192" s="44" t="s">
        <v>80</v>
      </c>
      <c r="P192" s="59" t="s">
        <v>81</v>
      </c>
      <c r="Q192" s="44" t="s">
        <v>80</v>
      </c>
      <c r="R192" s="44" t="s">
        <v>81</v>
      </c>
      <c r="S192" s="44"/>
      <c r="T192" s="44" t="s">
        <v>0</v>
      </c>
      <c r="U192" s="58" t="s">
        <v>1</v>
      </c>
      <c r="V192" s="61" t="s">
        <v>82</v>
      </c>
      <c r="W192" s="44" t="s">
        <v>0</v>
      </c>
      <c r="X192" s="58" t="s">
        <v>1</v>
      </c>
      <c r="Y192" s="61" t="s">
        <v>82</v>
      </c>
    </row>
    <row r="193" spans="1:25" ht="18" customHeight="1" x14ac:dyDescent="0.3">
      <c r="A193" s="80" t="s">
        <v>83</v>
      </c>
      <c r="B193" s="81"/>
      <c r="C193" s="81"/>
      <c r="D193" s="81"/>
      <c r="E193" s="82"/>
      <c r="F193" s="51">
        <v>2889</v>
      </c>
      <c r="G193" s="51">
        <v>7</v>
      </c>
      <c r="H193" s="51">
        <v>1</v>
      </c>
      <c r="I193" s="51">
        <v>1</v>
      </c>
      <c r="J193" s="51">
        <v>0</v>
      </c>
      <c r="K193" s="51">
        <v>0</v>
      </c>
      <c r="L193" s="41"/>
      <c r="M193" s="201">
        <v>4482</v>
      </c>
      <c r="N193" s="201">
        <v>13363</v>
      </c>
      <c r="O193" s="201">
        <v>3164</v>
      </c>
      <c r="P193" s="201">
        <v>15893</v>
      </c>
      <c r="Q193" s="201">
        <v>38</v>
      </c>
      <c r="R193" s="201">
        <v>707</v>
      </c>
      <c r="S193" s="47" t="s">
        <v>68</v>
      </c>
      <c r="T193" s="10">
        <v>1</v>
      </c>
      <c r="U193" s="10">
        <v>4</v>
      </c>
      <c r="V193" s="10">
        <v>0</v>
      </c>
      <c r="W193" s="10">
        <v>0</v>
      </c>
      <c r="X193" s="10">
        <v>0</v>
      </c>
      <c r="Y193" s="10">
        <v>0</v>
      </c>
    </row>
    <row r="194" spans="1:25" ht="18" customHeight="1" x14ac:dyDescent="0.3">
      <c r="A194" s="80" t="s">
        <v>8</v>
      </c>
      <c r="B194" s="81"/>
      <c r="C194" s="81"/>
      <c r="D194" s="81"/>
      <c r="E194" s="82"/>
      <c r="F194" s="51">
        <v>18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41"/>
      <c r="M194" s="202"/>
      <c r="N194" s="202"/>
      <c r="O194" s="202"/>
      <c r="P194" s="202"/>
      <c r="Q194" s="202"/>
      <c r="R194" s="202"/>
      <c r="S194" s="47" t="s">
        <v>69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</row>
    <row r="195" spans="1:25" ht="18" customHeight="1" x14ac:dyDescent="0.25">
      <c r="A195" s="86" t="s">
        <v>84</v>
      </c>
      <c r="B195" s="87"/>
      <c r="C195" s="87"/>
      <c r="D195" s="87"/>
      <c r="E195" s="88"/>
      <c r="F195" s="51">
        <v>12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41"/>
      <c r="M195" s="202"/>
      <c r="N195" s="202"/>
      <c r="O195" s="202"/>
      <c r="P195" s="202"/>
      <c r="Q195" s="202"/>
      <c r="R195" s="202"/>
      <c r="S195" s="89" t="s">
        <v>70</v>
      </c>
      <c r="T195" s="83">
        <v>0</v>
      </c>
      <c r="U195" s="83">
        <v>5</v>
      </c>
      <c r="V195" s="83">
        <v>66</v>
      </c>
      <c r="W195" s="83">
        <v>0</v>
      </c>
      <c r="X195" s="83">
        <v>0</v>
      </c>
      <c r="Y195" s="83">
        <v>0</v>
      </c>
    </row>
    <row r="196" spans="1:25" ht="18" customHeight="1" x14ac:dyDescent="0.25">
      <c r="A196" s="68" t="s">
        <v>7</v>
      </c>
      <c r="B196" s="69"/>
      <c r="C196" s="69"/>
      <c r="D196" s="69"/>
      <c r="E196" s="70"/>
      <c r="F196" s="51">
        <v>2919</v>
      </c>
      <c r="G196" s="51">
        <v>7</v>
      </c>
      <c r="H196" s="51">
        <v>1</v>
      </c>
      <c r="I196" s="51">
        <v>1</v>
      </c>
      <c r="J196" s="51">
        <v>0</v>
      </c>
      <c r="K196" s="51">
        <v>0</v>
      </c>
      <c r="L196" s="41"/>
      <c r="M196" s="203"/>
      <c r="N196" s="203"/>
      <c r="O196" s="203"/>
      <c r="P196" s="203"/>
      <c r="Q196" s="203"/>
      <c r="R196" s="203"/>
      <c r="S196" s="90"/>
      <c r="T196" s="85"/>
      <c r="U196" s="85"/>
      <c r="V196" s="85"/>
      <c r="W196" s="85"/>
      <c r="X196" s="85"/>
      <c r="Y196" s="85"/>
    </row>
  </sheetData>
  <mergeCells count="755">
    <mergeCell ref="A196:E196"/>
    <mergeCell ref="A191:E192"/>
    <mergeCell ref="F191:G191"/>
    <mergeCell ref="H191:I191"/>
    <mergeCell ref="M191:N191"/>
    <mergeCell ref="O191:P191"/>
    <mergeCell ref="Q191:R191"/>
    <mergeCell ref="S191:V191"/>
    <mergeCell ref="W191:Y191"/>
    <mergeCell ref="A193:E193"/>
    <mergeCell ref="M193:M196"/>
    <mergeCell ref="N193:N196"/>
    <mergeCell ref="O193:O196"/>
    <mergeCell ref="P193:P196"/>
    <mergeCell ref="Q193:Q196"/>
    <mergeCell ref="R193:R196"/>
    <mergeCell ref="A194:E194"/>
    <mergeCell ref="A195:E195"/>
    <mergeCell ref="S195:S196"/>
    <mergeCell ref="T195:T196"/>
    <mergeCell ref="U195:U196"/>
    <mergeCell ref="V195:V196"/>
    <mergeCell ref="W195:W196"/>
    <mergeCell ref="X195:X196"/>
    <mergeCell ref="Y195:Y196"/>
    <mergeCell ref="O185:P188"/>
    <mergeCell ref="Q185:S188"/>
    <mergeCell ref="U185:V185"/>
    <mergeCell ref="X185:Y185"/>
    <mergeCell ref="U186:V186"/>
    <mergeCell ref="X186:Y186"/>
    <mergeCell ref="U187:V187"/>
    <mergeCell ref="X187:Y187"/>
    <mergeCell ref="U188:V188"/>
    <mergeCell ref="X188:Y188"/>
    <mergeCell ref="J182:J183"/>
    <mergeCell ref="K182:K183"/>
    <mergeCell ref="M182:N182"/>
    <mergeCell ref="O182:P182"/>
    <mergeCell ref="Q182:Y182"/>
    <mergeCell ref="M183:N183"/>
    <mergeCell ref="O183:P183"/>
    <mergeCell ref="Q183:Y183"/>
    <mergeCell ref="A184:A188"/>
    <mergeCell ref="B184:B188"/>
    <mergeCell ref="C184:C188"/>
    <mergeCell ref="D184:D188"/>
    <mergeCell ref="E184:E188"/>
    <mergeCell ref="F184:F188"/>
    <mergeCell ref="G184:G188"/>
    <mergeCell ref="H184:H188"/>
    <mergeCell ref="I184:I188"/>
    <mergeCell ref="J184:J188"/>
    <mergeCell ref="K184:K188"/>
    <mergeCell ref="M184:N184"/>
    <mergeCell ref="O184:P184"/>
    <mergeCell ref="Q184:S184"/>
    <mergeCell ref="T184:Y184"/>
    <mergeCell ref="M185:N188"/>
    <mergeCell ref="A176:G176"/>
    <mergeCell ref="A177:G177"/>
    <mergeCell ref="A178:G178"/>
    <mergeCell ref="A179:G179"/>
    <mergeCell ref="A182:A183"/>
    <mergeCell ref="B182:B183"/>
    <mergeCell ref="C182:C183"/>
    <mergeCell ref="D182:E182"/>
    <mergeCell ref="F182:I182"/>
    <mergeCell ref="A170:I170"/>
    <mergeCell ref="L170:M170"/>
    <mergeCell ref="N170:O170"/>
    <mergeCell ref="P170:Q170"/>
    <mergeCell ref="R170:S170"/>
    <mergeCell ref="T170:U170"/>
    <mergeCell ref="V170:W170"/>
    <mergeCell ref="X170:Y170"/>
    <mergeCell ref="J170:K170"/>
    <mergeCell ref="A167:I167"/>
    <mergeCell ref="A169:I169"/>
    <mergeCell ref="L169:M169"/>
    <mergeCell ref="N169:O169"/>
    <mergeCell ref="P169:Q169"/>
    <mergeCell ref="R169:S169"/>
    <mergeCell ref="T169:U169"/>
    <mergeCell ref="V169:W169"/>
    <mergeCell ref="X169:Y169"/>
    <mergeCell ref="A168:I168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Y156:Y157"/>
    <mergeCell ref="A157:E157"/>
    <mergeCell ref="A158:Y158"/>
    <mergeCell ref="A159:S159"/>
    <mergeCell ref="U159:V159"/>
    <mergeCell ref="A160:D160"/>
    <mergeCell ref="E160:G160"/>
    <mergeCell ref="J160:K160"/>
    <mergeCell ref="L160:M160"/>
    <mergeCell ref="N160:P160"/>
    <mergeCell ref="Q160:T161"/>
    <mergeCell ref="U160:W161"/>
    <mergeCell ref="X160:Y161"/>
    <mergeCell ref="S156:S157"/>
    <mergeCell ref="T156:T157"/>
    <mergeCell ref="U156:U157"/>
    <mergeCell ref="V156:V157"/>
    <mergeCell ref="W156:W157"/>
    <mergeCell ref="X156:X157"/>
    <mergeCell ref="H160:I160"/>
    <mergeCell ref="U149:V149"/>
    <mergeCell ref="X149:Y149"/>
    <mergeCell ref="A152:E153"/>
    <mergeCell ref="F152:G152"/>
    <mergeCell ref="H152:I152"/>
    <mergeCell ref="M152:N152"/>
    <mergeCell ref="O152:P152"/>
    <mergeCell ref="Q152:R152"/>
    <mergeCell ref="S152:V152"/>
    <mergeCell ref="W152:Y152"/>
    <mergeCell ref="O146:P149"/>
    <mergeCell ref="Q146:S149"/>
    <mergeCell ref="U146:V146"/>
    <mergeCell ref="X146:Y146"/>
    <mergeCell ref="U147:V147"/>
    <mergeCell ref="X147:Y147"/>
    <mergeCell ref="U148:V148"/>
    <mergeCell ref="X148:Y148"/>
    <mergeCell ref="J143:J144"/>
    <mergeCell ref="K143:K144"/>
    <mergeCell ref="M143:N143"/>
    <mergeCell ref="O143:P143"/>
    <mergeCell ref="Q143:Y143"/>
    <mergeCell ref="M144:N144"/>
    <mergeCell ref="O144:P144"/>
    <mergeCell ref="Q144:Y144"/>
    <mergeCell ref="A145:A149"/>
    <mergeCell ref="B145:B149"/>
    <mergeCell ref="C145:C149"/>
    <mergeCell ref="D145:D149"/>
    <mergeCell ref="E145:E149"/>
    <mergeCell ref="F145:F149"/>
    <mergeCell ref="G145:G149"/>
    <mergeCell ref="H145:H149"/>
    <mergeCell ref="I145:I149"/>
    <mergeCell ref="J145:J149"/>
    <mergeCell ref="K145:K149"/>
    <mergeCell ref="M145:N145"/>
    <mergeCell ref="O145:P145"/>
    <mergeCell ref="Q145:S145"/>
    <mergeCell ref="T145:Y145"/>
    <mergeCell ref="M146:N149"/>
    <mergeCell ref="A136:G136"/>
    <mergeCell ref="A137:G137"/>
    <mergeCell ref="A138:G138"/>
    <mergeCell ref="A139:G139"/>
    <mergeCell ref="A140:G140"/>
    <mergeCell ref="A143:A144"/>
    <mergeCell ref="B143:B144"/>
    <mergeCell ref="C143:C144"/>
    <mergeCell ref="D143:E143"/>
    <mergeCell ref="F143:I143"/>
    <mergeCell ref="A132:I132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A131:I13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N125:O127"/>
    <mergeCell ref="P125:Q127"/>
    <mergeCell ref="R125:W125"/>
    <mergeCell ref="X125:Y127"/>
    <mergeCell ref="A126:I127"/>
    <mergeCell ref="R126:S127"/>
    <mergeCell ref="T126:U127"/>
    <mergeCell ref="V126:W127"/>
    <mergeCell ref="L130:M130"/>
    <mergeCell ref="P130:Q130"/>
    <mergeCell ref="R130:S130"/>
    <mergeCell ref="T130:U130"/>
    <mergeCell ref="V130:W130"/>
    <mergeCell ref="X130:Y130"/>
    <mergeCell ref="J130:K130"/>
    <mergeCell ref="N130:O130"/>
    <mergeCell ref="A130:I130"/>
    <mergeCell ref="W113:Y113"/>
    <mergeCell ref="Y117:Y118"/>
    <mergeCell ref="A118:E118"/>
    <mergeCell ref="Q115:Q118"/>
    <mergeCell ref="R115:R118"/>
    <mergeCell ref="S117:S118"/>
    <mergeCell ref="T117:T118"/>
    <mergeCell ref="U117:U118"/>
    <mergeCell ref="V117:V118"/>
    <mergeCell ref="W117:W118"/>
    <mergeCell ref="X117:X118"/>
    <mergeCell ref="A113:E114"/>
    <mergeCell ref="F113:G113"/>
    <mergeCell ref="H113:I113"/>
    <mergeCell ref="V95:W95"/>
    <mergeCell ref="X95:Y95"/>
    <mergeCell ref="A104:A105"/>
    <mergeCell ref="B104:B105"/>
    <mergeCell ref="C104:C105"/>
    <mergeCell ref="D104:E104"/>
    <mergeCell ref="F104:I104"/>
    <mergeCell ref="J104:J105"/>
    <mergeCell ref="K104:K105"/>
    <mergeCell ref="M104:N104"/>
    <mergeCell ref="O104:P104"/>
    <mergeCell ref="Q104:Y104"/>
    <mergeCell ref="M105:N105"/>
    <mergeCell ref="O105:P105"/>
    <mergeCell ref="Q105:Y105"/>
    <mergeCell ref="A97:G97"/>
    <mergeCell ref="A95:G96"/>
    <mergeCell ref="H95:I95"/>
    <mergeCell ref="J95:K95"/>
    <mergeCell ref="L95:M95"/>
    <mergeCell ref="N95:O95"/>
    <mergeCell ref="P95:Q95"/>
    <mergeCell ref="A98:G98"/>
    <mergeCell ref="A99:G99"/>
    <mergeCell ref="V91:W91"/>
    <mergeCell ref="X91:Y91"/>
    <mergeCell ref="A90:I90"/>
    <mergeCell ref="X93:Y93"/>
    <mergeCell ref="J91:K91"/>
    <mergeCell ref="N91:O91"/>
    <mergeCell ref="V92:W92"/>
    <mergeCell ref="X92:Y92"/>
    <mergeCell ref="A93:I93"/>
    <mergeCell ref="L93:M93"/>
    <mergeCell ref="P93:Q93"/>
    <mergeCell ref="R93:S93"/>
    <mergeCell ref="T93:U93"/>
    <mergeCell ref="V93:W93"/>
    <mergeCell ref="N92:O92"/>
    <mergeCell ref="J93:K93"/>
    <mergeCell ref="N93:O93"/>
    <mergeCell ref="J92:K92"/>
    <mergeCell ref="A92:I92"/>
    <mergeCell ref="R92:S92"/>
    <mergeCell ref="T92:U92"/>
    <mergeCell ref="A91:I91"/>
    <mergeCell ref="L91:M91"/>
    <mergeCell ref="P91:Q91"/>
    <mergeCell ref="N82:P82"/>
    <mergeCell ref="Q82:T83"/>
    <mergeCell ref="U82:W83"/>
    <mergeCell ref="X82:Y83"/>
    <mergeCell ref="L90:M90"/>
    <mergeCell ref="P90:Q90"/>
    <mergeCell ref="R90:S90"/>
    <mergeCell ref="T90:U90"/>
    <mergeCell ref="V90:W90"/>
    <mergeCell ref="X90:Y90"/>
    <mergeCell ref="N90:O90"/>
    <mergeCell ref="X86:Y88"/>
    <mergeCell ref="X89:Y89"/>
    <mergeCell ref="V87:W88"/>
    <mergeCell ref="L82:M82"/>
    <mergeCell ref="F74:G74"/>
    <mergeCell ref="H74:I74"/>
    <mergeCell ref="M74:N74"/>
    <mergeCell ref="O74:P74"/>
    <mergeCell ref="Q74:R74"/>
    <mergeCell ref="S74:V74"/>
    <mergeCell ref="W74:Y74"/>
    <mergeCell ref="A76:E76"/>
    <mergeCell ref="M76:M79"/>
    <mergeCell ref="N76:N79"/>
    <mergeCell ref="O76:O79"/>
    <mergeCell ref="P76:P79"/>
    <mergeCell ref="Q76:Q79"/>
    <mergeCell ref="R76:R79"/>
    <mergeCell ref="A77:E77"/>
    <mergeCell ref="A78:E78"/>
    <mergeCell ref="S78:S79"/>
    <mergeCell ref="T78:T79"/>
    <mergeCell ref="U78:U79"/>
    <mergeCell ref="V78:V79"/>
    <mergeCell ref="W78:W79"/>
    <mergeCell ref="X78:X79"/>
    <mergeCell ref="Y78:Y79"/>
    <mergeCell ref="A74:E75"/>
    <mergeCell ref="T67:Y67"/>
    <mergeCell ref="M68:N71"/>
    <mergeCell ref="O68:P71"/>
    <mergeCell ref="Q68:S71"/>
    <mergeCell ref="X68:Y68"/>
    <mergeCell ref="U69:V69"/>
    <mergeCell ref="X69:Y69"/>
    <mergeCell ref="U70:V70"/>
    <mergeCell ref="X70:Y70"/>
    <mergeCell ref="U71:V71"/>
    <mergeCell ref="X71:Y71"/>
    <mergeCell ref="A54:I54"/>
    <mergeCell ref="L54:M54"/>
    <mergeCell ref="P54:Q54"/>
    <mergeCell ref="R54:S54"/>
    <mergeCell ref="T54:U54"/>
    <mergeCell ref="V54:W54"/>
    <mergeCell ref="X54:Y54"/>
    <mergeCell ref="J54:K54"/>
    <mergeCell ref="N54:O54"/>
    <mergeCell ref="A51:I51"/>
    <mergeCell ref="J51:K51"/>
    <mergeCell ref="L51:M51"/>
    <mergeCell ref="N51:O51"/>
    <mergeCell ref="P51:Q51"/>
    <mergeCell ref="R51:S51"/>
    <mergeCell ref="T51:U51"/>
    <mergeCell ref="V51:W51"/>
    <mergeCell ref="X51:Y51"/>
    <mergeCell ref="A47:I47"/>
    <mergeCell ref="J47:K49"/>
    <mergeCell ref="L47:M49"/>
    <mergeCell ref="N47:O49"/>
    <mergeCell ref="P47:Q49"/>
    <mergeCell ref="R47:W47"/>
    <mergeCell ref="X47:Y49"/>
    <mergeCell ref="A48:I49"/>
    <mergeCell ref="R48:S49"/>
    <mergeCell ref="T48:U49"/>
    <mergeCell ref="V48:W49"/>
    <mergeCell ref="V39:V40"/>
    <mergeCell ref="W39:W40"/>
    <mergeCell ref="Y39:Y40"/>
    <mergeCell ref="A40:E40"/>
    <mergeCell ref="A41:Y41"/>
    <mergeCell ref="A42:S42"/>
    <mergeCell ref="U42:V42"/>
    <mergeCell ref="Q45:U45"/>
    <mergeCell ref="V45:Y45"/>
    <mergeCell ref="A45:F45"/>
    <mergeCell ref="G45:M45"/>
    <mergeCell ref="A43:D43"/>
    <mergeCell ref="E43:G43"/>
    <mergeCell ref="H43:I43"/>
    <mergeCell ref="J43:K43"/>
    <mergeCell ref="L43:M43"/>
    <mergeCell ref="N43:P43"/>
    <mergeCell ref="O37:O40"/>
    <mergeCell ref="P37:P40"/>
    <mergeCell ref="Q37:Q40"/>
    <mergeCell ref="R37:R40"/>
    <mergeCell ref="A38:E38"/>
    <mergeCell ref="A39:E39"/>
    <mergeCell ref="S39:S40"/>
    <mergeCell ref="T39:T40"/>
    <mergeCell ref="U39:U40"/>
    <mergeCell ref="T15:U15"/>
    <mergeCell ref="V15:W15"/>
    <mergeCell ref="X15:Y15"/>
    <mergeCell ref="A26:A27"/>
    <mergeCell ref="B26:B27"/>
    <mergeCell ref="C26:C27"/>
    <mergeCell ref="D26:E26"/>
    <mergeCell ref="F26:I26"/>
    <mergeCell ref="J26:J27"/>
    <mergeCell ref="K26:K27"/>
    <mergeCell ref="M26:N26"/>
    <mergeCell ref="O26:P26"/>
    <mergeCell ref="Q26:Y26"/>
    <mergeCell ref="M27:N27"/>
    <mergeCell ref="O27:P27"/>
    <mergeCell ref="Q27:Y27"/>
    <mergeCell ref="A17:G18"/>
    <mergeCell ref="H17:I17"/>
    <mergeCell ref="L17:M17"/>
    <mergeCell ref="P17:Q17"/>
    <mergeCell ref="R17:S17"/>
    <mergeCell ref="T17:U17"/>
    <mergeCell ref="V17:W17"/>
    <mergeCell ref="X17:Y17"/>
    <mergeCell ref="A50:I50"/>
    <mergeCell ref="A2:Y2"/>
    <mergeCell ref="A3:S3"/>
    <mergeCell ref="U3:V3"/>
    <mergeCell ref="A4:D4"/>
    <mergeCell ref="E4:G4"/>
    <mergeCell ref="H4:I4"/>
    <mergeCell ref="J4:K4"/>
    <mergeCell ref="L4:M4"/>
    <mergeCell ref="N4:P4"/>
    <mergeCell ref="Q4:T5"/>
    <mergeCell ref="U4:W5"/>
    <mergeCell ref="X4:Y5"/>
    <mergeCell ref="J14:K14"/>
    <mergeCell ref="L14:M14"/>
    <mergeCell ref="V14:W14"/>
    <mergeCell ref="X14:Y14"/>
    <mergeCell ref="A15:I15"/>
    <mergeCell ref="J15:K15"/>
    <mergeCell ref="A6:F6"/>
    <mergeCell ref="L15:M15"/>
    <mergeCell ref="N15:O15"/>
    <mergeCell ref="P15:Q15"/>
    <mergeCell ref="R15:S15"/>
    <mergeCell ref="A162:F162"/>
    <mergeCell ref="G162:M162"/>
    <mergeCell ref="A164:I164"/>
    <mergeCell ref="J164:K166"/>
    <mergeCell ref="L164:M166"/>
    <mergeCell ref="N164:O166"/>
    <mergeCell ref="A165:I166"/>
    <mergeCell ref="A79:E79"/>
    <mergeCell ref="A80:Y80"/>
    <mergeCell ref="A81:S81"/>
    <mergeCell ref="U81:V81"/>
    <mergeCell ref="A84:F84"/>
    <mergeCell ref="G84:M84"/>
    <mergeCell ref="Q84:U84"/>
    <mergeCell ref="V84:Y84"/>
    <mergeCell ref="A86:I86"/>
    <mergeCell ref="J86:K88"/>
    <mergeCell ref="L86:M88"/>
    <mergeCell ref="A82:D82"/>
    <mergeCell ref="E82:G82"/>
    <mergeCell ref="H82:I82"/>
    <mergeCell ref="J82:K82"/>
    <mergeCell ref="J90:K90"/>
    <mergeCell ref="G6:M6"/>
    <mergeCell ref="Q6:U6"/>
    <mergeCell ref="V6:Y6"/>
    <mergeCell ref="A8:I8"/>
    <mergeCell ref="J8:K10"/>
    <mergeCell ref="L8:M10"/>
    <mergeCell ref="P11:Q11"/>
    <mergeCell ref="R11:S11"/>
    <mergeCell ref="T11:U11"/>
    <mergeCell ref="N8:O10"/>
    <mergeCell ref="P8:Q10"/>
    <mergeCell ref="R8:W8"/>
    <mergeCell ref="X8:Y10"/>
    <mergeCell ref="A9:I10"/>
    <mergeCell ref="R9:S10"/>
    <mergeCell ref="T9:U10"/>
    <mergeCell ref="V9:W10"/>
    <mergeCell ref="A11:I11"/>
    <mergeCell ref="J11:K11"/>
    <mergeCell ref="L11:M11"/>
    <mergeCell ref="V11:W11"/>
    <mergeCell ref="X11:Y11"/>
    <mergeCell ref="N11:O11"/>
    <mergeCell ref="A12:I12"/>
    <mergeCell ref="J12:K12"/>
    <mergeCell ref="L12:M12"/>
    <mergeCell ref="V12:W12"/>
    <mergeCell ref="X12:Y12"/>
    <mergeCell ref="P13:Q13"/>
    <mergeCell ref="R13:S13"/>
    <mergeCell ref="T13:U13"/>
    <mergeCell ref="N14:O14"/>
    <mergeCell ref="P14:Q14"/>
    <mergeCell ref="R14:S14"/>
    <mergeCell ref="T14:U14"/>
    <mergeCell ref="N13:O13"/>
    <mergeCell ref="A13:I13"/>
    <mergeCell ref="J13:K13"/>
    <mergeCell ref="L13:M13"/>
    <mergeCell ref="V13:W13"/>
    <mergeCell ref="X13:Y13"/>
    <mergeCell ref="A14:I14"/>
    <mergeCell ref="N12:O12"/>
    <mergeCell ref="P12:Q12"/>
    <mergeCell ref="R12:S12"/>
    <mergeCell ref="T12:U12"/>
    <mergeCell ref="A19:G19"/>
    <mergeCell ref="J17:K17"/>
    <mergeCell ref="N17:O17"/>
    <mergeCell ref="A20:G20"/>
    <mergeCell ref="A21:G21"/>
    <mergeCell ref="A22:G22"/>
    <mergeCell ref="A23:G23"/>
    <mergeCell ref="X39:X40"/>
    <mergeCell ref="U32:V32"/>
    <mergeCell ref="U30:V30"/>
    <mergeCell ref="K28:K32"/>
    <mergeCell ref="M28:N28"/>
    <mergeCell ref="O28:P28"/>
    <mergeCell ref="Q28:S28"/>
    <mergeCell ref="T28:Y28"/>
    <mergeCell ref="M29:N32"/>
    <mergeCell ref="O29:P32"/>
    <mergeCell ref="Q29:S32"/>
    <mergeCell ref="U29:V29"/>
    <mergeCell ref="X29:Y29"/>
    <mergeCell ref="X30:Y30"/>
    <mergeCell ref="U31:V31"/>
    <mergeCell ref="X31:Y31"/>
    <mergeCell ref="X32:Y32"/>
    <mergeCell ref="Q43:T44"/>
    <mergeCell ref="U43:W44"/>
    <mergeCell ref="X43:Y44"/>
    <mergeCell ref="A28:A32"/>
    <mergeCell ref="B28:B32"/>
    <mergeCell ref="C28:C32"/>
    <mergeCell ref="D28:D32"/>
    <mergeCell ref="E28:E32"/>
    <mergeCell ref="F28:F32"/>
    <mergeCell ref="G28:G32"/>
    <mergeCell ref="H28:H32"/>
    <mergeCell ref="I28:I32"/>
    <mergeCell ref="J28:J32"/>
    <mergeCell ref="A35:E36"/>
    <mergeCell ref="F35:G35"/>
    <mergeCell ref="H35:I35"/>
    <mergeCell ref="M35:N35"/>
    <mergeCell ref="O35:P35"/>
    <mergeCell ref="Q35:R35"/>
    <mergeCell ref="S35:V35"/>
    <mergeCell ref="W35:Y35"/>
    <mergeCell ref="A37:E37"/>
    <mergeCell ref="M37:M40"/>
    <mergeCell ref="N37:N40"/>
    <mergeCell ref="J50:K50"/>
    <mergeCell ref="L50:M50"/>
    <mergeCell ref="V50:W50"/>
    <mergeCell ref="X50:Y50"/>
    <mergeCell ref="P52:Q52"/>
    <mergeCell ref="R52:S52"/>
    <mergeCell ref="T52:U52"/>
    <mergeCell ref="V52:W52"/>
    <mergeCell ref="J53:K53"/>
    <mergeCell ref="N53:O53"/>
    <mergeCell ref="T53:U53"/>
    <mergeCell ref="V53:W53"/>
    <mergeCell ref="X53:Y53"/>
    <mergeCell ref="N50:O50"/>
    <mergeCell ref="P50:Q50"/>
    <mergeCell ref="R50:S50"/>
    <mergeCell ref="T50:U50"/>
    <mergeCell ref="A52:I52"/>
    <mergeCell ref="J52:K52"/>
    <mergeCell ref="L52:M52"/>
    <mergeCell ref="N52:O52"/>
    <mergeCell ref="X52:Y52"/>
    <mergeCell ref="A53:I53"/>
    <mergeCell ref="L53:M53"/>
    <mergeCell ref="P53:Q53"/>
    <mergeCell ref="R53:S53"/>
    <mergeCell ref="T56:U56"/>
    <mergeCell ref="V56:W56"/>
    <mergeCell ref="X56:Y56"/>
    <mergeCell ref="D67:D71"/>
    <mergeCell ref="E67:E71"/>
    <mergeCell ref="F67:F71"/>
    <mergeCell ref="G67:G71"/>
    <mergeCell ref="H67:H71"/>
    <mergeCell ref="I67:I71"/>
    <mergeCell ref="J56:K56"/>
    <mergeCell ref="N56:O56"/>
    <mergeCell ref="U68:V68"/>
    <mergeCell ref="J65:J66"/>
    <mergeCell ref="K65:K66"/>
    <mergeCell ref="M65:N65"/>
    <mergeCell ref="O65:P65"/>
    <mergeCell ref="Q65:Y65"/>
    <mergeCell ref="M66:N66"/>
    <mergeCell ref="O66:P66"/>
    <mergeCell ref="Q66:Y66"/>
    <mergeCell ref="A58:G58"/>
    <mergeCell ref="A59:G59"/>
    <mergeCell ref="A60:G60"/>
    <mergeCell ref="A61:G61"/>
    <mergeCell ref="A56:G57"/>
    <mergeCell ref="H56:I56"/>
    <mergeCell ref="L56:M56"/>
    <mergeCell ref="P56:Q56"/>
    <mergeCell ref="R56:S56"/>
    <mergeCell ref="A67:A71"/>
    <mergeCell ref="B67:B71"/>
    <mergeCell ref="C67:C71"/>
    <mergeCell ref="A62:G62"/>
    <mergeCell ref="A65:A66"/>
    <mergeCell ref="B65:B66"/>
    <mergeCell ref="C65:C66"/>
    <mergeCell ref="D65:E65"/>
    <mergeCell ref="F65:I65"/>
    <mergeCell ref="J67:J71"/>
    <mergeCell ref="K67:K71"/>
    <mergeCell ref="M67:N67"/>
    <mergeCell ref="O67:P67"/>
    <mergeCell ref="Q67:S67"/>
    <mergeCell ref="A89:I89"/>
    <mergeCell ref="L89:M89"/>
    <mergeCell ref="P89:Q89"/>
    <mergeCell ref="R89:S89"/>
    <mergeCell ref="T89:U89"/>
    <mergeCell ref="V89:W89"/>
    <mergeCell ref="N86:O88"/>
    <mergeCell ref="P86:Q88"/>
    <mergeCell ref="R86:W86"/>
    <mergeCell ref="J89:K89"/>
    <mergeCell ref="N89:O89"/>
    <mergeCell ref="A87:I88"/>
    <mergeCell ref="R87:S88"/>
    <mergeCell ref="T87:U88"/>
    <mergeCell ref="R91:S91"/>
    <mergeCell ref="T91:U91"/>
    <mergeCell ref="R95:S95"/>
    <mergeCell ref="T95:U95"/>
    <mergeCell ref="P115:P118"/>
    <mergeCell ref="A116:E116"/>
    <mergeCell ref="A117:E117"/>
    <mergeCell ref="J128:K128"/>
    <mergeCell ref="N128:O128"/>
    <mergeCell ref="A106:A110"/>
    <mergeCell ref="B106:B110"/>
    <mergeCell ref="C106:C110"/>
    <mergeCell ref="L92:M92"/>
    <mergeCell ref="P92:Q92"/>
    <mergeCell ref="D106:D110"/>
    <mergeCell ref="E106:E110"/>
    <mergeCell ref="F106:F110"/>
    <mergeCell ref="G106:G110"/>
    <mergeCell ref="H106:H110"/>
    <mergeCell ref="I106:I110"/>
    <mergeCell ref="J106:J110"/>
    <mergeCell ref="K106:K110"/>
    <mergeCell ref="M106:N106"/>
    <mergeCell ref="O106:P106"/>
    <mergeCell ref="A100:G100"/>
    <mergeCell ref="A101:G101"/>
    <mergeCell ref="A115:E115"/>
    <mergeCell ref="M115:M118"/>
    <mergeCell ref="N115:N118"/>
    <mergeCell ref="O115:O118"/>
    <mergeCell ref="M113:N113"/>
    <mergeCell ref="O113:P113"/>
    <mergeCell ref="A119:Y119"/>
    <mergeCell ref="T106:Y106"/>
    <mergeCell ref="M107:N110"/>
    <mergeCell ref="O107:P110"/>
    <mergeCell ref="Q107:S110"/>
    <mergeCell ref="U107:V107"/>
    <mergeCell ref="X107:Y107"/>
    <mergeCell ref="U108:V108"/>
    <mergeCell ref="X108:Y108"/>
    <mergeCell ref="U109:V109"/>
    <mergeCell ref="X109:Y109"/>
    <mergeCell ref="U110:V110"/>
    <mergeCell ref="X110:Y110"/>
    <mergeCell ref="Q106:S106"/>
    <mergeCell ref="Q113:R113"/>
    <mergeCell ref="S113:V113"/>
    <mergeCell ref="A120:S120"/>
    <mergeCell ref="U120:V120"/>
    <mergeCell ref="A121:D121"/>
    <mergeCell ref="E121:G121"/>
    <mergeCell ref="H121:I121"/>
    <mergeCell ref="J121:K121"/>
    <mergeCell ref="L121:M121"/>
    <mergeCell ref="N121:P121"/>
    <mergeCell ref="Q121:T122"/>
    <mergeCell ref="U121:W122"/>
    <mergeCell ref="X121:Y122"/>
    <mergeCell ref="A123:F123"/>
    <mergeCell ref="V128:W128"/>
    <mergeCell ref="X128:Y128"/>
    <mergeCell ref="A129:I129"/>
    <mergeCell ref="L129:M129"/>
    <mergeCell ref="P129:Q129"/>
    <mergeCell ref="R129:S129"/>
    <mergeCell ref="T129:U129"/>
    <mergeCell ref="V129:W129"/>
    <mergeCell ref="X129:Y129"/>
    <mergeCell ref="J129:K129"/>
    <mergeCell ref="N129:O129"/>
    <mergeCell ref="A128:I128"/>
    <mergeCell ref="L128:M128"/>
    <mergeCell ref="P128:Q128"/>
    <mergeCell ref="R128:S128"/>
    <mergeCell ref="T128:U128"/>
    <mergeCell ref="G123:M123"/>
    <mergeCell ref="Q123:U123"/>
    <mergeCell ref="V123:Y123"/>
    <mergeCell ref="A125:I125"/>
    <mergeCell ref="J125:K127"/>
    <mergeCell ref="L125:M127"/>
    <mergeCell ref="A134:G135"/>
    <mergeCell ref="H134:I134"/>
    <mergeCell ref="L134:M134"/>
    <mergeCell ref="N134:O134"/>
    <mergeCell ref="P134:Q134"/>
    <mergeCell ref="R134:S134"/>
    <mergeCell ref="T134:U134"/>
    <mergeCell ref="V134:W134"/>
    <mergeCell ref="X134:Y134"/>
    <mergeCell ref="J134:K134"/>
    <mergeCell ref="A154:E154"/>
    <mergeCell ref="M154:M157"/>
    <mergeCell ref="N154:N157"/>
    <mergeCell ref="O154:O157"/>
    <mergeCell ref="P154:P157"/>
    <mergeCell ref="Q154:Q157"/>
    <mergeCell ref="R154:R157"/>
    <mergeCell ref="A155:E155"/>
    <mergeCell ref="A156:E156"/>
    <mergeCell ref="Q162:U162"/>
    <mergeCell ref="V162:Y162"/>
    <mergeCell ref="J169:K169"/>
    <mergeCell ref="P164:Q166"/>
    <mergeCell ref="R164:W164"/>
    <mergeCell ref="X164:Y166"/>
    <mergeCell ref="R165:S166"/>
    <mergeCell ref="T165:U166"/>
    <mergeCell ref="V165:W166"/>
    <mergeCell ref="J167:K167"/>
    <mergeCell ref="L167:M167"/>
    <mergeCell ref="N167:O167"/>
    <mergeCell ref="P167:Q167"/>
    <mergeCell ref="R167:S167"/>
    <mergeCell ref="T167:U167"/>
    <mergeCell ref="V167:W167"/>
    <mergeCell ref="X167:Y167"/>
    <mergeCell ref="J171:K171"/>
    <mergeCell ref="A171:I171"/>
    <mergeCell ref="L171:M171"/>
    <mergeCell ref="N171:O171"/>
    <mergeCell ref="P171:Q171"/>
    <mergeCell ref="R171:S171"/>
    <mergeCell ref="T171:U171"/>
    <mergeCell ref="V171:W171"/>
    <mergeCell ref="X171:Y171"/>
    <mergeCell ref="X173:Y173"/>
    <mergeCell ref="A175:G175"/>
    <mergeCell ref="A173:G174"/>
    <mergeCell ref="H173:I173"/>
    <mergeCell ref="J173:K173"/>
    <mergeCell ref="L173:M173"/>
    <mergeCell ref="N173:O173"/>
    <mergeCell ref="P173:Q173"/>
    <mergeCell ref="R173:S173"/>
    <mergeCell ref="T173:U173"/>
    <mergeCell ref="V173:W173"/>
  </mergeCells>
  <printOptions horizontalCentered="1"/>
  <pageMargins left="0.25" right="0.25" top="0.5" bottom="0.25" header="0.25" footer="0.25"/>
  <pageSetup paperSize="9" scale="70" orientation="landscape" r:id="rId1"/>
  <rowBreaks count="4" manualBreakCount="4">
    <brk id="40" max="16383" man="1"/>
    <brk id="79" max="16383" man="1"/>
    <brk id="118" max="16383" man="1"/>
    <brk id="15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99CC"/>
  </sheetPr>
  <dimension ref="A1:Y196"/>
  <sheetViews>
    <sheetView view="pageBreakPreview" topLeftCell="A176" zoomScale="99" zoomScaleNormal="48" zoomScaleSheetLayoutView="99" workbookViewId="0">
      <selection activeCell="M185" sqref="M185:N188"/>
    </sheetView>
  </sheetViews>
  <sheetFormatPr defaultRowHeight="13.8" x14ac:dyDescent="0.25"/>
  <cols>
    <col min="1" max="1" width="7.88671875" customWidth="1"/>
    <col min="2" max="2" width="11.44140625" customWidth="1"/>
    <col min="3" max="3" width="11" customWidth="1"/>
    <col min="4" max="6" width="7.33203125" customWidth="1"/>
    <col min="7" max="7" width="8" customWidth="1"/>
    <col min="8" max="8" width="8.33203125" customWidth="1"/>
    <col min="9" max="9" width="7.6640625" customWidth="1"/>
    <col min="10" max="10" width="9.6640625" customWidth="1"/>
    <col min="11" max="11" width="9.44140625" customWidth="1"/>
    <col min="12" max="14" width="7.33203125" customWidth="1"/>
    <col min="15" max="15" width="7.5546875" customWidth="1"/>
    <col min="16" max="17" width="7.33203125" customWidth="1"/>
    <col min="18" max="18" width="7.5546875" customWidth="1"/>
    <col min="19" max="25" width="7.33203125" customWidth="1"/>
  </cols>
  <sheetData>
    <row r="1" spans="1:25" ht="7.5" customHeight="1" x14ac:dyDescent="0.25"/>
    <row r="2" spans="1:25" ht="18" customHeight="1" x14ac:dyDescent="0.45">
      <c r="A2" s="120" t="s">
        <v>17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</row>
    <row r="3" spans="1:25" ht="21" customHeight="1" x14ac:dyDescent="0.25">
      <c r="A3" s="111" t="s">
        <v>18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"/>
      <c r="U3" s="112" t="s">
        <v>19</v>
      </c>
      <c r="V3" s="112"/>
      <c r="W3" s="1"/>
      <c r="X3" s="1"/>
      <c r="Y3" s="1"/>
    </row>
    <row r="4" spans="1:25" ht="39.9" customHeight="1" x14ac:dyDescent="0.25">
      <c r="A4" s="113" t="s">
        <v>20</v>
      </c>
      <c r="B4" s="113"/>
      <c r="C4" s="113"/>
      <c r="D4" s="113"/>
      <c r="E4" s="196" t="s">
        <v>91</v>
      </c>
      <c r="F4" s="199"/>
      <c r="G4" s="199"/>
      <c r="H4" s="116" t="s">
        <v>22</v>
      </c>
      <c r="I4" s="116"/>
      <c r="J4" s="115"/>
      <c r="K4" s="115"/>
      <c r="L4" s="116" t="s">
        <v>23</v>
      </c>
      <c r="M4" s="116"/>
      <c r="N4" s="188" t="s">
        <v>15</v>
      </c>
      <c r="O4" s="188"/>
      <c r="P4" s="188"/>
      <c r="Q4" s="118" t="s">
        <v>24</v>
      </c>
      <c r="R4" s="118"/>
      <c r="S4" s="118"/>
      <c r="T4" s="118"/>
      <c r="U4" s="119" t="s">
        <v>25</v>
      </c>
      <c r="V4" s="119"/>
      <c r="W4" s="119"/>
      <c r="X4" s="147" t="s">
        <v>93</v>
      </c>
      <c r="Y4" s="147"/>
    </row>
    <row r="5" spans="1:25" ht="5.25" customHeight="1" x14ac:dyDescent="0.25">
      <c r="Q5" s="118"/>
      <c r="R5" s="118"/>
      <c r="S5" s="118"/>
      <c r="T5" s="118"/>
      <c r="U5" s="119"/>
      <c r="V5" s="119"/>
      <c r="W5" s="119"/>
      <c r="X5" s="147"/>
      <c r="Y5" s="147"/>
    </row>
    <row r="6" spans="1:25" ht="15.75" customHeight="1" x14ac:dyDescent="0.3">
      <c r="A6" s="166" t="s">
        <v>26</v>
      </c>
      <c r="B6" s="166"/>
      <c r="C6" s="166"/>
      <c r="D6" s="166"/>
      <c r="E6" s="166"/>
      <c r="F6" s="166"/>
      <c r="G6" s="167" t="s">
        <v>27</v>
      </c>
      <c r="H6" s="167"/>
      <c r="I6" s="167"/>
      <c r="J6" s="167"/>
      <c r="K6" s="167"/>
      <c r="L6" s="167"/>
      <c r="M6" s="167"/>
      <c r="N6" s="2"/>
      <c r="Q6" s="168" t="s">
        <v>28</v>
      </c>
      <c r="R6" s="168"/>
      <c r="S6" s="168"/>
      <c r="T6" s="168"/>
      <c r="U6" s="168"/>
      <c r="V6" s="148" t="s">
        <v>29</v>
      </c>
      <c r="W6" s="148"/>
      <c r="X6" s="148"/>
      <c r="Y6" s="148"/>
    </row>
    <row r="7" spans="1:25" ht="7.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" customHeight="1" x14ac:dyDescent="0.25">
      <c r="A8" s="149" t="s">
        <v>31</v>
      </c>
      <c r="B8" s="150"/>
      <c r="C8" s="150"/>
      <c r="D8" s="150"/>
      <c r="E8" s="150"/>
      <c r="F8" s="150"/>
      <c r="G8" s="150"/>
      <c r="H8" s="150"/>
      <c r="I8" s="151"/>
      <c r="J8" s="152" t="s">
        <v>32</v>
      </c>
      <c r="K8" s="153"/>
      <c r="L8" s="152" t="s">
        <v>33</v>
      </c>
      <c r="M8" s="153"/>
      <c r="N8" s="91" t="s">
        <v>34</v>
      </c>
      <c r="O8" s="92"/>
      <c r="P8" s="152" t="s">
        <v>35</v>
      </c>
      <c r="Q8" s="153"/>
      <c r="R8" s="68" t="s">
        <v>36</v>
      </c>
      <c r="S8" s="69"/>
      <c r="T8" s="69"/>
      <c r="U8" s="69"/>
      <c r="V8" s="69"/>
      <c r="W8" s="70"/>
      <c r="X8" s="152" t="s">
        <v>7</v>
      </c>
      <c r="Y8" s="153"/>
    </row>
    <row r="9" spans="1:25" ht="23.25" customHeight="1" x14ac:dyDescent="0.25">
      <c r="A9" s="158" t="s">
        <v>37</v>
      </c>
      <c r="B9" s="159"/>
      <c r="C9" s="159"/>
      <c r="D9" s="159"/>
      <c r="E9" s="159"/>
      <c r="F9" s="159"/>
      <c r="G9" s="159"/>
      <c r="H9" s="159"/>
      <c r="I9" s="160"/>
      <c r="J9" s="154"/>
      <c r="K9" s="155"/>
      <c r="L9" s="154"/>
      <c r="M9" s="155"/>
      <c r="N9" s="93"/>
      <c r="O9" s="94"/>
      <c r="P9" s="154"/>
      <c r="Q9" s="155"/>
      <c r="R9" s="164" t="s">
        <v>38</v>
      </c>
      <c r="S9" s="164"/>
      <c r="T9" s="164" t="s">
        <v>39</v>
      </c>
      <c r="U9" s="164"/>
      <c r="V9" s="164" t="s">
        <v>40</v>
      </c>
      <c r="W9" s="164"/>
      <c r="X9" s="154"/>
      <c r="Y9" s="155"/>
    </row>
    <row r="10" spans="1:25" x14ac:dyDescent="0.25">
      <c r="A10" s="161"/>
      <c r="B10" s="162"/>
      <c r="C10" s="162"/>
      <c r="D10" s="162"/>
      <c r="E10" s="162"/>
      <c r="F10" s="162"/>
      <c r="G10" s="162"/>
      <c r="H10" s="162"/>
      <c r="I10" s="163"/>
      <c r="J10" s="156"/>
      <c r="K10" s="157"/>
      <c r="L10" s="156"/>
      <c r="M10" s="157"/>
      <c r="N10" s="95"/>
      <c r="O10" s="96"/>
      <c r="P10" s="156"/>
      <c r="Q10" s="157"/>
      <c r="R10" s="165"/>
      <c r="S10" s="165"/>
      <c r="T10" s="165"/>
      <c r="U10" s="165"/>
      <c r="V10" s="165"/>
      <c r="W10" s="165"/>
      <c r="X10" s="156"/>
      <c r="Y10" s="157"/>
    </row>
    <row r="11" spans="1:25" ht="18" customHeight="1" x14ac:dyDescent="0.3">
      <c r="A11" s="106" t="s">
        <v>41</v>
      </c>
      <c r="B11" s="107"/>
      <c r="C11" s="107"/>
      <c r="D11" s="107"/>
      <c r="E11" s="107"/>
      <c r="F11" s="107"/>
      <c r="G11" s="107"/>
      <c r="H11" s="107"/>
      <c r="I11" s="108"/>
      <c r="J11" s="68">
        <v>34</v>
      </c>
      <c r="K11" s="70"/>
      <c r="L11" s="68">
        <v>3</v>
      </c>
      <c r="M11" s="70"/>
      <c r="N11" s="68">
        <v>0</v>
      </c>
      <c r="O11" s="70"/>
      <c r="P11" s="68">
        <v>37</v>
      </c>
      <c r="Q11" s="70"/>
      <c r="R11" s="68">
        <v>0</v>
      </c>
      <c r="S11" s="70"/>
      <c r="T11" s="68">
        <v>0</v>
      </c>
      <c r="U11" s="70"/>
      <c r="V11" s="68">
        <v>0</v>
      </c>
      <c r="W11" s="70"/>
      <c r="X11" s="80">
        <v>37</v>
      </c>
      <c r="Y11" s="82"/>
    </row>
    <row r="12" spans="1:25" ht="18" customHeight="1" x14ac:dyDescent="0.3">
      <c r="A12" s="106" t="s">
        <v>42</v>
      </c>
      <c r="B12" s="107"/>
      <c r="C12" s="107"/>
      <c r="D12" s="107"/>
      <c r="E12" s="107"/>
      <c r="F12" s="107"/>
      <c r="G12" s="107"/>
      <c r="H12" s="107"/>
      <c r="I12" s="108"/>
      <c r="J12" s="68">
        <v>27</v>
      </c>
      <c r="K12" s="70"/>
      <c r="L12" s="68">
        <v>0</v>
      </c>
      <c r="M12" s="70"/>
      <c r="N12" s="68">
        <v>0</v>
      </c>
      <c r="O12" s="70"/>
      <c r="P12" s="68">
        <v>27</v>
      </c>
      <c r="Q12" s="70"/>
      <c r="R12" s="68">
        <v>0</v>
      </c>
      <c r="S12" s="70"/>
      <c r="T12" s="68">
        <v>0</v>
      </c>
      <c r="U12" s="70"/>
      <c r="V12" s="68">
        <v>0</v>
      </c>
      <c r="W12" s="70"/>
      <c r="X12" s="80">
        <v>27</v>
      </c>
      <c r="Y12" s="82"/>
    </row>
    <row r="13" spans="1:25" ht="18" customHeight="1" x14ac:dyDescent="0.3">
      <c r="A13" s="106" t="s">
        <v>43</v>
      </c>
      <c r="B13" s="107"/>
      <c r="C13" s="107"/>
      <c r="D13" s="107"/>
      <c r="E13" s="107"/>
      <c r="F13" s="107"/>
      <c r="G13" s="107"/>
      <c r="H13" s="107"/>
      <c r="I13" s="108"/>
      <c r="J13" s="68">
        <v>0</v>
      </c>
      <c r="K13" s="70"/>
      <c r="L13" s="68">
        <v>0</v>
      </c>
      <c r="M13" s="70"/>
      <c r="N13" s="68">
        <v>0</v>
      </c>
      <c r="O13" s="70"/>
      <c r="P13" s="68">
        <v>0</v>
      </c>
      <c r="Q13" s="70"/>
      <c r="R13" s="68">
        <v>0</v>
      </c>
      <c r="S13" s="70"/>
      <c r="T13" s="68">
        <v>0</v>
      </c>
      <c r="U13" s="70"/>
      <c r="V13" s="68">
        <v>0</v>
      </c>
      <c r="W13" s="70"/>
      <c r="X13" s="80">
        <v>0</v>
      </c>
      <c r="Y13" s="82"/>
    </row>
    <row r="14" spans="1:25" ht="18" customHeight="1" x14ac:dyDescent="0.3">
      <c r="A14" s="106" t="s">
        <v>44</v>
      </c>
      <c r="B14" s="107"/>
      <c r="C14" s="107"/>
      <c r="D14" s="107"/>
      <c r="E14" s="107"/>
      <c r="F14" s="107"/>
      <c r="G14" s="107"/>
      <c r="H14" s="107"/>
      <c r="I14" s="108"/>
      <c r="J14" s="68">
        <v>27</v>
      </c>
      <c r="K14" s="70"/>
      <c r="L14" s="68">
        <v>0</v>
      </c>
      <c r="M14" s="70"/>
      <c r="N14" s="68">
        <v>0</v>
      </c>
      <c r="O14" s="70"/>
      <c r="P14" s="68">
        <v>27</v>
      </c>
      <c r="Q14" s="70"/>
      <c r="R14" s="68">
        <v>0</v>
      </c>
      <c r="S14" s="70"/>
      <c r="T14" s="68">
        <v>0</v>
      </c>
      <c r="U14" s="70"/>
      <c r="V14" s="68">
        <v>0</v>
      </c>
      <c r="W14" s="70"/>
      <c r="X14" s="80">
        <v>27</v>
      </c>
      <c r="Y14" s="82"/>
    </row>
    <row r="15" spans="1:25" ht="18" customHeight="1" x14ac:dyDescent="0.3">
      <c r="A15" s="106" t="s">
        <v>7</v>
      </c>
      <c r="B15" s="107"/>
      <c r="C15" s="107"/>
      <c r="D15" s="107"/>
      <c r="E15" s="107"/>
      <c r="F15" s="107"/>
      <c r="G15" s="107"/>
      <c r="H15" s="107"/>
      <c r="I15" s="108"/>
      <c r="J15" s="68">
        <v>88</v>
      </c>
      <c r="K15" s="70"/>
      <c r="L15" s="68">
        <v>3</v>
      </c>
      <c r="M15" s="70"/>
      <c r="N15" s="68">
        <v>0</v>
      </c>
      <c r="O15" s="70"/>
      <c r="P15" s="68">
        <v>91</v>
      </c>
      <c r="Q15" s="70"/>
      <c r="R15" s="68">
        <v>0</v>
      </c>
      <c r="S15" s="70"/>
      <c r="T15" s="68">
        <v>0</v>
      </c>
      <c r="U15" s="70"/>
      <c r="V15" s="68">
        <v>0</v>
      </c>
      <c r="W15" s="70"/>
      <c r="X15" s="80">
        <v>91</v>
      </c>
      <c r="Y15" s="82"/>
    </row>
    <row r="16" spans="1:25" ht="15.6" x14ac:dyDescent="0.3">
      <c r="A16" s="4" t="s">
        <v>45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6"/>
      <c r="S16" s="6"/>
      <c r="T16" s="6"/>
      <c r="U16" s="6"/>
      <c r="V16" s="6"/>
      <c r="W16" s="6"/>
      <c r="X16" s="6"/>
      <c r="Y16" s="7"/>
    </row>
    <row r="17" spans="1:25" x14ac:dyDescent="0.25">
      <c r="A17" s="71"/>
      <c r="B17" s="72"/>
      <c r="C17" s="72"/>
      <c r="D17" s="72"/>
      <c r="E17" s="72"/>
      <c r="F17" s="72"/>
      <c r="G17" s="73"/>
      <c r="H17" s="68" t="s">
        <v>0</v>
      </c>
      <c r="I17" s="69"/>
      <c r="J17" s="136" t="s">
        <v>1</v>
      </c>
      <c r="K17" s="69"/>
      <c r="L17" s="134" t="s">
        <v>2</v>
      </c>
      <c r="M17" s="69"/>
      <c r="N17" s="134" t="s">
        <v>3</v>
      </c>
      <c r="O17" s="69"/>
      <c r="P17" s="134" t="s">
        <v>4</v>
      </c>
      <c r="Q17" s="135"/>
      <c r="R17" s="134" t="s">
        <v>5</v>
      </c>
      <c r="S17" s="69"/>
      <c r="T17" s="134" t="s">
        <v>6</v>
      </c>
      <c r="U17" s="69"/>
      <c r="V17" s="134" t="s">
        <v>46</v>
      </c>
      <c r="W17" s="69"/>
      <c r="X17" s="134" t="s">
        <v>7</v>
      </c>
      <c r="Y17" s="135"/>
    </row>
    <row r="18" spans="1:25" x14ac:dyDescent="0.25">
      <c r="A18" s="74"/>
      <c r="B18" s="75"/>
      <c r="C18" s="75"/>
      <c r="D18" s="75"/>
      <c r="E18" s="75"/>
      <c r="F18" s="75"/>
      <c r="G18" s="76"/>
      <c r="H18" s="10" t="s">
        <v>10</v>
      </c>
      <c r="I18" s="10" t="s">
        <v>11</v>
      </c>
      <c r="J18" s="10" t="s">
        <v>10</v>
      </c>
      <c r="K18" s="10" t="s">
        <v>11</v>
      </c>
      <c r="L18" s="10" t="s">
        <v>10</v>
      </c>
      <c r="M18" s="10" t="s">
        <v>11</v>
      </c>
      <c r="N18" s="10" t="s">
        <v>10</v>
      </c>
      <c r="O18" s="10" t="s">
        <v>11</v>
      </c>
      <c r="P18" s="10" t="s">
        <v>10</v>
      </c>
      <c r="Q18" s="10" t="s">
        <v>11</v>
      </c>
      <c r="R18" s="10" t="s">
        <v>10</v>
      </c>
      <c r="S18" s="10" t="s">
        <v>11</v>
      </c>
      <c r="T18" s="10" t="s">
        <v>10</v>
      </c>
      <c r="U18" s="10" t="s">
        <v>11</v>
      </c>
      <c r="V18" s="10" t="s">
        <v>10</v>
      </c>
      <c r="W18" s="10" t="s">
        <v>11</v>
      </c>
      <c r="X18" s="10" t="s">
        <v>10</v>
      </c>
      <c r="Y18" s="10" t="s">
        <v>11</v>
      </c>
    </row>
    <row r="19" spans="1:25" ht="18" customHeight="1" x14ac:dyDescent="0.25">
      <c r="A19" s="106" t="s">
        <v>41</v>
      </c>
      <c r="B19" s="107"/>
      <c r="C19" s="107"/>
      <c r="D19" s="107"/>
      <c r="E19" s="107"/>
      <c r="F19" s="107"/>
      <c r="G19" s="108"/>
      <c r="H19" s="10">
        <v>0</v>
      </c>
      <c r="I19" s="10">
        <v>0</v>
      </c>
      <c r="J19" s="10">
        <v>0</v>
      </c>
      <c r="K19" s="10">
        <v>0</v>
      </c>
      <c r="L19" s="10">
        <v>4</v>
      </c>
      <c r="M19" s="10">
        <v>1</v>
      </c>
      <c r="N19" s="10">
        <v>7</v>
      </c>
      <c r="O19" s="10">
        <v>3</v>
      </c>
      <c r="P19" s="10">
        <v>4</v>
      </c>
      <c r="Q19" s="10">
        <v>5</v>
      </c>
      <c r="R19" s="10">
        <v>1</v>
      </c>
      <c r="S19" s="10">
        <v>2</v>
      </c>
      <c r="T19" s="10">
        <v>4</v>
      </c>
      <c r="U19" s="10">
        <v>3</v>
      </c>
      <c r="V19" s="10">
        <v>1</v>
      </c>
      <c r="W19" s="10">
        <v>2</v>
      </c>
      <c r="X19" s="10">
        <v>21</v>
      </c>
      <c r="Y19" s="10">
        <v>16</v>
      </c>
    </row>
    <row r="20" spans="1:25" ht="18" customHeight="1" x14ac:dyDescent="0.25">
      <c r="A20" s="106" t="s">
        <v>42</v>
      </c>
      <c r="B20" s="107"/>
      <c r="C20" s="107"/>
      <c r="D20" s="107"/>
      <c r="E20" s="107"/>
      <c r="F20" s="107"/>
      <c r="G20" s="108"/>
      <c r="H20" s="10">
        <v>0</v>
      </c>
      <c r="I20" s="10">
        <v>0</v>
      </c>
      <c r="J20" s="10">
        <v>0</v>
      </c>
      <c r="K20" s="10">
        <v>3</v>
      </c>
      <c r="L20" s="10">
        <v>0</v>
      </c>
      <c r="M20" s="10">
        <v>2</v>
      </c>
      <c r="N20" s="10">
        <v>2</v>
      </c>
      <c r="O20" s="10">
        <v>3</v>
      </c>
      <c r="P20" s="10">
        <v>8</v>
      </c>
      <c r="Q20" s="10">
        <v>1</v>
      </c>
      <c r="R20" s="10">
        <v>0</v>
      </c>
      <c r="S20" s="10">
        <v>1</v>
      </c>
      <c r="T20" s="10">
        <v>2</v>
      </c>
      <c r="U20" s="10">
        <v>0</v>
      </c>
      <c r="V20" s="10">
        <v>3</v>
      </c>
      <c r="W20" s="10">
        <v>2</v>
      </c>
      <c r="X20" s="10">
        <v>15</v>
      </c>
      <c r="Y20" s="10">
        <v>12</v>
      </c>
    </row>
    <row r="21" spans="1:25" ht="18" customHeight="1" x14ac:dyDescent="0.25">
      <c r="A21" s="106" t="s">
        <v>43</v>
      </c>
      <c r="B21" s="107"/>
      <c r="C21" s="107"/>
      <c r="D21" s="107"/>
      <c r="E21" s="107"/>
      <c r="F21" s="107"/>
      <c r="G21" s="108"/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</row>
    <row r="22" spans="1:25" ht="18" customHeight="1" x14ac:dyDescent="0.25">
      <c r="A22" s="106" t="s">
        <v>44</v>
      </c>
      <c r="B22" s="107"/>
      <c r="C22" s="107"/>
      <c r="D22" s="107"/>
      <c r="E22" s="107"/>
      <c r="F22" s="107"/>
      <c r="G22" s="108"/>
      <c r="H22" s="10">
        <v>0</v>
      </c>
      <c r="I22" s="10">
        <v>0</v>
      </c>
      <c r="J22" s="10">
        <v>6</v>
      </c>
      <c r="K22" s="10">
        <v>1</v>
      </c>
      <c r="L22" s="10">
        <v>6</v>
      </c>
      <c r="M22" s="10">
        <v>4</v>
      </c>
      <c r="N22" s="10">
        <v>2</v>
      </c>
      <c r="O22" s="10">
        <v>0</v>
      </c>
      <c r="P22" s="10">
        <v>0</v>
      </c>
      <c r="Q22" s="10">
        <v>1</v>
      </c>
      <c r="R22" s="10">
        <v>2</v>
      </c>
      <c r="S22" s="10">
        <v>1</v>
      </c>
      <c r="T22" s="10">
        <v>2</v>
      </c>
      <c r="U22" s="10">
        <v>0</v>
      </c>
      <c r="V22" s="10">
        <v>2</v>
      </c>
      <c r="W22" s="10">
        <v>0</v>
      </c>
      <c r="X22" s="10">
        <v>20</v>
      </c>
      <c r="Y22" s="10">
        <v>7</v>
      </c>
    </row>
    <row r="23" spans="1:25" ht="18" customHeight="1" x14ac:dyDescent="0.25">
      <c r="A23" s="106" t="s">
        <v>7</v>
      </c>
      <c r="B23" s="107"/>
      <c r="C23" s="107"/>
      <c r="D23" s="107"/>
      <c r="E23" s="107"/>
      <c r="F23" s="107"/>
      <c r="G23" s="108"/>
      <c r="H23" s="10">
        <v>0</v>
      </c>
      <c r="I23" s="10">
        <v>0</v>
      </c>
      <c r="J23" s="10">
        <v>6</v>
      </c>
      <c r="K23" s="10">
        <v>4</v>
      </c>
      <c r="L23" s="10">
        <v>10</v>
      </c>
      <c r="M23" s="10">
        <v>7</v>
      </c>
      <c r="N23" s="10">
        <v>11</v>
      </c>
      <c r="O23" s="10">
        <v>6</v>
      </c>
      <c r="P23" s="10">
        <v>12</v>
      </c>
      <c r="Q23" s="10">
        <v>7</v>
      </c>
      <c r="R23" s="10">
        <v>3</v>
      </c>
      <c r="S23" s="10">
        <v>4</v>
      </c>
      <c r="T23" s="10">
        <v>8</v>
      </c>
      <c r="U23" s="10">
        <v>3</v>
      </c>
      <c r="V23" s="10">
        <v>6</v>
      </c>
      <c r="W23" s="10">
        <v>4</v>
      </c>
      <c r="X23" s="10">
        <v>56</v>
      </c>
      <c r="Y23" s="10">
        <v>35</v>
      </c>
    </row>
    <row r="24" spans="1:25" ht="6.75" customHeight="1" x14ac:dyDescent="0.25">
      <c r="A24" s="11"/>
      <c r="B24" s="12"/>
      <c r="C24" s="12"/>
      <c r="D24" s="12"/>
      <c r="E24" s="12"/>
      <c r="F24" s="13"/>
      <c r="G24" s="13"/>
      <c r="H24" s="13"/>
      <c r="I24" s="13"/>
      <c r="J24" s="13"/>
      <c r="K24" s="13"/>
      <c r="L24" s="14"/>
      <c r="M24" s="13"/>
      <c r="N24" s="15"/>
      <c r="O24" s="16"/>
      <c r="P24" s="13"/>
      <c r="Q24" s="13"/>
      <c r="R24" s="13"/>
      <c r="S24" s="13"/>
      <c r="T24" s="13"/>
      <c r="U24" s="13"/>
      <c r="V24" s="13"/>
      <c r="W24" s="13"/>
      <c r="X24" s="13"/>
      <c r="Y24" s="17"/>
    </row>
    <row r="25" spans="1:25" ht="18" customHeight="1" x14ac:dyDescent="0.3">
      <c r="A25" s="18" t="s">
        <v>47</v>
      </c>
      <c r="B25" s="19"/>
      <c r="C25" s="19"/>
      <c r="D25" s="19"/>
      <c r="E25" s="19"/>
      <c r="F25" s="19"/>
      <c r="G25" s="19"/>
      <c r="H25" s="19"/>
      <c r="I25" s="19"/>
      <c r="J25" s="19"/>
      <c r="K25" s="20"/>
      <c r="L25" s="21"/>
      <c r="M25" s="18" t="s">
        <v>48</v>
      </c>
      <c r="N25" s="19"/>
      <c r="O25" s="19"/>
      <c r="P25" s="19"/>
      <c r="Q25" s="22"/>
      <c r="R25" s="22"/>
      <c r="S25" s="22"/>
      <c r="T25" s="22"/>
      <c r="U25" s="22"/>
      <c r="V25" s="22"/>
      <c r="W25" s="22"/>
      <c r="X25" s="22"/>
      <c r="Y25" s="23"/>
    </row>
    <row r="26" spans="1:25" ht="57.75" customHeight="1" x14ac:dyDescent="0.25">
      <c r="A26" s="101" t="s">
        <v>49</v>
      </c>
      <c r="B26" s="101" t="s">
        <v>50</v>
      </c>
      <c r="C26" s="101" t="s">
        <v>51</v>
      </c>
      <c r="D26" s="77" t="s">
        <v>52</v>
      </c>
      <c r="E26" s="78"/>
      <c r="F26" s="77" t="s">
        <v>53</v>
      </c>
      <c r="G26" s="79"/>
      <c r="H26" s="79"/>
      <c r="I26" s="78"/>
      <c r="J26" s="101" t="s">
        <v>54</v>
      </c>
      <c r="K26" s="101" t="s">
        <v>55</v>
      </c>
      <c r="L26" s="24"/>
      <c r="M26" s="86" t="s">
        <v>56</v>
      </c>
      <c r="N26" s="88"/>
      <c r="O26" s="86" t="s">
        <v>57</v>
      </c>
      <c r="P26" s="88"/>
      <c r="Q26" s="86" t="s">
        <v>58</v>
      </c>
      <c r="R26" s="87"/>
      <c r="S26" s="87"/>
      <c r="T26" s="87"/>
      <c r="U26" s="87"/>
      <c r="V26" s="87"/>
      <c r="W26" s="87"/>
      <c r="X26" s="87"/>
      <c r="Y26" s="88"/>
    </row>
    <row r="27" spans="1:25" ht="38.25" customHeight="1" x14ac:dyDescent="0.25">
      <c r="A27" s="102"/>
      <c r="B27" s="102"/>
      <c r="C27" s="102"/>
      <c r="D27" s="25" t="s">
        <v>59</v>
      </c>
      <c r="E27" s="25" t="s">
        <v>60</v>
      </c>
      <c r="F27" s="26" t="s">
        <v>59</v>
      </c>
      <c r="G27" s="26" t="s">
        <v>60</v>
      </c>
      <c r="H27" s="26" t="s">
        <v>61</v>
      </c>
      <c r="I27" s="26" t="s">
        <v>62</v>
      </c>
      <c r="J27" s="102"/>
      <c r="K27" s="102"/>
      <c r="L27" s="24"/>
      <c r="M27" s="91">
        <v>0</v>
      </c>
      <c r="N27" s="92"/>
      <c r="O27" s="91">
        <v>0</v>
      </c>
      <c r="P27" s="92"/>
      <c r="Q27" s="86">
        <v>0</v>
      </c>
      <c r="R27" s="87"/>
      <c r="S27" s="87"/>
      <c r="T27" s="87"/>
      <c r="U27" s="87"/>
      <c r="V27" s="87"/>
      <c r="W27" s="87"/>
      <c r="X27" s="87"/>
      <c r="Y27" s="88"/>
    </row>
    <row r="28" spans="1:25" ht="38.25" customHeight="1" x14ac:dyDescent="0.25">
      <c r="A28" s="164">
        <v>556</v>
      </c>
      <c r="B28" s="164">
        <v>208</v>
      </c>
      <c r="C28" s="164">
        <v>98</v>
      </c>
      <c r="D28" s="164">
        <v>123</v>
      </c>
      <c r="E28" s="164">
        <v>0</v>
      </c>
      <c r="F28" s="164">
        <v>24</v>
      </c>
      <c r="G28" s="164">
        <v>0</v>
      </c>
      <c r="H28" s="164">
        <v>0</v>
      </c>
      <c r="I28" s="164">
        <v>0</v>
      </c>
      <c r="J28" s="164">
        <v>23</v>
      </c>
      <c r="K28" s="164">
        <v>1</v>
      </c>
      <c r="L28" s="24"/>
      <c r="M28" s="91" t="s">
        <v>63</v>
      </c>
      <c r="N28" s="92"/>
      <c r="O28" s="91" t="s">
        <v>64</v>
      </c>
      <c r="P28" s="92"/>
      <c r="Q28" s="95" t="s">
        <v>65</v>
      </c>
      <c r="R28" s="99"/>
      <c r="S28" s="96"/>
      <c r="T28" s="95" t="s">
        <v>66</v>
      </c>
      <c r="U28" s="99"/>
      <c r="V28" s="99"/>
      <c r="W28" s="99"/>
      <c r="X28" s="99"/>
      <c r="Y28" s="96"/>
    </row>
    <row r="29" spans="1:25" ht="19.5" customHeight="1" x14ac:dyDescent="0.25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27"/>
      <c r="M29" s="91">
        <v>0</v>
      </c>
      <c r="N29" s="92"/>
      <c r="O29" s="91">
        <v>0</v>
      </c>
      <c r="P29" s="92"/>
      <c r="Q29" s="91">
        <v>0</v>
      </c>
      <c r="R29" s="97"/>
      <c r="S29" s="92"/>
      <c r="T29" s="28"/>
      <c r="U29" s="86" t="s">
        <v>0</v>
      </c>
      <c r="V29" s="88"/>
      <c r="W29" s="29" t="s">
        <v>1</v>
      </c>
      <c r="X29" s="86" t="s">
        <v>67</v>
      </c>
      <c r="Y29" s="88"/>
    </row>
    <row r="30" spans="1:25" ht="18" customHeight="1" x14ac:dyDescent="0.25">
      <c r="A30" s="189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27"/>
      <c r="M30" s="93"/>
      <c r="N30" s="94"/>
      <c r="O30" s="93"/>
      <c r="P30" s="94"/>
      <c r="Q30" s="93"/>
      <c r="R30" s="98"/>
      <c r="S30" s="94"/>
      <c r="T30" s="30" t="s">
        <v>68</v>
      </c>
      <c r="U30" s="100">
        <v>0</v>
      </c>
      <c r="V30" s="100"/>
      <c r="W30" s="29">
        <v>0</v>
      </c>
      <c r="X30" s="186">
        <v>0</v>
      </c>
      <c r="Y30" s="187"/>
    </row>
    <row r="31" spans="1:25" ht="18" customHeight="1" x14ac:dyDescent="0.25">
      <c r="A31" s="189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27"/>
      <c r="M31" s="93"/>
      <c r="N31" s="94"/>
      <c r="O31" s="93"/>
      <c r="P31" s="94"/>
      <c r="Q31" s="93"/>
      <c r="R31" s="98"/>
      <c r="S31" s="94"/>
      <c r="T31" s="30" t="s">
        <v>69</v>
      </c>
      <c r="U31" s="100">
        <v>0</v>
      </c>
      <c r="V31" s="100"/>
      <c r="W31" s="29">
        <v>0</v>
      </c>
      <c r="X31" s="186">
        <v>0</v>
      </c>
      <c r="Y31" s="187"/>
    </row>
    <row r="32" spans="1:25" ht="18" customHeight="1" x14ac:dyDescent="0.25">
      <c r="A32" s="165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27"/>
      <c r="M32" s="95"/>
      <c r="N32" s="96"/>
      <c r="O32" s="95"/>
      <c r="P32" s="96"/>
      <c r="Q32" s="95"/>
      <c r="R32" s="99"/>
      <c r="S32" s="96"/>
      <c r="T32" s="30" t="s">
        <v>70</v>
      </c>
      <c r="U32" s="100">
        <v>0</v>
      </c>
      <c r="V32" s="100"/>
      <c r="W32" s="29">
        <v>0</v>
      </c>
      <c r="X32" s="186">
        <v>0</v>
      </c>
      <c r="Y32" s="187"/>
    </row>
    <row r="33" spans="1:25" ht="3" customHeight="1" x14ac:dyDescent="0.2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3"/>
      <c r="M33" s="32"/>
      <c r="N33" s="32"/>
      <c r="O33" s="32"/>
      <c r="P33" s="32"/>
      <c r="Q33" s="32"/>
      <c r="R33" s="34"/>
      <c r="S33" s="34"/>
      <c r="T33" s="34"/>
      <c r="U33" s="34"/>
      <c r="V33" s="34"/>
      <c r="W33" s="32"/>
      <c r="X33" s="32"/>
      <c r="Y33" s="7"/>
    </row>
    <row r="34" spans="1:25" ht="15.6" x14ac:dyDescent="0.3">
      <c r="A34" s="18" t="s">
        <v>71</v>
      </c>
      <c r="B34" s="19"/>
      <c r="C34" s="19"/>
      <c r="D34" s="19"/>
      <c r="E34" s="19"/>
      <c r="F34" s="19"/>
      <c r="G34" s="19"/>
      <c r="H34" s="19"/>
      <c r="I34" s="19"/>
      <c r="J34" s="19"/>
      <c r="K34" s="20"/>
      <c r="L34" s="35"/>
      <c r="M34" s="18" t="s">
        <v>72</v>
      </c>
      <c r="N34" s="20"/>
      <c r="O34" s="36"/>
      <c r="P34" s="19"/>
      <c r="Q34" s="19"/>
      <c r="R34" s="19"/>
      <c r="S34" s="19"/>
      <c r="T34" s="19"/>
      <c r="U34" s="19"/>
      <c r="V34" s="19"/>
      <c r="W34" s="22"/>
      <c r="X34" s="22"/>
      <c r="Y34" s="37"/>
    </row>
    <row r="35" spans="1:25" ht="61.5" customHeight="1" x14ac:dyDescent="0.25">
      <c r="A35" s="71"/>
      <c r="B35" s="72"/>
      <c r="C35" s="72"/>
      <c r="D35" s="72"/>
      <c r="E35" s="73"/>
      <c r="F35" s="68" t="s">
        <v>12</v>
      </c>
      <c r="G35" s="70"/>
      <c r="H35" s="68" t="s">
        <v>13</v>
      </c>
      <c r="I35" s="70"/>
      <c r="J35" s="38" t="s">
        <v>73</v>
      </c>
      <c r="K35" s="39"/>
      <c r="L35" s="40"/>
      <c r="M35" s="77" t="s">
        <v>74</v>
      </c>
      <c r="N35" s="78"/>
      <c r="O35" s="77" t="s">
        <v>75</v>
      </c>
      <c r="P35" s="78"/>
      <c r="Q35" s="77" t="s">
        <v>76</v>
      </c>
      <c r="R35" s="78"/>
      <c r="S35" s="77" t="s">
        <v>77</v>
      </c>
      <c r="T35" s="79"/>
      <c r="U35" s="79"/>
      <c r="V35" s="78"/>
      <c r="W35" s="77" t="s">
        <v>78</v>
      </c>
      <c r="X35" s="79"/>
      <c r="Y35" s="78"/>
    </row>
    <row r="36" spans="1:25" x14ac:dyDescent="0.25">
      <c r="A36" s="74"/>
      <c r="B36" s="75"/>
      <c r="C36" s="75"/>
      <c r="D36" s="75"/>
      <c r="E36" s="76"/>
      <c r="F36" s="10" t="s">
        <v>79</v>
      </c>
      <c r="G36" s="10" t="s">
        <v>14</v>
      </c>
      <c r="H36" s="10" t="s">
        <v>79</v>
      </c>
      <c r="I36" s="10" t="s">
        <v>14</v>
      </c>
      <c r="J36" s="10" t="s">
        <v>79</v>
      </c>
      <c r="K36" s="10" t="s">
        <v>14</v>
      </c>
      <c r="L36" s="41"/>
      <c r="M36" s="42" t="s">
        <v>80</v>
      </c>
      <c r="N36" s="42" t="s">
        <v>81</v>
      </c>
      <c r="O36" s="42" t="s">
        <v>80</v>
      </c>
      <c r="P36" s="43" t="s">
        <v>81</v>
      </c>
      <c r="Q36" s="42" t="s">
        <v>80</v>
      </c>
      <c r="R36" s="42" t="s">
        <v>81</v>
      </c>
      <c r="S36" s="44"/>
      <c r="T36" s="42" t="s">
        <v>0</v>
      </c>
      <c r="U36" s="45" t="s">
        <v>1</v>
      </c>
      <c r="V36" s="46" t="s">
        <v>82</v>
      </c>
      <c r="W36" s="42" t="s">
        <v>0</v>
      </c>
      <c r="X36" s="45" t="s">
        <v>1</v>
      </c>
      <c r="Y36" s="46" t="s">
        <v>82</v>
      </c>
    </row>
    <row r="37" spans="1:25" ht="14.4" x14ac:dyDescent="0.3">
      <c r="A37" s="80" t="s">
        <v>83</v>
      </c>
      <c r="B37" s="81"/>
      <c r="C37" s="81"/>
      <c r="D37" s="81"/>
      <c r="E37" s="82"/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41"/>
      <c r="M37" s="83">
        <v>0</v>
      </c>
      <c r="N37" s="83">
        <v>530</v>
      </c>
      <c r="O37" s="83">
        <v>0</v>
      </c>
      <c r="P37" s="83">
        <v>35</v>
      </c>
      <c r="Q37" s="83">
        <v>0</v>
      </c>
      <c r="R37" s="83">
        <v>12</v>
      </c>
      <c r="S37" s="47" t="s">
        <v>68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</row>
    <row r="38" spans="1:25" ht="14.4" x14ac:dyDescent="0.3">
      <c r="A38" s="80" t="s">
        <v>8</v>
      </c>
      <c r="B38" s="81"/>
      <c r="C38" s="81"/>
      <c r="D38" s="81"/>
      <c r="E38" s="82"/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41"/>
      <c r="M38" s="84"/>
      <c r="N38" s="84"/>
      <c r="O38" s="84"/>
      <c r="P38" s="84"/>
      <c r="Q38" s="84"/>
      <c r="R38" s="84"/>
      <c r="S38" s="47" t="s">
        <v>69</v>
      </c>
      <c r="T38" s="48">
        <v>0</v>
      </c>
      <c r="U38" s="48">
        <v>0</v>
      </c>
      <c r="V38" s="48">
        <v>0</v>
      </c>
      <c r="W38" s="48">
        <v>0</v>
      </c>
      <c r="X38" s="48">
        <v>0</v>
      </c>
      <c r="Y38" s="48">
        <v>0</v>
      </c>
    </row>
    <row r="39" spans="1:25" x14ac:dyDescent="0.25">
      <c r="A39" s="86" t="s">
        <v>84</v>
      </c>
      <c r="B39" s="87"/>
      <c r="C39" s="87"/>
      <c r="D39" s="87"/>
      <c r="E39" s="88"/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41"/>
      <c r="M39" s="84"/>
      <c r="N39" s="84"/>
      <c r="O39" s="84"/>
      <c r="P39" s="84"/>
      <c r="Q39" s="84"/>
      <c r="R39" s="84"/>
      <c r="S39" s="89" t="s">
        <v>70</v>
      </c>
      <c r="T39" s="83">
        <v>0</v>
      </c>
      <c r="U39" s="83">
        <v>0</v>
      </c>
      <c r="V39" s="83">
        <v>0</v>
      </c>
      <c r="W39" s="83">
        <v>0</v>
      </c>
      <c r="X39" s="83">
        <v>0</v>
      </c>
      <c r="Y39" s="83">
        <v>0</v>
      </c>
    </row>
    <row r="40" spans="1:25" x14ac:dyDescent="0.25">
      <c r="A40" s="68" t="s">
        <v>7</v>
      </c>
      <c r="B40" s="69"/>
      <c r="C40" s="69"/>
      <c r="D40" s="69"/>
      <c r="E40" s="70"/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41"/>
      <c r="M40" s="85"/>
      <c r="N40" s="85"/>
      <c r="O40" s="85"/>
      <c r="P40" s="85"/>
      <c r="Q40" s="85"/>
      <c r="R40" s="85"/>
      <c r="S40" s="90"/>
      <c r="T40" s="85"/>
      <c r="U40" s="85"/>
      <c r="V40" s="85"/>
      <c r="W40" s="85"/>
      <c r="X40" s="85"/>
      <c r="Y40" s="85"/>
    </row>
    <row r="41" spans="1:25" ht="23.4" x14ac:dyDescent="0.45">
      <c r="A41" s="120" t="s">
        <v>17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</row>
    <row r="42" spans="1:25" ht="23.4" x14ac:dyDescent="0.25">
      <c r="A42" s="111" t="s">
        <v>18</v>
      </c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"/>
      <c r="U42" s="112" t="s">
        <v>19</v>
      </c>
      <c r="V42" s="112"/>
      <c r="W42" s="1"/>
      <c r="X42" s="1"/>
      <c r="Y42" s="1"/>
    </row>
    <row r="43" spans="1:25" ht="34.5" customHeight="1" x14ac:dyDescent="0.25">
      <c r="A43" s="113" t="s">
        <v>20</v>
      </c>
      <c r="B43" s="113"/>
      <c r="C43" s="113"/>
      <c r="D43" s="113"/>
      <c r="E43" s="205" t="s">
        <v>91</v>
      </c>
      <c r="F43" s="205"/>
      <c r="G43" s="205"/>
      <c r="H43" s="116" t="s">
        <v>22</v>
      </c>
      <c r="I43" s="116"/>
      <c r="J43" s="115">
        <v>0</v>
      </c>
      <c r="K43" s="115"/>
      <c r="L43" s="116" t="s">
        <v>23</v>
      </c>
      <c r="M43" s="116"/>
      <c r="N43" s="188" t="s">
        <v>15</v>
      </c>
      <c r="O43" s="188"/>
      <c r="P43" s="188"/>
      <c r="Q43" s="118" t="s">
        <v>24</v>
      </c>
      <c r="R43" s="118"/>
      <c r="S43" s="118"/>
      <c r="T43" s="118"/>
      <c r="U43" s="119" t="s">
        <v>85</v>
      </c>
      <c r="V43" s="119"/>
      <c r="W43" s="119"/>
      <c r="X43" s="147" t="s">
        <v>93</v>
      </c>
      <c r="Y43" s="147"/>
    </row>
    <row r="44" spans="1:25" ht="5.25" customHeight="1" x14ac:dyDescent="0.25">
      <c r="Q44" s="118"/>
      <c r="R44" s="118"/>
      <c r="S44" s="118"/>
      <c r="T44" s="118"/>
      <c r="U44" s="119"/>
      <c r="V44" s="119"/>
      <c r="W44" s="119"/>
      <c r="X44" s="147"/>
      <c r="Y44" s="147"/>
    </row>
    <row r="45" spans="1:25" ht="15.6" x14ac:dyDescent="0.3">
      <c r="A45" s="166" t="s">
        <v>26</v>
      </c>
      <c r="B45" s="166"/>
      <c r="C45" s="166"/>
      <c r="D45" s="166"/>
      <c r="E45" s="166"/>
      <c r="F45" s="166"/>
      <c r="G45" s="167" t="s">
        <v>27</v>
      </c>
      <c r="H45" s="167"/>
      <c r="I45" s="167"/>
      <c r="J45" s="167"/>
      <c r="K45" s="167"/>
      <c r="L45" s="167"/>
      <c r="M45" s="167"/>
      <c r="N45" s="2"/>
      <c r="Q45" s="168" t="s">
        <v>28</v>
      </c>
      <c r="R45" s="168"/>
      <c r="S45" s="168"/>
      <c r="T45" s="168"/>
      <c r="U45" s="168"/>
      <c r="V45" s="148" t="s">
        <v>29</v>
      </c>
      <c r="W45" s="148"/>
      <c r="X45" s="148"/>
      <c r="Y45" s="148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4" x14ac:dyDescent="0.25">
      <c r="A47" s="149" t="s">
        <v>31</v>
      </c>
      <c r="B47" s="150"/>
      <c r="C47" s="150"/>
      <c r="D47" s="150"/>
      <c r="E47" s="150"/>
      <c r="F47" s="150"/>
      <c r="G47" s="150"/>
      <c r="H47" s="150"/>
      <c r="I47" s="151"/>
      <c r="J47" s="152" t="s">
        <v>32</v>
      </c>
      <c r="K47" s="153"/>
      <c r="L47" s="152" t="s">
        <v>33</v>
      </c>
      <c r="M47" s="153"/>
      <c r="N47" s="91" t="s">
        <v>34</v>
      </c>
      <c r="O47" s="92"/>
      <c r="P47" s="152" t="s">
        <v>35</v>
      </c>
      <c r="Q47" s="153"/>
      <c r="R47" s="68" t="s">
        <v>36</v>
      </c>
      <c r="S47" s="69"/>
      <c r="T47" s="69"/>
      <c r="U47" s="69"/>
      <c r="V47" s="69"/>
      <c r="W47" s="70"/>
      <c r="X47" s="152" t="s">
        <v>7</v>
      </c>
      <c r="Y47" s="153"/>
    </row>
    <row r="48" spans="1:25" x14ac:dyDescent="0.25">
      <c r="A48" s="158" t="s">
        <v>37</v>
      </c>
      <c r="B48" s="159"/>
      <c r="C48" s="159"/>
      <c r="D48" s="159"/>
      <c r="E48" s="159"/>
      <c r="F48" s="159"/>
      <c r="G48" s="159"/>
      <c r="H48" s="159"/>
      <c r="I48" s="160"/>
      <c r="J48" s="154"/>
      <c r="K48" s="155"/>
      <c r="L48" s="154"/>
      <c r="M48" s="155"/>
      <c r="N48" s="93"/>
      <c r="O48" s="94"/>
      <c r="P48" s="154"/>
      <c r="Q48" s="155"/>
      <c r="R48" s="164" t="s">
        <v>38</v>
      </c>
      <c r="S48" s="164"/>
      <c r="T48" s="164" t="s">
        <v>39</v>
      </c>
      <c r="U48" s="164"/>
      <c r="V48" s="164" t="s">
        <v>40</v>
      </c>
      <c r="W48" s="164"/>
      <c r="X48" s="154"/>
      <c r="Y48" s="155"/>
    </row>
    <row r="49" spans="1:25" x14ac:dyDescent="0.25">
      <c r="A49" s="161"/>
      <c r="B49" s="162"/>
      <c r="C49" s="162"/>
      <c r="D49" s="162"/>
      <c r="E49" s="162"/>
      <c r="F49" s="162"/>
      <c r="G49" s="162"/>
      <c r="H49" s="162"/>
      <c r="I49" s="163"/>
      <c r="J49" s="156"/>
      <c r="K49" s="157"/>
      <c r="L49" s="156"/>
      <c r="M49" s="157"/>
      <c r="N49" s="95"/>
      <c r="O49" s="96"/>
      <c r="P49" s="156"/>
      <c r="Q49" s="157"/>
      <c r="R49" s="165"/>
      <c r="S49" s="165"/>
      <c r="T49" s="165"/>
      <c r="U49" s="165"/>
      <c r="V49" s="165"/>
      <c r="W49" s="165"/>
      <c r="X49" s="156"/>
      <c r="Y49" s="157"/>
    </row>
    <row r="50" spans="1:25" ht="18" customHeight="1" x14ac:dyDescent="0.3">
      <c r="A50" s="106" t="s">
        <v>41</v>
      </c>
      <c r="B50" s="107"/>
      <c r="C50" s="107"/>
      <c r="D50" s="107"/>
      <c r="E50" s="107"/>
      <c r="F50" s="107"/>
      <c r="G50" s="107"/>
      <c r="H50" s="107"/>
      <c r="I50" s="108"/>
      <c r="J50" s="68">
        <v>29</v>
      </c>
      <c r="K50" s="70"/>
      <c r="L50" s="68">
        <v>2</v>
      </c>
      <c r="M50" s="70"/>
      <c r="N50" s="68">
        <v>0</v>
      </c>
      <c r="O50" s="70"/>
      <c r="P50" s="68">
        <v>31</v>
      </c>
      <c r="Q50" s="70"/>
      <c r="R50" s="68">
        <v>0</v>
      </c>
      <c r="S50" s="70"/>
      <c r="T50" s="68">
        <v>0</v>
      </c>
      <c r="U50" s="70"/>
      <c r="V50" s="68">
        <v>0</v>
      </c>
      <c r="W50" s="70"/>
      <c r="X50" s="80">
        <v>31</v>
      </c>
      <c r="Y50" s="82"/>
    </row>
    <row r="51" spans="1:25" ht="18" customHeight="1" x14ac:dyDescent="0.3">
      <c r="A51" s="106" t="s">
        <v>42</v>
      </c>
      <c r="B51" s="107"/>
      <c r="C51" s="107"/>
      <c r="D51" s="107"/>
      <c r="E51" s="107"/>
      <c r="F51" s="107"/>
      <c r="G51" s="107"/>
      <c r="H51" s="107"/>
      <c r="I51" s="108"/>
      <c r="J51" s="68">
        <v>32</v>
      </c>
      <c r="K51" s="70"/>
      <c r="L51" s="68">
        <v>0</v>
      </c>
      <c r="M51" s="70"/>
      <c r="N51" s="68">
        <v>0</v>
      </c>
      <c r="O51" s="70"/>
      <c r="P51" s="68">
        <v>32</v>
      </c>
      <c r="Q51" s="70"/>
      <c r="R51" s="68">
        <v>0</v>
      </c>
      <c r="S51" s="70"/>
      <c r="T51" s="68">
        <v>0</v>
      </c>
      <c r="U51" s="70"/>
      <c r="V51" s="68">
        <v>0</v>
      </c>
      <c r="W51" s="70"/>
      <c r="X51" s="80">
        <v>32</v>
      </c>
      <c r="Y51" s="82"/>
    </row>
    <row r="52" spans="1:25" ht="18" customHeight="1" x14ac:dyDescent="0.3">
      <c r="A52" s="106" t="s">
        <v>43</v>
      </c>
      <c r="B52" s="107"/>
      <c r="C52" s="107"/>
      <c r="D52" s="107"/>
      <c r="E52" s="107"/>
      <c r="F52" s="107"/>
      <c r="G52" s="107"/>
      <c r="H52" s="107"/>
      <c r="I52" s="108"/>
      <c r="J52" s="68">
        <v>0</v>
      </c>
      <c r="K52" s="70"/>
      <c r="L52" s="68">
        <v>0</v>
      </c>
      <c r="M52" s="70"/>
      <c r="N52" s="68">
        <v>0</v>
      </c>
      <c r="O52" s="70"/>
      <c r="P52" s="68">
        <v>0</v>
      </c>
      <c r="Q52" s="70"/>
      <c r="R52" s="68">
        <v>0</v>
      </c>
      <c r="S52" s="70"/>
      <c r="T52" s="68">
        <v>0</v>
      </c>
      <c r="U52" s="70"/>
      <c r="V52" s="68">
        <v>0</v>
      </c>
      <c r="W52" s="70"/>
      <c r="X52" s="80">
        <v>0</v>
      </c>
      <c r="Y52" s="82"/>
    </row>
    <row r="53" spans="1:25" ht="18" customHeight="1" x14ac:dyDescent="0.3">
      <c r="A53" s="106" t="s">
        <v>44</v>
      </c>
      <c r="B53" s="107"/>
      <c r="C53" s="107"/>
      <c r="D53" s="107"/>
      <c r="E53" s="107"/>
      <c r="F53" s="107"/>
      <c r="G53" s="107"/>
      <c r="H53" s="107"/>
      <c r="I53" s="108"/>
      <c r="J53" s="68">
        <v>44</v>
      </c>
      <c r="K53" s="70"/>
      <c r="L53" s="68">
        <v>0</v>
      </c>
      <c r="M53" s="70"/>
      <c r="N53" s="68">
        <v>0</v>
      </c>
      <c r="O53" s="70"/>
      <c r="P53" s="68">
        <v>44</v>
      </c>
      <c r="Q53" s="70"/>
      <c r="R53" s="68">
        <v>0</v>
      </c>
      <c r="S53" s="70"/>
      <c r="T53" s="68">
        <v>0</v>
      </c>
      <c r="U53" s="70"/>
      <c r="V53" s="68">
        <v>0</v>
      </c>
      <c r="W53" s="70"/>
      <c r="X53" s="80">
        <v>44</v>
      </c>
      <c r="Y53" s="82"/>
    </row>
    <row r="54" spans="1:25" ht="18" customHeight="1" x14ac:dyDescent="0.3">
      <c r="A54" s="106" t="s">
        <v>7</v>
      </c>
      <c r="B54" s="107"/>
      <c r="C54" s="107"/>
      <c r="D54" s="107"/>
      <c r="E54" s="107"/>
      <c r="F54" s="107"/>
      <c r="G54" s="107"/>
      <c r="H54" s="107"/>
      <c r="I54" s="108"/>
      <c r="J54" s="68">
        <v>105</v>
      </c>
      <c r="K54" s="70"/>
      <c r="L54" s="68">
        <v>2</v>
      </c>
      <c r="M54" s="70"/>
      <c r="N54" s="68">
        <v>0</v>
      </c>
      <c r="O54" s="70"/>
      <c r="P54" s="68">
        <v>107</v>
      </c>
      <c r="Q54" s="70"/>
      <c r="R54" s="68">
        <v>0</v>
      </c>
      <c r="S54" s="70"/>
      <c r="T54" s="68">
        <v>0</v>
      </c>
      <c r="U54" s="70"/>
      <c r="V54" s="68">
        <v>0</v>
      </c>
      <c r="W54" s="70"/>
      <c r="X54" s="80">
        <v>107</v>
      </c>
      <c r="Y54" s="82"/>
    </row>
    <row r="55" spans="1:25" ht="15.6" x14ac:dyDescent="0.3">
      <c r="A55" s="4" t="s">
        <v>45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6"/>
      <c r="S55" s="6"/>
      <c r="T55" s="6"/>
      <c r="U55" s="6"/>
      <c r="V55" s="6"/>
      <c r="W55" s="6"/>
      <c r="X55" s="6"/>
      <c r="Y55" s="7"/>
    </row>
    <row r="56" spans="1:25" x14ac:dyDescent="0.25">
      <c r="A56" s="71"/>
      <c r="B56" s="72"/>
      <c r="C56" s="72"/>
      <c r="D56" s="72"/>
      <c r="E56" s="72"/>
      <c r="F56" s="72"/>
      <c r="G56" s="73"/>
      <c r="H56" s="68" t="s">
        <v>0</v>
      </c>
      <c r="I56" s="69"/>
      <c r="J56" s="136" t="s">
        <v>1</v>
      </c>
      <c r="K56" s="69"/>
      <c r="L56" s="134" t="s">
        <v>2</v>
      </c>
      <c r="M56" s="69"/>
      <c r="N56" s="134" t="s">
        <v>3</v>
      </c>
      <c r="O56" s="69"/>
      <c r="P56" s="134" t="s">
        <v>4</v>
      </c>
      <c r="Q56" s="135"/>
      <c r="R56" s="134" t="s">
        <v>5</v>
      </c>
      <c r="S56" s="69"/>
      <c r="T56" s="134" t="s">
        <v>6</v>
      </c>
      <c r="U56" s="69"/>
      <c r="V56" s="134" t="s">
        <v>46</v>
      </c>
      <c r="W56" s="69"/>
      <c r="X56" s="134" t="s">
        <v>7</v>
      </c>
      <c r="Y56" s="135"/>
    </row>
    <row r="57" spans="1:25" x14ac:dyDescent="0.25">
      <c r="A57" s="74"/>
      <c r="B57" s="75"/>
      <c r="C57" s="75"/>
      <c r="D57" s="75"/>
      <c r="E57" s="75"/>
      <c r="F57" s="75"/>
      <c r="G57" s="76"/>
      <c r="H57" s="10" t="s">
        <v>10</v>
      </c>
      <c r="I57" s="10" t="s">
        <v>11</v>
      </c>
      <c r="J57" s="10" t="s">
        <v>10</v>
      </c>
      <c r="K57" s="10" t="s">
        <v>11</v>
      </c>
      <c r="L57" s="10" t="s">
        <v>10</v>
      </c>
      <c r="M57" s="10" t="s">
        <v>11</v>
      </c>
      <c r="N57" s="10" t="s">
        <v>10</v>
      </c>
      <c r="O57" s="10" t="s">
        <v>11</v>
      </c>
      <c r="P57" s="10" t="s">
        <v>10</v>
      </c>
      <c r="Q57" s="10" t="s">
        <v>11</v>
      </c>
      <c r="R57" s="10" t="s">
        <v>10</v>
      </c>
      <c r="S57" s="10" t="s">
        <v>11</v>
      </c>
      <c r="T57" s="10" t="s">
        <v>10</v>
      </c>
      <c r="U57" s="10" t="s">
        <v>11</v>
      </c>
      <c r="V57" s="10" t="s">
        <v>10</v>
      </c>
      <c r="W57" s="10" t="s">
        <v>11</v>
      </c>
      <c r="X57" s="10" t="s">
        <v>10</v>
      </c>
      <c r="Y57" s="10" t="s">
        <v>11</v>
      </c>
    </row>
    <row r="58" spans="1:25" ht="18" customHeight="1" x14ac:dyDescent="0.25">
      <c r="A58" s="106" t="s">
        <v>41</v>
      </c>
      <c r="B58" s="107"/>
      <c r="C58" s="107"/>
      <c r="D58" s="107"/>
      <c r="E58" s="107"/>
      <c r="F58" s="107"/>
      <c r="G58" s="108"/>
      <c r="H58" s="10">
        <v>0</v>
      </c>
      <c r="I58" s="10">
        <v>0</v>
      </c>
      <c r="J58" s="10">
        <v>0</v>
      </c>
      <c r="K58" s="10">
        <v>0</v>
      </c>
      <c r="L58" s="10">
        <v>3</v>
      </c>
      <c r="M58" s="10">
        <v>5</v>
      </c>
      <c r="N58" s="10">
        <v>7</v>
      </c>
      <c r="O58" s="10">
        <v>1</v>
      </c>
      <c r="P58" s="10">
        <v>2</v>
      </c>
      <c r="Q58" s="10">
        <v>1</v>
      </c>
      <c r="R58" s="10">
        <v>4</v>
      </c>
      <c r="S58" s="10">
        <v>2</v>
      </c>
      <c r="T58" s="10">
        <v>3</v>
      </c>
      <c r="U58" s="10">
        <v>0</v>
      </c>
      <c r="V58" s="10">
        <v>1</v>
      </c>
      <c r="W58" s="10">
        <v>2</v>
      </c>
      <c r="X58" s="10">
        <v>20</v>
      </c>
      <c r="Y58" s="10">
        <v>11</v>
      </c>
    </row>
    <row r="59" spans="1:25" ht="18" customHeight="1" x14ac:dyDescent="0.25">
      <c r="A59" s="106" t="s">
        <v>42</v>
      </c>
      <c r="B59" s="107"/>
      <c r="C59" s="107"/>
      <c r="D59" s="107"/>
      <c r="E59" s="107"/>
      <c r="F59" s="107"/>
      <c r="G59" s="108"/>
      <c r="H59" s="10">
        <v>0</v>
      </c>
      <c r="I59" s="10">
        <v>0</v>
      </c>
      <c r="J59" s="10">
        <v>0</v>
      </c>
      <c r="K59" s="10">
        <v>1</v>
      </c>
      <c r="L59" s="10">
        <v>4</v>
      </c>
      <c r="M59" s="10">
        <v>4</v>
      </c>
      <c r="N59" s="10">
        <v>4</v>
      </c>
      <c r="O59" s="10">
        <v>6</v>
      </c>
      <c r="P59" s="10">
        <v>0</v>
      </c>
      <c r="Q59" s="10">
        <v>1</v>
      </c>
      <c r="R59" s="10">
        <v>2</v>
      </c>
      <c r="S59" s="10">
        <v>5</v>
      </c>
      <c r="T59" s="10">
        <v>2</v>
      </c>
      <c r="U59" s="10">
        <v>1</v>
      </c>
      <c r="V59" s="10">
        <v>1</v>
      </c>
      <c r="W59" s="10">
        <v>1</v>
      </c>
      <c r="X59" s="10">
        <v>13</v>
      </c>
      <c r="Y59" s="10">
        <v>19</v>
      </c>
    </row>
    <row r="60" spans="1:25" ht="18" customHeight="1" x14ac:dyDescent="0.25">
      <c r="A60" s="106" t="s">
        <v>43</v>
      </c>
      <c r="B60" s="107"/>
      <c r="C60" s="107"/>
      <c r="D60" s="107"/>
      <c r="E60" s="107"/>
      <c r="F60" s="107"/>
      <c r="G60" s="108"/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</row>
    <row r="61" spans="1:25" ht="18" customHeight="1" x14ac:dyDescent="0.25">
      <c r="A61" s="106" t="s">
        <v>44</v>
      </c>
      <c r="B61" s="107"/>
      <c r="C61" s="107"/>
      <c r="D61" s="107"/>
      <c r="E61" s="107"/>
      <c r="F61" s="107"/>
      <c r="G61" s="108"/>
      <c r="H61" s="10">
        <v>1</v>
      </c>
      <c r="I61" s="10">
        <v>1</v>
      </c>
      <c r="J61" s="10">
        <v>13</v>
      </c>
      <c r="K61" s="10">
        <v>6</v>
      </c>
      <c r="L61" s="10">
        <v>6</v>
      </c>
      <c r="M61" s="10">
        <v>2</v>
      </c>
      <c r="N61" s="10">
        <v>4</v>
      </c>
      <c r="O61" s="10">
        <v>0</v>
      </c>
      <c r="P61" s="10">
        <v>1</v>
      </c>
      <c r="Q61" s="10">
        <v>0</v>
      </c>
      <c r="R61" s="10">
        <v>1</v>
      </c>
      <c r="S61" s="10">
        <v>1</v>
      </c>
      <c r="T61" s="10">
        <v>2</v>
      </c>
      <c r="U61" s="10">
        <v>1</v>
      </c>
      <c r="V61" s="10">
        <v>2</v>
      </c>
      <c r="W61" s="10">
        <v>3</v>
      </c>
      <c r="X61" s="10">
        <v>30</v>
      </c>
      <c r="Y61" s="10">
        <v>14</v>
      </c>
    </row>
    <row r="62" spans="1:25" ht="18" customHeight="1" x14ac:dyDescent="0.25">
      <c r="A62" s="106" t="s">
        <v>7</v>
      </c>
      <c r="B62" s="107"/>
      <c r="C62" s="107"/>
      <c r="D62" s="107"/>
      <c r="E62" s="107"/>
      <c r="F62" s="107"/>
      <c r="G62" s="108"/>
      <c r="H62" s="10">
        <v>1</v>
      </c>
      <c r="I62" s="10">
        <v>1</v>
      </c>
      <c r="J62" s="10">
        <v>13</v>
      </c>
      <c r="K62" s="10">
        <v>7</v>
      </c>
      <c r="L62" s="10">
        <v>13</v>
      </c>
      <c r="M62" s="10">
        <v>11</v>
      </c>
      <c r="N62" s="10">
        <v>15</v>
      </c>
      <c r="O62" s="10">
        <v>7</v>
      </c>
      <c r="P62" s="10">
        <v>3</v>
      </c>
      <c r="Q62" s="10">
        <v>2</v>
      </c>
      <c r="R62" s="10">
        <v>7</v>
      </c>
      <c r="S62" s="10">
        <v>8</v>
      </c>
      <c r="T62" s="10">
        <v>7</v>
      </c>
      <c r="U62" s="10">
        <v>2</v>
      </c>
      <c r="V62" s="10">
        <v>4</v>
      </c>
      <c r="W62" s="10">
        <v>6</v>
      </c>
      <c r="X62" s="10">
        <v>63</v>
      </c>
      <c r="Y62" s="10">
        <v>44</v>
      </c>
    </row>
    <row r="63" spans="1:25" ht="6.75" customHeight="1" x14ac:dyDescent="0.25">
      <c r="A63" s="11"/>
      <c r="B63" s="12"/>
      <c r="C63" s="12"/>
      <c r="D63" s="12"/>
      <c r="E63" s="12"/>
      <c r="F63" s="13"/>
      <c r="G63" s="13"/>
      <c r="H63" s="13"/>
      <c r="I63" s="13"/>
      <c r="J63" s="13"/>
      <c r="K63" s="13"/>
      <c r="L63" s="14"/>
      <c r="M63" s="13"/>
      <c r="N63" s="15"/>
      <c r="O63" s="16"/>
      <c r="P63" s="13"/>
      <c r="Q63" s="13"/>
      <c r="R63" s="13"/>
      <c r="S63" s="13"/>
      <c r="T63" s="13"/>
      <c r="U63" s="13"/>
      <c r="V63" s="13"/>
      <c r="W63" s="13"/>
      <c r="X63" s="13"/>
      <c r="Y63" s="17"/>
    </row>
    <row r="64" spans="1:25" ht="18" customHeight="1" x14ac:dyDescent="0.3">
      <c r="A64" s="18" t="s">
        <v>47</v>
      </c>
      <c r="B64" s="19"/>
      <c r="C64" s="19"/>
      <c r="D64" s="19"/>
      <c r="E64" s="19"/>
      <c r="F64" s="19"/>
      <c r="G64" s="19"/>
      <c r="H64" s="19"/>
      <c r="I64" s="19"/>
      <c r="J64" s="19"/>
      <c r="K64" s="20"/>
      <c r="L64" s="21"/>
      <c r="M64" s="18" t="s">
        <v>48</v>
      </c>
      <c r="N64" s="19"/>
      <c r="O64" s="19"/>
      <c r="P64" s="19"/>
      <c r="Q64" s="22"/>
      <c r="R64" s="22"/>
      <c r="S64" s="22"/>
      <c r="T64" s="22"/>
      <c r="U64" s="22"/>
      <c r="V64" s="22"/>
      <c r="W64" s="22"/>
      <c r="X64" s="22"/>
      <c r="Y64" s="23"/>
    </row>
    <row r="65" spans="1:25" ht="50.25" customHeight="1" x14ac:dyDescent="0.25">
      <c r="A65" s="101" t="s">
        <v>49</v>
      </c>
      <c r="B65" s="101" t="s">
        <v>50</v>
      </c>
      <c r="C65" s="101" t="s">
        <v>51</v>
      </c>
      <c r="D65" s="77" t="s">
        <v>52</v>
      </c>
      <c r="E65" s="78"/>
      <c r="F65" s="77" t="s">
        <v>53</v>
      </c>
      <c r="G65" s="79"/>
      <c r="H65" s="79"/>
      <c r="I65" s="78"/>
      <c r="J65" s="101" t="s">
        <v>54</v>
      </c>
      <c r="K65" s="101" t="s">
        <v>55</v>
      </c>
      <c r="L65" s="24"/>
      <c r="M65" s="86" t="s">
        <v>56</v>
      </c>
      <c r="N65" s="88"/>
      <c r="O65" s="86" t="s">
        <v>57</v>
      </c>
      <c r="P65" s="88"/>
      <c r="Q65" s="86" t="s">
        <v>58</v>
      </c>
      <c r="R65" s="87"/>
      <c r="S65" s="87"/>
      <c r="T65" s="87"/>
      <c r="U65" s="87"/>
      <c r="V65" s="87"/>
      <c r="W65" s="87"/>
      <c r="X65" s="87"/>
      <c r="Y65" s="88"/>
    </row>
    <row r="66" spans="1:25" ht="26.25" customHeight="1" x14ac:dyDescent="0.25">
      <c r="A66" s="102"/>
      <c r="B66" s="102"/>
      <c r="C66" s="102"/>
      <c r="D66" s="25" t="s">
        <v>59</v>
      </c>
      <c r="E66" s="25" t="s">
        <v>60</v>
      </c>
      <c r="F66" s="26" t="s">
        <v>59</v>
      </c>
      <c r="G66" s="26" t="s">
        <v>60</v>
      </c>
      <c r="H66" s="26" t="s">
        <v>61</v>
      </c>
      <c r="I66" s="26" t="s">
        <v>62</v>
      </c>
      <c r="J66" s="102"/>
      <c r="K66" s="102"/>
      <c r="L66" s="24"/>
      <c r="M66" s="91">
        <v>0</v>
      </c>
      <c r="N66" s="92"/>
      <c r="O66" s="91">
        <v>0</v>
      </c>
      <c r="P66" s="92"/>
      <c r="Q66" s="86">
        <v>0</v>
      </c>
      <c r="R66" s="87"/>
      <c r="S66" s="87"/>
      <c r="T66" s="87"/>
      <c r="U66" s="87"/>
      <c r="V66" s="87"/>
      <c r="W66" s="87"/>
      <c r="X66" s="87"/>
      <c r="Y66" s="88"/>
    </row>
    <row r="67" spans="1:25" ht="45" customHeight="1" x14ac:dyDescent="0.25">
      <c r="A67" s="164">
        <v>634</v>
      </c>
      <c r="B67" s="164">
        <v>140</v>
      </c>
      <c r="C67" s="164">
        <v>0</v>
      </c>
      <c r="D67" s="164">
        <v>23</v>
      </c>
      <c r="E67" s="164">
        <v>61</v>
      </c>
      <c r="F67" s="164">
        <v>0</v>
      </c>
      <c r="G67" s="164">
        <v>0</v>
      </c>
      <c r="H67" s="164">
        <v>5</v>
      </c>
      <c r="I67" s="164">
        <v>31</v>
      </c>
      <c r="J67" s="164">
        <v>31</v>
      </c>
      <c r="K67" s="164">
        <v>23</v>
      </c>
      <c r="L67" s="24"/>
      <c r="M67" s="91" t="s">
        <v>63</v>
      </c>
      <c r="N67" s="92"/>
      <c r="O67" s="91" t="s">
        <v>64</v>
      </c>
      <c r="P67" s="92"/>
      <c r="Q67" s="95" t="s">
        <v>65</v>
      </c>
      <c r="R67" s="99"/>
      <c r="S67" s="96"/>
      <c r="T67" s="95" t="s">
        <v>66</v>
      </c>
      <c r="U67" s="99"/>
      <c r="V67" s="99"/>
      <c r="W67" s="99"/>
      <c r="X67" s="99"/>
      <c r="Y67" s="96"/>
    </row>
    <row r="68" spans="1:25" ht="15" customHeight="1" x14ac:dyDescent="0.25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27"/>
      <c r="M68" s="91">
        <v>0</v>
      </c>
      <c r="N68" s="92"/>
      <c r="O68" s="91">
        <v>0</v>
      </c>
      <c r="P68" s="92"/>
      <c r="Q68" s="91">
        <v>0</v>
      </c>
      <c r="R68" s="97"/>
      <c r="S68" s="92"/>
      <c r="T68" s="28"/>
      <c r="U68" s="86" t="s">
        <v>0</v>
      </c>
      <c r="V68" s="88"/>
      <c r="W68" s="29" t="s">
        <v>1</v>
      </c>
      <c r="X68" s="86" t="s">
        <v>67</v>
      </c>
      <c r="Y68" s="88"/>
    </row>
    <row r="69" spans="1:25" x14ac:dyDescent="0.25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27"/>
      <c r="M69" s="93"/>
      <c r="N69" s="94"/>
      <c r="O69" s="93"/>
      <c r="P69" s="94"/>
      <c r="Q69" s="93"/>
      <c r="R69" s="98"/>
      <c r="S69" s="94"/>
      <c r="T69" s="30" t="s">
        <v>68</v>
      </c>
      <c r="U69" s="100">
        <v>0</v>
      </c>
      <c r="V69" s="100"/>
      <c r="W69" s="29">
        <v>0</v>
      </c>
      <c r="X69" s="186">
        <v>0</v>
      </c>
      <c r="Y69" s="187"/>
    </row>
    <row r="70" spans="1:25" x14ac:dyDescent="0.25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27"/>
      <c r="M70" s="93"/>
      <c r="N70" s="94"/>
      <c r="O70" s="93"/>
      <c r="P70" s="94"/>
      <c r="Q70" s="93"/>
      <c r="R70" s="98"/>
      <c r="S70" s="94"/>
      <c r="T70" s="30" t="s">
        <v>69</v>
      </c>
      <c r="U70" s="100">
        <v>0</v>
      </c>
      <c r="V70" s="100"/>
      <c r="W70" s="29">
        <v>0</v>
      </c>
      <c r="X70" s="186">
        <v>0</v>
      </c>
      <c r="Y70" s="187"/>
    </row>
    <row r="71" spans="1:25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27"/>
      <c r="M71" s="95"/>
      <c r="N71" s="96"/>
      <c r="O71" s="95"/>
      <c r="P71" s="96"/>
      <c r="Q71" s="95"/>
      <c r="R71" s="99"/>
      <c r="S71" s="96"/>
      <c r="T71" s="30" t="s">
        <v>70</v>
      </c>
      <c r="U71" s="100">
        <v>0</v>
      </c>
      <c r="V71" s="100"/>
      <c r="W71" s="29">
        <v>0</v>
      </c>
      <c r="X71" s="186">
        <v>0</v>
      </c>
      <c r="Y71" s="187"/>
    </row>
    <row r="72" spans="1:25" ht="6" customHeight="1" x14ac:dyDescent="0.25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3"/>
      <c r="M72" s="32"/>
      <c r="N72" s="32"/>
      <c r="O72" s="32"/>
      <c r="P72" s="32"/>
      <c r="Q72" s="32"/>
      <c r="R72" s="34"/>
      <c r="S72" s="34"/>
      <c r="T72" s="34"/>
      <c r="U72" s="34"/>
      <c r="V72" s="34"/>
      <c r="W72" s="32"/>
      <c r="X72" s="32"/>
      <c r="Y72" s="7"/>
    </row>
    <row r="73" spans="1:25" ht="15.6" x14ac:dyDescent="0.3">
      <c r="A73" s="18" t="s">
        <v>71</v>
      </c>
      <c r="B73" s="19"/>
      <c r="C73" s="19"/>
      <c r="D73" s="19"/>
      <c r="E73" s="19"/>
      <c r="F73" s="19"/>
      <c r="G73" s="19"/>
      <c r="H73" s="19"/>
      <c r="I73" s="19"/>
      <c r="J73" s="19"/>
      <c r="K73" s="20"/>
      <c r="L73" s="35"/>
      <c r="M73" s="18" t="s">
        <v>72</v>
      </c>
      <c r="N73" s="20"/>
      <c r="O73" s="36"/>
      <c r="P73" s="19"/>
      <c r="Q73" s="19"/>
      <c r="R73" s="19"/>
      <c r="S73" s="19"/>
      <c r="T73" s="19"/>
      <c r="U73" s="19"/>
      <c r="V73" s="19"/>
      <c r="W73" s="22"/>
      <c r="X73" s="22"/>
      <c r="Y73" s="37"/>
    </row>
    <row r="74" spans="1:25" ht="63" customHeight="1" x14ac:dyDescent="0.25">
      <c r="A74" s="71"/>
      <c r="B74" s="72"/>
      <c r="C74" s="72"/>
      <c r="D74" s="72"/>
      <c r="E74" s="73"/>
      <c r="F74" s="68" t="s">
        <v>12</v>
      </c>
      <c r="G74" s="70"/>
      <c r="H74" s="68" t="s">
        <v>13</v>
      </c>
      <c r="I74" s="70"/>
      <c r="J74" s="38" t="s">
        <v>73</v>
      </c>
      <c r="K74" s="39"/>
      <c r="L74" s="40"/>
      <c r="M74" s="77" t="s">
        <v>74</v>
      </c>
      <c r="N74" s="78"/>
      <c r="O74" s="77" t="s">
        <v>75</v>
      </c>
      <c r="P74" s="78"/>
      <c r="Q74" s="77" t="s">
        <v>76</v>
      </c>
      <c r="R74" s="78"/>
      <c r="S74" s="77" t="s">
        <v>77</v>
      </c>
      <c r="T74" s="79"/>
      <c r="U74" s="79"/>
      <c r="V74" s="78"/>
      <c r="W74" s="77" t="s">
        <v>78</v>
      </c>
      <c r="X74" s="79"/>
      <c r="Y74" s="78"/>
    </row>
    <row r="75" spans="1:25" x14ac:dyDescent="0.25">
      <c r="A75" s="74"/>
      <c r="B75" s="75"/>
      <c r="C75" s="75"/>
      <c r="D75" s="75"/>
      <c r="E75" s="76"/>
      <c r="F75" s="10" t="s">
        <v>79</v>
      </c>
      <c r="G75" s="10" t="s">
        <v>14</v>
      </c>
      <c r="H75" s="10" t="s">
        <v>79</v>
      </c>
      <c r="I75" s="10" t="s">
        <v>14</v>
      </c>
      <c r="J75" s="10" t="s">
        <v>79</v>
      </c>
      <c r="K75" s="10" t="s">
        <v>14</v>
      </c>
      <c r="L75" s="41"/>
      <c r="M75" s="42" t="s">
        <v>80</v>
      </c>
      <c r="N75" s="42" t="s">
        <v>81</v>
      </c>
      <c r="O75" s="42" t="s">
        <v>80</v>
      </c>
      <c r="P75" s="43" t="s">
        <v>81</v>
      </c>
      <c r="Q75" s="42" t="s">
        <v>80</v>
      </c>
      <c r="R75" s="42" t="s">
        <v>81</v>
      </c>
      <c r="S75" s="44"/>
      <c r="T75" s="42" t="s">
        <v>0</v>
      </c>
      <c r="U75" s="45" t="s">
        <v>1</v>
      </c>
      <c r="V75" s="46" t="s">
        <v>82</v>
      </c>
      <c r="W75" s="42" t="s">
        <v>0</v>
      </c>
      <c r="X75" s="45" t="s">
        <v>1</v>
      </c>
      <c r="Y75" s="46" t="s">
        <v>82</v>
      </c>
    </row>
    <row r="76" spans="1:25" ht="14.4" x14ac:dyDescent="0.3">
      <c r="A76" s="80" t="s">
        <v>83</v>
      </c>
      <c r="B76" s="81"/>
      <c r="C76" s="81"/>
      <c r="D76" s="81"/>
      <c r="E76" s="82"/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41"/>
      <c r="M76" s="83">
        <v>12</v>
      </c>
      <c r="N76" s="83">
        <v>69</v>
      </c>
      <c r="O76" s="83">
        <v>66</v>
      </c>
      <c r="P76" s="83">
        <v>10</v>
      </c>
      <c r="Q76" s="83">
        <v>14</v>
      </c>
      <c r="R76" s="83">
        <v>0</v>
      </c>
      <c r="S76" s="47" t="s">
        <v>68</v>
      </c>
      <c r="T76" s="48">
        <v>0</v>
      </c>
      <c r="U76" s="48">
        <v>0</v>
      </c>
      <c r="V76" s="48">
        <v>0</v>
      </c>
      <c r="W76" s="48">
        <v>0</v>
      </c>
      <c r="X76" s="48">
        <v>0</v>
      </c>
      <c r="Y76" s="48">
        <v>0</v>
      </c>
    </row>
    <row r="77" spans="1:25" ht="14.4" x14ac:dyDescent="0.3">
      <c r="A77" s="80" t="s">
        <v>8</v>
      </c>
      <c r="B77" s="81"/>
      <c r="C77" s="81"/>
      <c r="D77" s="81"/>
      <c r="E77" s="82"/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41"/>
      <c r="M77" s="84"/>
      <c r="N77" s="84"/>
      <c r="O77" s="84"/>
      <c r="P77" s="84"/>
      <c r="Q77" s="84"/>
      <c r="R77" s="84"/>
      <c r="S77" s="47" t="s">
        <v>69</v>
      </c>
      <c r="T77" s="48">
        <v>0</v>
      </c>
      <c r="U77" s="48">
        <v>0</v>
      </c>
      <c r="V77" s="48">
        <v>0</v>
      </c>
      <c r="W77" s="48">
        <v>0</v>
      </c>
      <c r="X77" s="48">
        <v>0</v>
      </c>
      <c r="Y77" s="48">
        <v>0</v>
      </c>
    </row>
    <row r="78" spans="1:25" x14ac:dyDescent="0.25">
      <c r="A78" s="86" t="s">
        <v>84</v>
      </c>
      <c r="B78" s="87"/>
      <c r="C78" s="87"/>
      <c r="D78" s="87"/>
      <c r="E78" s="88"/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41"/>
      <c r="M78" s="84"/>
      <c r="N78" s="84"/>
      <c r="O78" s="84"/>
      <c r="P78" s="84"/>
      <c r="Q78" s="84"/>
      <c r="R78" s="84"/>
      <c r="S78" s="89" t="s">
        <v>70</v>
      </c>
      <c r="T78" s="83">
        <v>0</v>
      </c>
      <c r="U78" s="83">
        <v>0</v>
      </c>
      <c r="V78" s="83">
        <v>0</v>
      </c>
      <c r="W78" s="83">
        <v>0</v>
      </c>
      <c r="X78" s="83">
        <v>0</v>
      </c>
      <c r="Y78" s="83">
        <v>0</v>
      </c>
    </row>
    <row r="79" spans="1:25" x14ac:dyDescent="0.25">
      <c r="A79" s="68" t="s">
        <v>7</v>
      </c>
      <c r="B79" s="69"/>
      <c r="C79" s="69"/>
      <c r="D79" s="69"/>
      <c r="E79" s="70"/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41"/>
      <c r="M79" s="85"/>
      <c r="N79" s="85"/>
      <c r="O79" s="85"/>
      <c r="P79" s="85"/>
      <c r="Q79" s="85"/>
      <c r="R79" s="85"/>
      <c r="S79" s="90"/>
      <c r="T79" s="85"/>
      <c r="U79" s="85"/>
      <c r="V79" s="85"/>
      <c r="W79" s="85"/>
      <c r="X79" s="85"/>
      <c r="Y79" s="85"/>
    </row>
    <row r="80" spans="1:25" ht="23.4" x14ac:dyDescent="0.45">
      <c r="A80" s="120" t="s">
        <v>17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</row>
    <row r="81" spans="1:25" ht="23.4" x14ac:dyDescent="0.25">
      <c r="A81" s="111" t="s">
        <v>18</v>
      </c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"/>
      <c r="U81" s="112" t="s">
        <v>19</v>
      </c>
      <c r="V81" s="112"/>
      <c r="W81" s="1"/>
      <c r="X81" s="1"/>
      <c r="Y81" s="1"/>
    </row>
    <row r="82" spans="1:25" ht="39.9" customHeight="1" x14ac:dyDescent="0.25">
      <c r="A82" s="113" t="s">
        <v>20</v>
      </c>
      <c r="B82" s="113"/>
      <c r="C82" s="113"/>
      <c r="D82" s="113"/>
      <c r="E82" s="205" t="s">
        <v>91</v>
      </c>
      <c r="F82" s="205"/>
      <c r="G82" s="205"/>
      <c r="H82" s="116" t="s">
        <v>22</v>
      </c>
      <c r="I82" s="116"/>
      <c r="J82" s="115">
        <v>0</v>
      </c>
      <c r="K82" s="115"/>
      <c r="L82" s="116" t="s">
        <v>23</v>
      </c>
      <c r="M82" s="116"/>
      <c r="N82" s="188" t="s">
        <v>15</v>
      </c>
      <c r="O82" s="188"/>
      <c r="P82" s="188"/>
      <c r="Q82" s="118" t="s">
        <v>24</v>
      </c>
      <c r="R82" s="118"/>
      <c r="S82" s="118"/>
      <c r="T82" s="118"/>
      <c r="U82" s="119" t="s">
        <v>86</v>
      </c>
      <c r="V82" s="119"/>
      <c r="W82" s="119"/>
      <c r="X82" s="147" t="s">
        <v>93</v>
      </c>
      <c r="Y82" s="147"/>
    </row>
    <row r="83" spans="1:25" ht="5.25" customHeight="1" x14ac:dyDescent="0.25">
      <c r="Q83" s="118"/>
      <c r="R83" s="118"/>
      <c r="S83" s="118"/>
      <c r="T83" s="118"/>
      <c r="U83" s="119"/>
      <c r="V83" s="119"/>
      <c r="W83" s="119"/>
      <c r="X83" s="147"/>
      <c r="Y83" s="147"/>
    </row>
    <row r="84" spans="1:25" ht="15.6" x14ac:dyDescent="0.3">
      <c r="A84" s="166" t="s">
        <v>26</v>
      </c>
      <c r="B84" s="166"/>
      <c r="C84" s="166"/>
      <c r="D84" s="166"/>
      <c r="E84" s="166"/>
      <c r="F84" s="166"/>
      <c r="G84" s="167" t="s">
        <v>27</v>
      </c>
      <c r="H84" s="167"/>
      <c r="I84" s="167"/>
      <c r="J84" s="167"/>
      <c r="K84" s="167"/>
      <c r="L84" s="167"/>
      <c r="M84" s="167"/>
      <c r="N84" s="2"/>
      <c r="Q84" s="168" t="s">
        <v>28</v>
      </c>
      <c r="R84" s="168"/>
      <c r="S84" s="168"/>
      <c r="T84" s="168"/>
      <c r="U84" s="168"/>
      <c r="V84" s="148" t="s">
        <v>29</v>
      </c>
      <c r="W84" s="148"/>
      <c r="X84" s="148"/>
      <c r="Y84" s="148"/>
    </row>
    <row r="85" spans="1:2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" customHeight="1" x14ac:dyDescent="0.25">
      <c r="A86" s="149" t="s">
        <v>31</v>
      </c>
      <c r="B86" s="150"/>
      <c r="C86" s="150"/>
      <c r="D86" s="150"/>
      <c r="E86" s="150"/>
      <c r="F86" s="150"/>
      <c r="G86" s="150"/>
      <c r="H86" s="150"/>
      <c r="I86" s="151"/>
      <c r="J86" s="152" t="s">
        <v>32</v>
      </c>
      <c r="K86" s="153"/>
      <c r="L86" s="152" t="s">
        <v>33</v>
      </c>
      <c r="M86" s="153"/>
      <c r="N86" s="91" t="s">
        <v>34</v>
      </c>
      <c r="O86" s="92"/>
      <c r="P86" s="152" t="s">
        <v>35</v>
      </c>
      <c r="Q86" s="153"/>
      <c r="R86" s="68" t="s">
        <v>36</v>
      </c>
      <c r="S86" s="69"/>
      <c r="T86" s="69"/>
      <c r="U86" s="69"/>
      <c r="V86" s="69"/>
      <c r="W86" s="70"/>
      <c r="X86" s="152" t="s">
        <v>7</v>
      </c>
      <c r="Y86" s="153"/>
    </row>
    <row r="87" spans="1:25" ht="23.25" customHeight="1" x14ac:dyDescent="0.25">
      <c r="A87" s="158" t="s">
        <v>37</v>
      </c>
      <c r="B87" s="159"/>
      <c r="C87" s="159"/>
      <c r="D87" s="159"/>
      <c r="E87" s="159"/>
      <c r="F87" s="159"/>
      <c r="G87" s="159"/>
      <c r="H87" s="159"/>
      <c r="I87" s="160"/>
      <c r="J87" s="154"/>
      <c r="K87" s="155"/>
      <c r="L87" s="154"/>
      <c r="M87" s="155"/>
      <c r="N87" s="93"/>
      <c r="O87" s="94"/>
      <c r="P87" s="154"/>
      <c r="Q87" s="155"/>
      <c r="R87" s="164" t="s">
        <v>38</v>
      </c>
      <c r="S87" s="164"/>
      <c r="T87" s="164" t="s">
        <v>39</v>
      </c>
      <c r="U87" s="164"/>
      <c r="V87" s="164" t="s">
        <v>40</v>
      </c>
      <c r="W87" s="164"/>
      <c r="X87" s="154"/>
      <c r="Y87" s="155"/>
    </row>
    <row r="88" spans="1:25" x14ac:dyDescent="0.25">
      <c r="A88" s="161"/>
      <c r="B88" s="162"/>
      <c r="C88" s="162"/>
      <c r="D88" s="162"/>
      <c r="E88" s="162"/>
      <c r="F88" s="162"/>
      <c r="G88" s="162"/>
      <c r="H88" s="162"/>
      <c r="I88" s="163"/>
      <c r="J88" s="156"/>
      <c r="K88" s="157"/>
      <c r="L88" s="156"/>
      <c r="M88" s="157"/>
      <c r="N88" s="95"/>
      <c r="O88" s="96"/>
      <c r="P88" s="156"/>
      <c r="Q88" s="157"/>
      <c r="R88" s="165"/>
      <c r="S88" s="165"/>
      <c r="T88" s="165"/>
      <c r="U88" s="165"/>
      <c r="V88" s="165"/>
      <c r="W88" s="165"/>
      <c r="X88" s="156"/>
      <c r="Y88" s="157"/>
    </row>
    <row r="89" spans="1:25" ht="18" customHeight="1" x14ac:dyDescent="0.3">
      <c r="A89" s="106" t="s">
        <v>41</v>
      </c>
      <c r="B89" s="107"/>
      <c r="C89" s="107"/>
      <c r="D89" s="107"/>
      <c r="E89" s="107"/>
      <c r="F89" s="107"/>
      <c r="G89" s="107"/>
      <c r="H89" s="107"/>
      <c r="I89" s="108"/>
      <c r="J89" s="68">
        <v>34</v>
      </c>
      <c r="K89" s="70"/>
      <c r="L89" s="68">
        <v>1</v>
      </c>
      <c r="M89" s="70"/>
      <c r="N89" s="68">
        <v>0</v>
      </c>
      <c r="O89" s="70"/>
      <c r="P89" s="68">
        <v>35</v>
      </c>
      <c r="Q89" s="70"/>
      <c r="R89" s="68">
        <v>0</v>
      </c>
      <c r="S89" s="70"/>
      <c r="T89" s="68">
        <v>0</v>
      </c>
      <c r="U89" s="70"/>
      <c r="V89" s="68">
        <v>0</v>
      </c>
      <c r="W89" s="70"/>
      <c r="X89" s="80">
        <v>35</v>
      </c>
      <c r="Y89" s="82"/>
    </row>
    <row r="90" spans="1:25" ht="18" customHeight="1" x14ac:dyDescent="0.3">
      <c r="A90" s="106" t="s">
        <v>42</v>
      </c>
      <c r="B90" s="107"/>
      <c r="C90" s="107"/>
      <c r="D90" s="107"/>
      <c r="E90" s="107"/>
      <c r="F90" s="107"/>
      <c r="G90" s="107"/>
      <c r="H90" s="107"/>
      <c r="I90" s="108"/>
      <c r="J90" s="68">
        <v>30</v>
      </c>
      <c r="K90" s="70"/>
      <c r="L90" s="68">
        <v>0</v>
      </c>
      <c r="M90" s="70"/>
      <c r="N90" s="68">
        <v>0</v>
      </c>
      <c r="O90" s="70"/>
      <c r="P90" s="68">
        <v>30</v>
      </c>
      <c r="Q90" s="70"/>
      <c r="R90" s="68">
        <v>0</v>
      </c>
      <c r="S90" s="70"/>
      <c r="T90" s="68">
        <v>0</v>
      </c>
      <c r="U90" s="70"/>
      <c r="V90" s="68">
        <v>0</v>
      </c>
      <c r="W90" s="70"/>
      <c r="X90" s="80">
        <v>30</v>
      </c>
      <c r="Y90" s="82"/>
    </row>
    <row r="91" spans="1:25" ht="18" customHeight="1" x14ac:dyDescent="0.3">
      <c r="A91" s="106" t="s">
        <v>43</v>
      </c>
      <c r="B91" s="107"/>
      <c r="C91" s="107"/>
      <c r="D91" s="107"/>
      <c r="E91" s="107"/>
      <c r="F91" s="107"/>
      <c r="G91" s="107"/>
      <c r="H91" s="107"/>
      <c r="I91" s="108"/>
      <c r="J91" s="68">
        <v>0</v>
      </c>
      <c r="K91" s="70"/>
      <c r="L91" s="68">
        <v>0</v>
      </c>
      <c r="M91" s="70"/>
      <c r="N91" s="68">
        <v>0</v>
      </c>
      <c r="O91" s="70"/>
      <c r="P91" s="68">
        <v>0</v>
      </c>
      <c r="Q91" s="70"/>
      <c r="R91" s="68">
        <v>0</v>
      </c>
      <c r="S91" s="70"/>
      <c r="T91" s="68">
        <v>0</v>
      </c>
      <c r="U91" s="70"/>
      <c r="V91" s="68">
        <v>0</v>
      </c>
      <c r="W91" s="70"/>
      <c r="X91" s="80">
        <v>0</v>
      </c>
      <c r="Y91" s="82"/>
    </row>
    <row r="92" spans="1:25" ht="18" customHeight="1" x14ac:dyDescent="0.3">
      <c r="A92" s="106" t="s">
        <v>44</v>
      </c>
      <c r="B92" s="107"/>
      <c r="C92" s="107"/>
      <c r="D92" s="107"/>
      <c r="E92" s="107"/>
      <c r="F92" s="107"/>
      <c r="G92" s="107"/>
      <c r="H92" s="107"/>
      <c r="I92" s="108"/>
      <c r="J92" s="68">
        <v>42</v>
      </c>
      <c r="K92" s="70"/>
      <c r="L92" s="68">
        <v>1</v>
      </c>
      <c r="M92" s="70"/>
      <c r="N92" s="68">
        <v>0</v>
      </c>
      <c r="O92" s="70"/>
      <c r="P92" s="68">
        <v>43</v>
      </c>
      <c r="Q92" s="70"/>
      <c r="R92" s="68">
        <v>0</v>
      </c>
      <c r="S92" s="70"/>
      <c r="T92" s="68">
        <v>0</v>
      </c>
      <c r="U92" s="70"/>
      <c r="V92" s="68">
        <v>0</v>
      </c>
      <c r="W92" s="70"/>
      <c r="X92" s="80">
        <v>43</v>
      </c>
      <c r="Y92" s="82"/>
    </row>
    <row r="93" spans="1:25" ht="18" customHeight="1" x14ac:dyDescent="0.3">
      <c r="A93" s="106" t="s">
        <v>7</v>
      </c>
      <c r="B93" s="107"/>
      <c r="C93" s="107"/>
      <c r="D93" s="107"/>
      <c r="E93" s="107"/>
      <c r="F93" s="107"/>
      <c r="G93" s="107"/>
      <c r="H93" s="107"/>
      <c r="I93" s="108"/>
      <c r="J93" s="68">
        <v>106</v>
      </c>
      <c r="K93" s="70"/>
      <c r="L93" s="68">
        <v>2</v>
      </c>
      <c r="M93" s="70"/>
      <c r="N93" s="68">
        <v>0</v>
      </c>
      <c r="O93" s="70"/>
      <c r="P93" s="68">
        <v>108</v>
      </c>
      <c r="Q93" s="70"/>
      <c r="R93" s="68">
        <v>0</v>
      </c>
      <c r="S93" s="70"/>
      <c r="T93" s="68">
        <v>0</v>
      </c>
      <c r="U93" s="70"/>
      <c r="V93" s="68">
        <v>0</v>
      </c>
      <c r="W93" s="70"/>
      <c r="X93" s="80">
        <v>108</v>
      </c>
      <c r="Y93" s="82"/>
    </row>
    <row r="94" spans="1:25" ht="15.6" x14ac:dyDescent="0.3">
      <c r="A94" s="4" t="s">
        <v>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"/>
      <c r="S94" s="6"/>
      <c r="T94" s="6"/>
      <c r="U94" s="6"/>
      <c r="V94" s="6"/>
      <c r="W94" s="6"/>
      <c r="X94" s="6"/>
      <c r="Y94" s="7"/>
    </row>
    <row r="95" spans="1:25" x14ac:dyDescent="0.25">
      <c r="A95" s="71"/>
      <c r="B95" s="72"/>
      <c r="C95" s="72"/>
      <c r="D95" s="72"/>
      <c r="E95" s="72"/>
      <c r="F95" s="72"/>
      <c r="G95" s="73"/>
      <c r="H95" s="68" t="s">
        <v>0</v>
      </c>
      <c r="I95" s="69"/>
      <c r="J95" s="136" t="s">
        <v>1</v>
      </c>
      <c r="K95" s="69"/>
      <c r="L95" s="134" t="s">
        <v>2</v>
      </c>
      <c r="M95" s="69"/>
      <c r="N95" s="134" t="s">
        <v>3</v>
      </c>
      <c r="O95" s="69"/>
      <c r="P95" s="134" t="s">
        <v>4</v>
      </c>
      <c r="Q95" s="135"/>
      <c r="R95" s="134" t="s">
        <v>5</v>
      </c>
      <c r="S95" s="69"/>
      <c r="T95" s="134" t="s">
        <v>6</v>
      </c>
      <c r="U95" s="69"/>
      <c r="V95" s="134" t="s">
        <v>46</v>
      </c>
      <c r="W95" s="69"/>
      <c r="X95" s="134" t="s">
        <v>7</v>
      </c>
      <c r="Y95" s="135"/>
    </row>
    <row r="96" spans="1:25" x14ac:dyDescent="0.25">
      <c r="A96" s="74"/>
      <c r="B96" s="75"/>
      <c r="C96" s="75"/>
      <c r="D96" s="75"/>
      <c r="E96" s="75"/>
      <c r="F96" s="75"/>
      <c r="G96" s="76"/>
      <c r="H96" s="10" t="s">
        <v>10</v>
      </c>
      <c r="I96" s="10" t="s">
        <v>11</v>
      </c>
      <c r="J96" s="10" t="s">
        <v>10</v>
      </c>
      <c r="K96" s="10" t="s">
        <v>11</v>
      </c>
      <c r="L96" s="10" t="s">
        <v>10</v>
      </c>
      <c r="M96" s="10" t="s">
        <v>11</v>
      </c>
      <c r="N96" s="10" t="s">
        <v>10</v>
      </c>
      <c r="O96" s="10" t="s">
        <v>11</v>
      </c>
      <c r="P96" s="10" t="s">
        <v>10</v>
      </c>
      <c r="Q96" s="10" t="s">
        <v>11</v>
      </c>
      <c r="R96" s="10" t="s">
        <v>10</v>
      </c>
      <c r="S96" s="10" t="s">
        <v>11</v>
      </c>
      <c r="T96" s="10" t="s">
        <v>10</v>
      </c>
      <c r="U96" s="10" t="s">
        <v>11</v>
      </c>
      <c r="V96" s="10" t="s">
        <v>10</v>
      </c>
      <c r="W96" s="10" t="s">
        <v>11</v>
      </c>
      <c r="X96" s="10" t="s">
        <v>10</v>
      </c>
      <c r="Y96" s="10" t="s">
        <v>11</v>
      </c>
    </row>
    <row r="97" spans="1:25" x14ac:dyDescent="0.25">
      <c r="A97" s="106" t="s">
        <v>41</v>
      </c>
      <c r="B97" s="107"/>
      <c r="C97" s="107"/>
      <c r="D97" s="107"/>
      <c r="E97" s="107"/>
      <c r="F97" s="107"/>
      <c r="G97" s="108"/>
      <c r="H97" s="10">
        <v>0</v>
      </c>
      <c r="I97" s="10">
        <v>0</v>
      </c>
      <c r="J97" s="10">
        <v>0</v>
      </c>
      <c r="K97" s="10">
        <v>2</v>
      </c>
      <c r="L97" s="10">
        <v>3</v>
      </c>
      <c r="M97" s="10">
        <v>3</v>
      </c>
      <c r="N97" s="10">
        <v>5</v>
      </c>
      <c r="O97" s="10">
        <v>1</v>
      </c>
      <c r="P97" s="10">
        <v>5</v>
      </c>
      <c r="Q97" s="10">
        <v>6</v>
      </c>
      <c r="R97" s="10">
        <v>1</v>
      </c>
      <c r="S97" s="10">
        <v>1</v>
      </c>
      <c r="T97" s="10">
        <v>1</v>
      </c>
      <c r="U97" s="10">
        <v>1</v>
      </c>
      <c r="V97" s="10">
        <v>3</v>
      </c>
      <c r="W97" s="10">
        <v>3</v>
      </c>
      <c r="X97" s="10">
        <v>18</v>
      </c>
      <c r="Y97" s="10">
        <v>17</v>
      </c>
    </row>
    <row r="98" spans="1:25" x14ac:dyDescent="0.25">
      <c r="A98" s="106" t="s">
        <v>42</v>
      </c>
      <c r="B98" s="107"/>
      <c r="C98" s="107"/>
      <c r="D98" s="107"/>
      <c r="E98" s="107"/>
      <c r="F98" s="107"/>
      <c r="G98" s="108"/>
      <c r="H98" s="10">
        <v>1</v>
      </c>
      <c r="I98" s="10">
        <v>0</v>
      </c>
      <c r="J98" s="10">
        <v>2</v>
      </c>
      <c r="K98" s="10">
        <v>3</v>
      </c>
      <c r="L98" s="10">
        <v>5</v>
      </c>
      <c r="M98" s="10">
        <v>3</v>
      </c>
      <c r="N98" s="10">
        <v>4</v>
      </c>
      <c r="O98" s="10">
        <v>3</v>
      </c>
      <c r="P98" s="10">
        <v>2</v>
      </c>
      <c r="Q98" s="10">
        <v>3</v>
      </c>
      <c r="R98" s="10">
        <v>1</v>
      </c>
      <c r="S98" s="10">
        <v>1</v>
      </c>
      <c r="T98" s="10">
        <v>1</v>
      </c>
      <c r="U98" s="10">
        <v>1</v>
      </c>
      <c r="V98" s="10">
        <v>0</v>
      </c>
      <c r="W98" s="10">
        <v>0</v>
      </c>
      <c r="X98" s="10">
        <v>16</v>
      </c>
      <c r="Y98" s="10">
        <v>14</v>
      </c>
    </row>
    <row r="99" spans="1:25" x14ac:dyDescent="0.25">
      <c r="A99" s="106" t="s">
        <v>43</v>
      </c>
      <c r="B99" s="107"/>
      <c r="C99" s="107"/>
      <c r="D99" s="107"/>
      <c r="E99" s="107"/>
      <c r="F99" s="107"/>
      <c r="G99" s="108"/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</row>
    <row r="100" spans="1:25" x14ac:dyDescent="0.25">
      <c r="A100" s="106" t="s">
        <v>44</v>
      </c>
      <c r="B100" s="107"/>
      <c r="C100" s="107"/>
      <c r="D100" s="107"/>
      <c r="E100" s="107"/>
      <c r="F100" s="107"/>
      <c r="G100" s="108"/>
      <c r="H100" s="10">
        <v>4</v>
      </c>
      <c r="I100" s="10">
        <v>5</v>
      </c>
      <c r="J100" s="10">
        <v>7</v>
      </c>
      <c r="K100" s="10">
        <v>5</v>
      </c>
      <c r="L100" s="10">
        <v>5</v>
      </c>
      <c r="M100" s="10">
        <v>3</v>
      </c>
      <c r="N100" s="10">
        <v>2</v>
      </c>
      <c r="O100" s="10">
        <v>2</v>
      </c>
      <c r="P100" s="10">
        <v>2</v>
      </c>
      <c r="Q100" s="10">
        <v>2</v>
      </c>
      <c r="R100" s="10">
        <v>1</v>
      </c>
      <c r="S100" s="10">
        <v>1</v>
      </c>
      <c r="T100" s="10">
        <v>2</v>
      </c>
      <c r="U100" s="10">
        <v>1</v>
      </c>
      <c r="V100" s="10">
        <v>1</v>
      </c>
      <c r="W100" s="10">
        <v>0</v>
      </c>
      <c r="X100" s="10">
        <v>24</v>
      </c>
      <c r="Y100" s="10">
        <v>19</v>
      </c>
    </row>
    <row r="101" spans="1:25" x14ac:dyDescent="0.25">
      <c r="A101" s="106" t="s">
        <v>7</v>
      </c>
      <c r="B101" s="107"/>
      <c r="C101" s="107"/>
      <c r="D101" s="107"/>
      <c r="E101" s="107"/>
      <c r="F101" s="107"/>
      <c r="G101" s="108"/>
      <c r="H101" s="10">
        <v>5</v>
      </c>
      <c r="I101" s="10">
        <v>5</v>
      </c>
      <c r="J101" s="10">
        <v>9</v>
      </c>
      <c r="K101" s="10">
        <v>10</v>
      </c>
      <c r="L101" s="10">
        <v>13</v>
      </c>
      <c r="M101" s="10">
        <v>9</v>
      </c>
      <c r="N101" s="10">
        <v>11</v>
      </c>
      <c r="O101" s="10">
        <v>6</v>
      </c>
      <c r="P101" s="10">
        <v>9</v>
      </c>
      <c r="Q101" s="10">
        <v>11</v>
      </c>
      <c r="R101" s="10">
        <v>3</v>
      </c>
      <c r="S101" s="10">
        <v>3</v>
      </c>
      <c r="T101" s="10">
        <v>4</v>
      </c>
      <c r="U101" s="10">
        <v>3</v>
      </c>
      <c r="V101" s="10">
        <v>4</v>
      </c>
      <c r="W101" s="10">
        <v>3</v>
      </c>
      <c r="X101" s="10">
        <v>58</v>
      </c>
      <c r="Y101" s="10">
        <v>50</v>
      </c>
    </row>
    <row r="102" spans="1:25" ht="6.75" customHeight="1" x14ac:dyDescent="0.25">
      <c r="A102" s="11"/>
      <c r="B102" s="12"/>
      <c r="C102" s="12"/>
      <c r="D102" s="12"/>
      <c r="E102" s="12"/>
      <c r="F102" s="13"/>
      <c r="G102" s="13"/>
      <c r="H102" s="13"/>
      <c r="I102" s="13"/>
      <c r="J102" s="13"/>
      <c r="K102" s="13"/>
      <c r="L102" s="14"/>
      <c r="M102" s="13"/>
      <c r="N102" s="15"/>
      <c r="O102" s="16"/>
      <c r="P102" s="13"/>
      <c r="Q102" s="13"/>
      <c r="R102" s="13"/>
      <c r="S102" s="13"/>
      <c r="T102" s="13"/>
      <c r="U102" s="13"/>
      <c r="V102" s="13"/>
      <c r="W102" s="13"/>
      <c r="X102" s="13"/>
      <c r="Y102" s="17"/>
    </row>
    <row r="103" spans="1:25" ht="15.6" x14ac:dyDescent="0.3">
      <c r="A103" s="18" t="s">
        <v>47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20"/>
      <c r="L103" s="21"/>
      <c r="M103" s="18" t="s">
        <v>48</v>
      </c>
      <c r="N103" s="19"/>
      <c r="O103" s="19"/>
      <c r="P103" s="19"/>
      <c r="Q103" s="22"/>
      <c r="R103" s="22"/>
      <c r="S103" s="22"/>
      <c r="T103" s="22"/>
      <c r="U103" s="22"/>
      <c r="V103" s="22"/>
      <c r="W103" s="22"/>
      <c r="X103" s="22"/>
      <c r="Y103" s="23"/>
    </row>
    <row r="104" spans="1:25" ht="48" customHeight="1" x14ac:dyDescent="0.25">
      <c r="A104" s="101" t="s">
        <v>49</v>
      </c>
      <c r="B104" s="101" t="s">
        <v>50</v>
      </c>
      <c r="C104" s="101" t="s">
        <v>51</v>
      </c>
      <c r="D104" s="77" t="s">
        <v>52</v>
      </c>
      <c r="E104" s="78"/>
      <c r="F104" s="77" t="s">
        <v>53</v>
      </c>
      <c r="G104" s="79"/>
      <c r="H104" s="79"/>
      <c r="I104" s="78"/>
      <c r="J104" s="101" t="s">
        <v>54</v>
      </c>
      <c r="K104" s="101" t="s">
        <v>55</v>
      </c>
      <c r="L104" s="24"/>
      <c r="M104" s="86" t="s">
        <v>56</v>
      </c>
      <c r="N104" s="88"/>
      <c r="O104" s="86" t="s">
        <v>57</v>
      </c>
      <c r="P104" s="88"/>
      <c r="Q104" s="86" t="s">
        <v>58</v>
      </c>
      <c r="R104" s="87"/>
      <c r="S104" s="87"/>
      <c r="T104" s="87"/>
      <c r="U104" s="87"/>
      <c r="V104" s="87"/>
      <c r="W104" s="87"/>
      <c r="X104" s="87"/>
      <c r="Y104" s="88"/>
    </row>
    <row r="105" spans="1:25" ht="30" customHeight="1" x14ac:dyDescent="0.25">
      <c r="A105" s="102"/>
      <c r="B105" s="102"/>
      <c r="C105" s="102"/>
      <c r="D105" s="25" t="s">
        <v>59</v>
      </c>
      <c r="E105" s="25" t="s">
        <v>60</v>
      </c>
      <c r="F105" s="26" t="s">
        <v>59</v>
      </c>
      <c r="G105" s="26" t="s">
        <v>60</v>
      </c>
      <c r="H105" s="26" t="s">
        <v>61</v>
      </c>
      <c r="I105" s="26" t="s">
        <v>62</v>
      </c>
      <c r="J105" s="102"/>
      <c r="K105" s="102"/>
      <c r="L105" s="24"/>
      <c r="M105" s="91">
        <v>0</v>
      </c>
      <c r="N105" s="92"/>
      <c r="O105" s="91">
        <v>0</v>
      </c>
      <c r="P105" s="92"/>
      <c r="Q105" s="86">
        <v>0</v>
      </c>
      <c r="R105" s="87"/>
      <c r="S105" s="87"/>
      <c r="T105" s="87"/>
      <c r="U105" s="87"/>
      <c r="V105" s="87"/>
      <c r="W105" s="87"/>
      <c r="X105" s="87"/>
      <c r="Y105" s="88"/>
    </row>
    <row r="106" spans="1:25" ht="44.25" customHeight="1" x14ac:dyDescent="0.25">
      <c r="A106" s="164">
        <v>690</v>
      </c>
      <c r="B106" s="164">
        <v>173</v>
      </c>
      <c r="C106" s="164">
        <v>12</v>
      </c>
      <c r="D106" s="164">
        <v>112</v>
      </c>
      <c r="E106" s="164">
        <v>83</v>
      </c>
      <c r="F106" s="164">
        <v>7</v>
      </c>
      <c r="G106" s="164">
        <v>14</v>
      </c>
      <c r="H106" s="164">
        <v>14</v>
      </c>
      <c r="I106" s="164">
        <v>37</v>
      </c>
      <c r="J106" s="164">
        <v>35</v>
      </c>
      <c r="K106" s="164">
        <v>83</v>
      </c>
      <c r="L106" s="24"/>
      <c r="M106" s="91" t="s">
        <v>63</v>
      </c>
      <c r="N106" s="92"/>
      <c r="O106" s="91" t="s">
        <v>64</v>
      </c>
      <c r="P106" s="92"/>
      <c r="Q106" s="95" t="s">
        <v>65</v>
      </c>
      <c r="R106" s="99"/>
      <c r="S106" s="96"/>
      <c r="T106" s="95" t="s">
        <v>66</v>
      </c>
      <c r="U106" s="99"/>
      <c r="V106" s="99"/>
      <c r="W106" s="99"/>
      <c r="X106" s="99"/>
      <c r="Y106" s="96"/>
    </row>
    <row r="107" spans="1:25" x14ac:dyDescent="0.25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27"/>
      <c r="M107" s="91">
        <v>0</v>
      </c>
      <c r="N107" s="92"/>
      <c r="O107" s="91">
        <v>0</v>
      </c>
      <c r="P107" s="92"/>
      <c r="Q107" s="91">
        <v>0</v>
      </c>
      <c r="R107" s="97"/>
      <c r="S107" s="92"/>
      <c r="T107" s="28"/>
      <c r="U107" s="86" t="s">
        <v>0</v>
      </c>
      <c r="V107" s="88"/>
      <c r="W107" s="29" t="s">
        <v>1</v>
      </c>
      <c r="X107" s="86" t="s">
        <v>67</v>
      </c>
      <c r="Y107" s="88"/>
    </row>
    <row r="108" spans="1:25" x14ac:dyDescent="0.25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27"/>
      <c r="M108" s="93"/>
      <c r="N108" s="94"/>
      <c r="O108" s="93"/>
      <c r="P108" s="94"/>
      <c r="Q108" s="93"/>
      <c r="R108" s="98"/>
      <c r="S108" s="94"/>
      <c r="T108" s="30" t="s">
        <v>68</v>
      </c>
      <c r="U108" s="100">
        <v>0</v>
      </c>
      <c r="V108" s="100"/>
      <c r="W108" s="29">
        <v>0</v>
      </c>
      <c r="X108" s="186">
        <v>0</v>
      </c>
      <c r="Y108" s="187"/>
    </row>
    <row r="109" spans="1:25" x14ac:dyDescent="0.25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27"/>
      <c r="M109" s="93"/>
      <c r="N109" s="94"/>
      <c r="O109" s="93"/>
      <c r="P109" s="94"/>
      <c r="Q109" s="93"/>
      <c r="R109" s="98"/>
      <c r="S109" s="94"/>
      <c r="T109" s="30" t="s">
        <v>69</v>
      </c>
      <c r="U109" s="100">
        <v>0</v>
      </c>
      <c r="V109" s="100"/>
      <c r="W109" s="29">
        <v>0</v>
      </c>
      <c r="X109" s="186">
        <v>0</v>
      </c>
      <c r="Y109" s="187"/>
    </row>
    <row r="110" spans="1:25" x14ac:dyDescent="0.25">
      <c r="A110" s="165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27"/>
      <c r="M110" s="95"/>
      <c r="N110" s="96"/>
      <c r="O110" s="95"/>
      <c r="P110" s="96"/>
      <c r="Q110" s="95"/>
      <c r="R110" s="99"/>
      <c r="S110" s="96"/>
      <c r="T110" s="30" t="s">
        <v>70</v>
      </c>
      <c r="U110" s="100">
        <v>0</v>
      </c>
      <c r="V110" s="100"/>
      <c r="W110" s="29">
        <v>0</v>
      </c>
      <c r="X110" s="186">
        <v>0</v>
      </c>
      <c r="Y110" s="187"/>
    </row>
    <row r="111" spans="1:25" ht="6.75" customHeight="1" x14ac:dyDescent="0.25">
      <c r="A111" s="31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3"/>
      <c r="M111" s="32"/>
      <c r="N111" s="32"/>
      <c r="O111" s="32"/>
      <c r="P111" s="32"/>
      <c r="Q111" s="32"/>
      <c r="R111" s="34"/>
      <c r="S111" s="34"/>
      <c r="T111" s="34"/>
      <c r="U111" s="34"/>
      <c r="V111" s="34"/>
      <c r="W111" s="32"/>
      <c r="X111" s="32"/>
      <c r="Y111" s="7"/>
    </row>
    <row r="112" spans="1:25" ht="15.6" x14ac:dyDescent="0.3">
      <c r="A112" s="18" t="s">
        <v>71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20"/>
      <c r="L112" s="35"/>
      <c r="M112" s="18" t="s">
        <v>72</v>
      </c>
      <c r="N112" s="20"/>
      <c r="O112" s="36"/>
      <c r="P112" s="19"/>
      <c r="Q112" s="19"/>
      <c r="R112" s="19"/>
      <c r="S112" s="19"/>
      <c r="T112" s="19"/>
      <c r="U112" s="19"/>
      <c r="V112" s="19"/>
      <c r="W112" s="22"/>
      <c r="X112" s="22"/>
      <c r="Y112" s="37"/>
    </row>
    <row r="113" spans="1:25" ht="55.5" customHeight="1" x14ac:dyDescent="0.25">
      <c r="A113" s="71"/>
      <c r="B113" s="72"/>
      <c r="C113" s="72"/>
      <c r="D113" s="72"/>
      <c r="E113" s="73"/>
      <c r="F113" s="68" t="s">
        <v>12</v>
      </c>
      <c r="G113" s="70"/>
      <c r="H113" s="68" t="s">
        <v>13</v>
      </c>
      <c r="I113" s="70"/>
      <c r="J113" s="38" t="s">
        <v>73</v>
      </c>
      <c r="K113" s="39"/>
      <c r="L113" s="40"/>
      <c r="M113" s="77" t="s">
        <v>74</v>
      </c>
      <c r="N113" s="78"/>
      <c r="O113" s="77" t="s">
        <v>75</v>
      </c>
      <c r="P113" s="78"/>
      <c r="Q113" s="77" t="s">
        <v>76</v>
      </c>
      <c r="R113" s="78"/>
      <c r="S113" s="77" t="s">
        <v>77</v>
      </c>
      <c r="T113" s="79"/>
      <c r="U113" s="79"/>
      <c r="V113" s="78"/>
      <c r="W113" s="77" t="s">
        <v>78</v>
      </c>
      <c r="X113" s="79"/>
      <c r="Y113" s="78"/>
    </row>
    <row r="114" spans="1:25" ht="22.5" customHeight="1" x14ac:dyDescent="0.25">
      <c r="A114" s="74"/>
      <c r="B114" s="75"/>
      <c r="C114" s="75"/>
      <c r="D114" s="75"/>
      <c r="E114" s="76"/>
      <c r="F114" s="10" t="s">
        <v>79</v>
      </c>
      <c r="G114" s="10" t="s">
        <v>14</v>
      </c>
      <c r="H114" s="10" t="s">
        <v>79</v>
      </c>
      <c r="I114" s="10" t="s">
        <v>14</v>
      </c>
      <c r="J114" s="10" t="s">
        <v>79</v>
      </c>
      <c r="K114" s="10" t="s">
        <v>14</v>
      </c>
      <c r="L114" s="41"/>
      <c r="M114" s="42" t="s">
        <v>80</v>
      </c>
      <c r="N114" s="42" t="s">
        <v>81</v>
      </c>
      <c r="O114" s="42" t="s">
        <v>80</v>
      </c>
      <c r="P114" s="43" t="s">
        <v>81</v>
      </c>
      <c r="Q114" s="42" t="s">
        <v>80</v>
      </c>
      <c r="R114" s="42" t="s">
        <v>81</v>
      </c>
      <c r="S114" s="44"/>
      <c r="T114" s="42" t="s">
        <v>0</v>
      </c>
      <c r="U114" s="45" t="s">
        <v>1</v>
      </c>
      <c r="V114" s="46" t="s">
        <v>82</v>
      </c>
      <c r="W114" s="42" t="s">
        <v>0</v>
      </c>
      <c r="X114" s="45" t="s">
        <v>1</v>
      </c>
      <c r="Y114" s="46" t="s">
        <v>82</v>
      </c>
    </row>
    <row r="115" spans="1:25" ht="14.4" x14ac:dyDescent="0.3">
      <c r="A115" s="80" t="s">
        <v>83</v>
      </c>
      <c r="B115" s="81"/>
      <c r="C115" s="81"/>
      <c r="D115" s="81"/>
      <c r="E115" s="82"/>
      <c r="F115" s="10">
        <v>31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41"/>
      <c r="M115" s="83">
        <v>94</v>
      </c>
      <c r="N115" s="83">
        <v>430</v>
      </c>
      <c r="O115" s="83">
        <v>0</v>
      </c>
      <c r="P115" s="83">
        <v>75</v>
      </c>
      <c r="Q115" s="83">
        <v>2</v>
      </c>
      <c r="R115" s="83">
        <v>15</v>
      </c>
      <c r="S115" s="47" t="s">
        <v>68</v>
      </c>
      <c r="T115" s="48">
        <v>0</v>
      </c>
      <c r="U115" s="48">
        <v>0</v>
      </c>
      <c r="V115" s="48">
        <v>0</v>
      </c>
      <c r="W115" s="48">
        <v>0</v>
      </c>
      <c r="X115" s="48">
        <v>0</v>
      </c>
      <c r="Y115" s="48">
        <v>0</v>
      </c>
    </row>
    <row r="116" spans="1:25" ht="14.4" x14ac:dyDescent="0.3">
      <c r="A116" s="80" t="s">
        <v>8</v>
      </c>
      <c r="B116" s="81"/>
      <c r="C116" s="81"/>
      <c r="D116" s="81"/>
      <c r="E116" s="82"/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41"/>
      <c r="M116" s="84"/>
      <c r="N116" s="84"/>
      <c r="O116" s="84"/>
      <c r="P116" s="84"/>
      <c r="Q116" s="84"/>
      <c r="R116" s="84"/>
      <c r="S116" s="47" t="s">
        <v>69</v>
      </c>
      <c r="T116" s="48">
        <v>0</v>
      </c>
      <c r="U116" s="48">
        <v>0</v>
      </c>
      <c r="V116" s="48">
        <v>0</v>
      </c>
      <c r="W116" s="48">
        <v>0</v>
      </c>
      <c r="X116" s="48">
        <v>0</v>
      </c>
      <c r="Y116" s="48">
        <v>0</v>
      </c>
    </row>
    <row r="117" spans="1:25" x14ac:dyDescent="0.25">
      <c r="A117" s="86" t="s">
        <v>84</v>
      </c>
      <c r="B117" s="87"/>
      <c r="C117" s="87"/>
      <c r="D117" s="87"/>
      <c r="E117" s="88"/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41"/>
      <c r="M117" s="84"/>
      <c r="N117" s="84"/>
      <c r="O117" s="84"/>
      <c r="P117" s="84"/>
      <c r="Q117" s="84"/>
      <c r="R117" s="84"/>
      <c r="S117" s="89" t="s">
        <v>70</v>
      </c>
      <c r="T117" s="83">
        <v>0</v>
      </c>
      <c r="U117" s="83">
        <v>0</v>
      </c>
      <c r="V117" s="83">
        <v>0</v>
      </c>
      <c r="W117" s="83">
        <v>0</v>
      </c>
      <c r="X117" s="83">
        <v>0</v>
      </c>
      <c r="Y117" s="83">
        <v>0</v>
      </c>
    </row>
    <row r="118" spans="1:25" x14ac:dyDescent="0.25">
      <c r="A118" s="68" t="s">
        <v>7</v>
      </c>
      <c r="B118" s="69"/>
      <c r="C118" s="69"/>
      <c r="D118" s="69"/>
      <c r="E118" s="70"/>
      <c r="F118" s="10">
        <v>31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41"/>
      <c r="M118" s="85"/>
      <c r="N118" s="85"/>
      <c r="O118" s="85"/>
      <c r="P118" s="85"/>
      <c r="Q118" s="85"/>
      <c r="R118" s="85"/>
      <c r="S118" s="90"/>
      <c r="T118" s="85"/>
      <c r="U118" s="85"/>
      <c r="V118" s="85"/>
      <c r="W118" s="85"/>
      <c r="X118" s="85"/>
      <c r="Y118" s="85"/>
    </row>
    <row r="119" spans="1:25" ht="23.4" x14ac:dyDescent="0.45">
      <c r="A119" s="120" t="s">
        <v>17</v>
      </c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</row>
    <row r="120" spans="1:25" ht="23.4" x14ac:dyDescent="0.25">
      <c r="A120" s="111" t="s">
        <v>18</v>
      </c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"/>
      <c r="U120" s="112" t="s">
        <v>19</v>
      </c>
      <c r="V120" s="112"/>
      <c r="W120" s="1"/>
      <c r="X120" s="1"/>
      <c r="Y120" s="1"/>
    </row>
    <row r="121" spans="1:25" ht="25.8" x14ac:dyDescent="0.25">
      <c r="A121" s="113" t="s">
        <v>20</v>
      </c>
      <c r="B121" s="113"/>
      <c r="C121" s="113"/>
      <c r="D121" s="113"/>
      <c r="E121" s="196" t="s">
        <v>91</v>
      </c>
      <c r="F121" s="196"/>
      <c r="G121" s="196"/>
      <c r="H121" s="116" t="s">
        <v>22</v>
      </c>
      <c r="I121" s="116"/>
      <c r="J121" s="115">
        <v>0</v>
      </c>
      <c r="K121" s="115"/>
      <c r="L121" s="116" t="s">
        <v>23</v>
      </c>
      <c r="M121" s="116"/>
      <c r="N121" s="188" t="s">
        <v>15</v>
      </c>
      <c r="O121" s="188"/>
      <c r="P121" s="188"/>
      <c r="Q121" s="118" t="s">
        <v>24</v>
      </c>
      <c r="R121" s="118"/>
      <c r="S121" s="118"/>
      <c r="T121" s="118"/>
      <c r="U121" s="119" t="s">
        <v>87</v>
      </c>
      <c r="V121" s="119"/>
      <c r="W121" s="119"/>
      <c r="X121" s="147" t="s">
        <v>93</v>
      </c>
      <c r="Y121" s="147"/>
    </row>
    <row r="122" spans="1:25" x14ac:dyDescent="0.25">
      <c r="Q122" s="118"/>
      <c r="R122" s="118"/>
      <c r="S122" s="118"/>
      <c r="T122" s="118"/>
      <c r="U122" s="119"/>
      <c r="V122" s="119"/>
      <c r="W122" s="119"/>
      <c r="X122" s="147"/>
      <c r="Y122" s="147"/>
    </row>
    <row r="123" spans="1:25" ht="15.6" x14ac:dyDescent="0.3">
      <c r="A123" s="166" t="s">
        <v>26</v>
      </c>
      <c r="B123" s="166"/>
      <c r="C123" s="166"/>
      <c r="D123" s="166"/>
      <c r="E123" s="166"/>
      <c r="F123" s="166"/>
      <c r="G123" s="167" t="s">
        <v>27</v>
      </c>
      <c r="H123" s="167"/>
      <c r="I123" s="167"/>
      <c r="J123" s="167"/>
      <c r="K123" s="167"/>
      <c r="L123" s="167"/>
      <c r="M123" s="167"/>
      <c r="N123" s="2"/>
      <c r="Q123" s="168" t="s">
        <v>28</v>
      </c>
      <c r="R123" s="168"/>
      <c r="S123" s="168"/>
      <c r="T123" s="168"/>
      <c r="U123" s="168"/>
      <c r="V123" s="148" t="s">
        <v>29</v>
      </c>
      <c r="W123" s="148"/>
      <c r="X123" s="148"/>
      <c r="Y123" s="148"/>
    </row>
    <row r="124" spans="1:25" ht="4.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4" x14ac:dyDescent="0.25">
      <c r="A125" s="149" t="s">
        <v>31</v>
      </c>
      <c r="B125" s="150"/>
      <c r="C125" s="150"/>
      <c r="D125" s="150"/>
      <c r="E125" s="150"/>
      <c r="F125" s="150"/>
      <c r="G125" s="150"/>
      <c r="H125" s="150"/>
      <c r="I125" s="151"/>
      <c r="J125" s="152" t="s">
        <v>32</v>
      </c>
      <c r="K125" s="153"/>
      <c r="L125" s="152" t="s">
        <v>33</v>
      </c>
      <c r="M125" s="153"/>
      <c r="N125" s="91" t="s">
        <v>34</v>
      </c>
      <c r="O125" s="92"/>
      <c r="P125" s="152" t="s">
        <v>35</v>
      </c>
      <c r="Q125" s="153"/>
      <c r="R125" s="68" t="s">
        <v>36</v>
      </c>
      <c r="S125" s="69"/>
      <c r="T125" s="69"/>
      <c r="U125" s="69"/>
      <c r="V125" s="69"/>
      <c r="W125" s="70"/>
      <c r="X125" s="152" t="s">
        <v>7</v>
      </c>
      <c r="Y125" s="153"/>
    </row>
    <row r="126" spans="1:25" x14ac:dyDescent="0.25">
      <c r="A126" s="158" t="s">
        <v>37</v>
      </c>
      <c r="B126" s="159"/>
      <c r="C126" s="159"/>
      <c r="D126" s="159"/>
      <c r="E126" s="159"/>
      <c r="F126" s="159"/>
      <c r="G126" s="159"/>
      <c r="H126" s="159"/>
      <c r="I126" s="160"/>
      <c r="J126" s="154"/>
      <c r="K126" s="155"/>
      <c r="L126" s="154"/>
      <c r="M126" s="155"/>
      <c r="N126" s="93"/>
      <c r="O126" s="94"/>
      <c r="P126" s="154"/>
      <c r="Q126" s="155"/>
      <c r="R126" s="164" t="s">
        <v>38</v>
      </c>
      <c r="S126" s="164"/>
      <c r="T126" s="164" t="s">
        <v>39</v>
      </c>
      <c r="U126" s="164"/>
      <c r="V126" s="164" t="s">
        <v>40</v>
      </c>
      <c r="W126" s="164"/>
      <c r="X126" s="154"/>
      <c r="Y126" s="155"/>
    </row>
    <row r="127" spans="1:25" x14ac:dyDescent="0.25">
      <c r="A127" s="161"/>
      <c r="B127" s="162"/>
      <c r="C127" s="162"/>
      <c r="D127" s="162"/>
      <c r="E127" s="162"/>
      <c r="F127" s="162"/>
      <c r="G127" s="162"/>
      <c r="H127" s="162"/>
      <c r="I127" s="163"/>
      <c r="J127" s="156"/>
      <c r="K127" s="157"/>
      <c r="L127" s="156"/>
      <c r="M127" s="157"/>
      <c r="N127" s="95"/>
      <c r="O127" s="96"/>
      <c r="P127" s="156"/>
      <c r="Q127" s="157"/>
      <c r="R127" s="165"/>
      <c r="S127" s="165"/>
      <c r="T127" s="165"/>
      <c r="U127" s="165"/>
      <c r="V127" s="165"/>
      <c r="W127" s="165"/>
      <c r="X127" s="156"/>
      <c r="Y127" s="157"/>
    </row>
    <row r="128" spans="1:25" ht="14.4" x14ac:dyDescent="0.3">
      <c r="A128" s="106" t="s">
        <v>41</v>
      </c>
      <c r="B128" s="107"/>
      <c r="C128" s="107"/>
      <c r="D128" s="107"/>
      <c r="E128" s="107"/>
      <c r="F128" s="107"/>
      <c r="G128" s="107"/>
      <c r="H128" s="107"/>
      <c r="I128" s="108"/>
      <c r="J128" s="68">
        <v>27</v>
      </c>
      <c r="K128" s="70"/>
      <c r="L128" s="68">
        <v>1</v>
      </c>
      <c r="M128" s="70"/>
      <c r="N128" s="68">
        <v>0</v>
      </c>
      <c r="O128" s="70"/>
      <c r="P128" s="68">
        <v>28</v>
      </c>
      <c r="Q128" s="70"/>
      <c r="R128" s="68">
        <v>0</v>
      </c>
      <c r="S128" s="70"/>
      <c r="T128" s="68">
        <v>0</v>
      </c>
      <c r="U128" s="70"/>
      <c r="V128" s="68">
        <v>0</v>
      </c>
      <c r="W128" s="70"/>
      <c r="X128" s="80">
        <v>28</v>
      </c>
      <c r="Y128" s="82"/>
    </row>
    <row r="129" spans="1:25" ht="18" customHeight="1" x14ac:dyDescent="0.3">
      <c r="A129" s="106" t="s">
        <v>42</v>
      </c>
      <c r="B129" s="107"/>
      <c r="C129" s="107"/>
      <c r="D129" s="107"/>
      <c r="E129" s="107"/>
      <c r="F129" s="107"/>
      <c r="G129" s="107"/>
      <c r="H129" s="107"/>
      <c r="I129" s="108"/>
      <c r="J129" s="68">
        <v>29</v>
      </c>
      <c r="K129" s="70"/>
      <c r="L129" s="68">
        <v>0</v>
      </c>
      <c r="M129" s="70"/>
      <c r="N129" s="68">
        <v>0</v>
      </c>
      <c r="O129" s="70"/>
      <c r="P129" s="68">
        <v>29</v>
      </c>
      <c r="Q129" s="70"/>
      <c r="R129" s="68">
        <v>0</v>
      </c>
      <c r="S129" s="70"/>
      <c r="T129" s="68">
        <v>0</v>
      </c>
      <c r="U129" s="70"/>
      <c r="V129" s="68">
        <v>0</v>
      </c>
      <c r="W129" s="70"/>
      <c r="X129" s="80">
        <v>29</v>
      </c>
      <c r="Y129" s="82"/>
    </row>
    <row r="130" spans="1:25" ht="18" customHeight="1" x14ac:dyDescent="0.3">
      <c r="A130" s="106" t="s">
        <v>43</v>
      </c>
      <c r="B130" s="107"/>
      <c r="C130" s="107"/>
      <c r="D130" s="107"/>
      <c r="E130" s="107"/>
      <c r="F130" s="107"/>
      <c r="G130" s="107"/>
      <c r="H130" s="107"/>
      <c r="I130" s="108"/>
      <c r="J130" s="68">
        <v>0</v>
      </c>
      <c r="K130" s="70"/>
      <c r="L130" s="68">
        <v>0</v>
      </c>
      <c r="M130" s="70"/>
      <c r="N130" s="68">
        <v>0</v>
      </c>
      <c r="O130" s="70"/>
      <c r="P130" s="68">
        <v>0</v>
      </c>
      <c r="Q130" s="70"/>
      <c r="R130" s="68">
        <v>0</v>
      </c>
      <c r="S130" s="70"/>
      <c r="T130" s="68">
        <v>0</v>
      </c>
      <c r="U130" s="70"/>
      <c r="V130" s="68">
        <v>0</v>
      </c>
      <c r="W130" s="70"/>
      <c r="X130" s="80">
        <v>0</v>
      </c>
      <c r="Y130" s="82"/>
    </row>
    <row r="131" spans="1:25" ht="18" customHeight="1" x14ac:dyDescent="0.3">
      <c r="A131" s="106" t="s">
        <v>44</v>
      </c>
      <c r="B131" s="107"/>
      <c r="C131" s="107"/>
      <c r="D131" s="107"/>
      <c r="E131" s="107"/>
      <c r="F131" s="107"/>
      <c r="G131" s="107"/>
      <c r="H131" s="107"/>
      <c r="I131" s="108"/>
      <c r="J131" s="68">
        <v>31</v>
      </c>
      <c r="K131" s="70"/>
      <c r="L131" s="68">
        <v>0</v>
      </c>
      <c r="M131" s="70"/>
      <c r="N131" s="68">
        <v>0</v>
      </c>
      <c r="O131" s="70"/>
      <c r="P131" s="68">
        <v>31</v>
      </c>
      <c r="Q131" s="70"/>
      <c r="R131" s="68">
        <v>0</v>
      </c>
      <c r="S131" s="70"/>
      <c r="T131" s="68">
        <v>0</v>
      </c>
      <c r="U131" s="70"/>
      <c r="V131" s="68">
        <v>0</v>
      </c>
      <c r="W131" s="70"/>
      <c r="X131" s="80">
        <v>31</v>
      </c>
      <c r="Y131" s="82"/>
    </row>
    <row r="132" spans="1:25" ht="18" customHeight="1" x14ac:dyDescent="0.3">
      <c r="A132" s="106" t="s">
        <v>7</v>
      </c>
      <c r="B132" s="107"/>
      <c r="C132" s="107"/>
      <c r="D132" s="107"/>
      <c r="E132" s="107"/>
      <c r="F132" s="107"/>
      <c r="G132" s="107"/>
      <c r="H132" s="107"/>
      <c r="I132" s="108"/>
      <c r="J132" s="68">
        <v>87</v>
      </c>
      <c r="K132" s="70"/>
      <c r="L132" s="68">
        <v>1</v>
      </c>
      <c r="M132" s="70"/>
      <c r="N132" s="68">
        <v>0</v>
      </c>
      <c r="O132" s="70"/>
      <c r="P132" s="68">
        <v>88</v>
      </c>
      <c r="Q132" s="70"/>
      <c r="R132" s="68">
        <v>0</v>
      </c>
      <c r="S132" s="70"/>
      <c r="T132" s="68">
        <v>0</v>
      </c>
      <c r="U132" s="70"/>
      <c r="V132" s="68">
        <v>0</v>
      </c>
      <c r="W132" s="70"/>
      <c r="X132" s="80">
        <v>88</v>
      </c>
      <c r="Y132" s="82"/>
    </row>
    <row r="133" spans="1:25" ht="15.6" x14ac:dyDescent="0.3">
      <c r="A133" s="4" t="s">
        <v>45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"/>
      <c r="S133" s="6"/>
      <c r="T133" s="6"/>
      <c r="U133" s="6"/>
      <c r="V133" s="6"/>
      <c r="W133" s="6"/>
      <c r="X133" s="6"/>
      <c r="Y133" s="7"/>
    </row>
    <row r="134" spans="1:25" x14ac:dyDescent="0.25">
      <c r="A134" s="71"/>
      <c r="B134" s="72"/>
      <c r="C134" s="72"/>
      <c r="D134" s="72"/>
      <c r="E134" s="72"/>
      <c r="F134" s="72"/>
      <c r="G134" s="73"/>
      <c r="H134" s="68" t="s">
        <v>0</v>
      </c>
      <c r="I134" s="69"/>
      <c r="J134" s="136" t="s">
        <v>1</v>
      </c>
      <c r="K134" s="69"/>
      <c r="L134" s="134" t="s">
        <v>2</v>
      </c>
      <c r="M134" s="69"/>
      <c r="N134" s="134" t="s">
        <v>3</v>
      </c>
      <c r="O134" s="69"/>
      <c r="P134" s="134" t="s">
        <v>4</v>
      </c>
      <c r="Q134" s="135"/>
      <c r="R134" s="134" t="s">
        <v>5</v>
      </c>
      <c r="S134" s="69"/>
      <c r="T134" s="134" t="s">
        <v>6</v>
      </c>
      <c r="U134" s="69"/>
      <c r="V134" s="134" t="s">
        <v>46</v>
      </c>
      <c r="W134" s="69"/>
      <c r="X134" s="134" t="s">
        <v>7</v>
      </c>
      <c r="Y134" s="135"/>
    </row>
    <row r="135" spans="1:25" x14ac:dyDescent="0.25">
      <c r="A135" s="74"/>
      <c r="B135" s="75"/>
      <c r="C135" s="75"/>
      <c r="D135" s="75"/>
      <c r="E135" s="75"/>
      <c r="F135" s="75"/>
      <c r="G135" s="76"/>
      <c r="H135" s="10" t="s">
        <v>10</v>
      </c>
      <c r="I135" s="10" t="s">
        <v>11</v>
      </c>
      <c r="J135" s="10" t="s">
        <v>10</v>
      </c>
      <c r="K135" s="10" t="s">
        <v>11</v>
      </c>
      <c r="L135" s="10" t="s">
        <v>10</v>
      </c>
      <c r="M135" s="10" t="s">
        <v>11</v>
      </c>
      <c r="N135" s="10" t="s">
        <v>10</v>
      </c>
      <c r="O135" s="10" t="s">
        <v>11</v>
      </c>
      <c r="P135" s="10" t="s">
        <v>10</v>
      </c>
      <c r="Q135" s="10" t="s">
        <v>11</v>
      </c>
      <c r="R135" s="10" t="s">
        <v>10</v>
      </c>
      <c r="S135" s="10" t="s">
        <v>11</v>
      </c>
      <c r="T135" s="10" t="s">
        <v>10</v>
      </c>
      <c r="U135" s="10" t="s">
        <v>11</v>
      </c>
      <c r="V135" s="10" t="s">
        <v>10</v>
      </c>
      <c r="W135" s="10" t="s">
        <v>11</v>
      </c>
      <c r="X135" s="10" t="s">
        <v>10</v>
      </c>
      <c r="Y135" s="10" t="s">
        <v>11</v>
      </c>
    </row>
    <row r="136" spans="1:25" ht="18" customHeight="1" x14ac:dyDescent="0.25">
      <c r="A136" s="106" t="s">
        <v>41</v>
      </c>
      <c r="B136" s="107"/>
      <c r="C136" s="107"/>
      <c r="D136" s="107"/>
      <c r="E136" s="107"/>
      <c r="F136" s="107"/>
      <c r="G136" s="108"/>
      <c r="H136" s="10">
        <v>0</v>
      </c>
      <c r="I136" s="10">
        <v>0</v>
      </c>
      <c r="J136" s="10">
        <v>1</v>
      </c>
      <c r="K136" s="10">
        <v>0</v>
      </c>
      <c r="L136" s="10">
        <v>3</v>
      </c>
      <c r="M136" s="10">
        <v>5</v>
      </c>
      <c r="N136" s="10">
        <v>4</v>
      </c>
      <c r="O136" s="10">
        <v>2</v>
      </c>
      <c r="P136" s="10">
        <v>3</v>
      </c>
      <c r="Q136" s="10">
        <v>0</v>
      </c>
      <c r="R136" s="10">
        <v>2</v>
      </c>
      <c r="S136" s="10">
        <v>2</v>
      </c>
      <c r="T136" s="10">
        <v>1</v>
      </c>
      <c r="U136" s="10">
        <v>3</v>
      </c>
      <c r="V136" s="10">
        <v>2</v>
      </c>
      <c r="W136" s="10">
        <v>0</v>
      </c>
      <c r="X136" s="10">
        <v>16</v>
      </c>
      <c r="Y136" s="10">
        <v>12</v>
      </c>
    </row>
    <row r="137" spans="1:25" ht="18" customHeight="1" x14ac:dyDescent="0.25">
      <c r="A137" s="106" t="s">
        <v>42</v>
      </c>
      <c r="B137" s="107"/>
      <c r="C137" s="107"/>
      <c r="D137" s="107"/>
      <c r="E137" s="107"/>
      <c r="F137" s="107"/>
      <c r="G137" s="108"/>
      <c r="H137" s="10">
        <v>0</v>
      </c>
      <c r="I137" s="10">
        <v>1</v>
      </c>
      <c r="J137" s="10">
        <v>0</v>
      </c>
      <c r="K137" s="10">
        <v>2</v>
      </c>
      <c r="L137" s="10">
        <v>3</v>
      </c>
      <c r="M137" s="10">
        <v>2</v>
      </c>
      <c r="N137" s="10">
        <v>4</v>
      </c>
      <c r="O137" s="10">
        <v>2</v>
      </c>
      <c r="P137" s="10">
        <v>3</v>
      </c>
      <c r="Q137" s="10">
        <v>2</v>
      </c>
      <c r="R137" s="10">
        <v>4</v>
      </c>
      <c r="S137" s="10">
        <v>3</v>
      </c>
      <c r="T137" s="10">
        <v>0</v>
      </c>
      <c r="U137" s="10">
        <v>2</v>
      </c>
      <c r="V137" s="10">
        <v>1</v>
      </c>
      <c r="W137" s="10">
        <v>0</v>
      </c>
      <c r="X137" s="10">
        <v>15</v>
      </c>
      <c r="Y137" s="10">
        <v>14</v>
      </c>
    </row>
    <row r="138" spans="1:25" ht="18" customHeight="1" x14ac:dyDescent="0.25">
      <c r="A138" s="106" t="s">
        <v>43</v>
      </c>
      <c r="B138" s="107"/>
      <c r="C138" s="107"/>
      <c r="D138" s="107"/>
      <c r="E138" s="107"/>
      <c r="F138" s="107"/>
      <c r="G138" s="108"/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</row>
    <row r="139" spans="1:25" ht="18" customHeight="1" x14ac:dyDescent="0.25">
      <c r="A139" s="106" t="s">
        <v>44</v>
      </c>
      <c r="B139" s="107"/>
      <c r="C139" s="107"/>
      <c r="D139" s="107"/>
      <c r="E139" s="107"/>
      <c r="F139" s="107"/>
      <c r="G139" s="108"/>
      <c r="H139" s="10">
        <v>6</v>
      </c>
      <c r="I139" s="10">
        <v>1</v>
      </c>
      <c r="J139" s="10">
        <v>5</v>
      </c>
      <c r="K139" s="10">
        <v>2</v>
      </c>
      <c r="L139" s="10">
        <v>4</v>
      </c>
      <c r="M139" s="10">
        <v>0</v>
      </c>
      <c r="N139" s="10">
        <v>4</v>
      </c>
      <c r="O139" s="10">
        <v>1</v>
      </c>
      <c r="P139" s="10">
        <v>2</v>
      </c>
      <c r="Q139" s="10">
        <v>2</v>
      </c>
      <c r="R139" s="10">
        <v>0</v>
      </c>
      <c r="S139" s="10">
        <v>1</v>
      </c>
      <c r="T139" s="10">
        <v>1</v>
      </c>
      <c r="U139" s="10">
        <v>2</v>
      </c>
      <c r="V139" s="10">
        <v>0</v>
      </c>
      <c r="W139" s="10">
        <v>0</v>
      </c>
      <c r="X139" s="10">
        <v>22</v>
      </c>
      <c r="Y139" s="10">
        <v>9</v>
      </c>
    </row>
    <row r="140" spans="1:25" ht="18" customHeight="1" x14ac:dyDescent="0.25">
      <c r="A140" s="106" t="s">
        <v>7</v>
      </c>
      <c r="B140" s="107"/>
      <c r="C140" s="107"/>
      <c r="D140" s="107"/>
      <c r="E140" s="107"/>
      <c r="F140" s="107"/>
      <c r="G140" s="108"/>
      <c r="H140" s="10">
        <v>6</v>
      </c>
      <c r="I140" s="10">
        <v>2</v>
      </c>
      <c r="J140" s="10">
        <v>6</v>
      </c>
      <c r="K140" s="10">
        <v>4</v>
      </c>
      <c r="L140" s="10">
        <v>10</v>
      </c>
      <c r="M140" s="10">
        <v>7</v>
      </c>
      <c r="N140" s="10">
        <v>12</v>
      </c>
      <c r="O140" s="10">
        <v>5</v>
      </c>
      <c r="P140" s="10">
        <v>8</v>
      </c>
      <c r="Q140" s="10">
        <v>4</v>
      </c>
      <c r="R140" s="10">
        <v>6</v>
      </c>
      <c r="S140" s="10">
        <v>6</v>
      </c>
      <c r="T140" s="10">
        <v>2</v>
      </c>
      <c r="U140" s="10">
        <v>7</v>
      </c>
      <c r="V140" s="10">
        <v>3</v>
      </c>
      <c r="W140" s="10">
        <v>0</v>
      </c>
      <c r="X140" s="10">
        <v>53</v>
      </c>
      <c r="Y140" s="10">
        <v>35</v>
      </c>
    </row>
    <row r="141" spans="1:25" ht="6.75" customHeight="1" x14ac:dyDescent="0.25">
      <c r="A141" s="11"/>
      <c r="B141" s="12"/>
      <c r="C141" s="12"/>
      <c r="D141" s="12"/>
      <c r="E141" s="12"/>
      <c r="F141" s="13"/>
      <c r="G141" s="13"/>
      <c r="H141" s="13"/>
      <c r="I141" s="13"/>
      <c r="J141" s="13"/>
      <c r="K141" s="13"/>
      <c r="L141" s="14"/>
      <c r="M141" s="13"/>
      <c r="N141" s="15"/>
      <c r="O141" s="16"/>
      <c r="P141" s="13"/>
      <c r="Q141" s="13"/>
      <c r="R141" s="13"/>
      <c r="S141" s="13"/>
      <c r="T141" s="13"/>
      <c r="U141" s="13"/>
      <c r="V141" s="13"/>
      <c r="W141" s="13"/>
      <c r="X141" s="13"/>
      <c r="Y141" s="17"/>
    </row>
    <row r="142" spans="1:25" ht="18" customHeight="1" x14ac:dyDescent="0.3">
      <c r="A142" s="18" t="s">
        <v>47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20"/>
      <c r="L142" s="21"/>
      <c r="M142" s="18" t="s">
        <v>48</v>
      </c>
      <c r="N142" s="19"/>
      <c r="O142" s="19"/>
      <c r="P142" s="19"/>
      <c r="Q142" s="22"/>
      <c r="R142" s="22"/>
      <c r="S142" s="22"/>
      <c r="T142" s="22"/>
      <c r="U142" s="22"/>
      <c r="V142" s="22"/>
      <c r="W142" s="22"/>
      <c r="X142" s="22"/>
      <c r="Y142" s="23"/>
    </row>
    <row r="143" spans="1:25" ht="57.75" customHeight="1" x14ac:dyDescent="0.25">
      <c r="A143" s="101" t="s">
        <v>49</v>
      </c>
      <c r="B143" s="101" t="s">
        <v>50</v>
      </c>
      <c r="C143" s="101" t="s">
        <v>51</v>
      </c>
      <c r="D143" s="77" t="s">
        <v>52</v>
      </c>
      <c r="E143" s="78"/>
      <c r="F143" s="77" t="s">
        <v>53</v>
      </c>
      <c r="G143" s="79"/>
      <c r="H143" s="79"/>
      <c r="I143" s="78"/>
      <c r="J143" s="101" t="s">
        <v>54</v>
      </c>
      <c r="K143" s="101" t="s">
        <v>55</v>
      </c>
      <c r="L143" s="24"/>
      <c r="M143" s="86" t="s">
        <v>56</v>
      </c>
      <c r="N143" s="88"/>
      <c r="O143" s="86" t="s">
        <v>57</v>
      </c>
      <c r="P143" s="88"/>
      <c r="Q143" s="86" t="s">
        <v>58</v>
      </c>
      <c r="R143" s="87"/>
      <c r="S143" s="87"/>
      <c r="T143" s="87"/>
      <c r="U143" s="87"/>
      <c r="V143" s="87"/>
      <c r="W143" s="87"/>
      <c r="X143" s="87"/>
      <c r="Y143" s="88"/>
    </row>
    <row r="144" spans="1:25" ht="38.25" customHeight="1" x14ac:dyDescent="0.25">
      <c r="A144" s="102"/>
      <c r="B144" s="102"/>
      <c r="C144" s="102"/>
      <c r="D144" s="25" t="s">
        <v>59</v>
      </c>
      <c r="E144" s="25" t="s">
        <v>60</v>
      </c>
      <c r="F144" s="26" t="s">
        <v>59</v>
      </c>
      <c r="G144" s="26" t="s">
        <v>60</v>
      </c>
      <c r="H144" s="26" t="s">
        <v>61</v>
      </c>
      <c r="I144" s="26" t="s">
        <v>62</v>
      </c>
      <c r="J144" s="102"/>
      <c r="K144" s="102"/>
      <c r="L144" s="24"/>
      <c r="M144" s="91">
        <v>0</v>
      </c>
      <c r="N144" s="92"/>
      <c r="O144" s="91">
        <v>0</v>
      </c>
      <c r="P144" s="92"/>
      <c r="Q144" s="86">
        <v>0</v>
      </c>
      <c r="R144" s="87"/>
      <c r="S144" s="87"/>
      <c r="T144" s="87"/>
      <c r="U144" s="87"/>
      <c r="V144" s="87"/>
      <c r="W144" s="87"/>
      <c r="X144" s="87"/>
      <c r="Y144" s="88"/>
    </row>
    <row r="145" spans="1:25" ht="42" customHeight="1" x14ac:dyDescent="0.25">
      <c r="A145" s="164">
        <v>775</v>
      </c>
      <c r="B145" s="164">
        <v>173</v>
      </c>
      <c r="C145" s="164">
        <v>31</v>
      </c>
      <c r="D145" s="164">
        <v>123</v>
      </c>
      <c r="E145" s="164">
        <v>0</v>
      </c>
      <c r="F145" s="164">
        <v>50</v>
      </c>
      <c r="G145" s="164">
        <v>2</v>
      </c>
      <c r="H145" s="164">
        <v>24</v>
      </c>
      <c r="I145" s="164">
        <v>12</v>
      </c>
      <c r="J145" s="164">
        <v>28</v>
      </c>
      <c r="K145" s="164">
        <v>5</v>
      </c>
      <c r="L145" s="24"/>
      <c r="M145" s="91" t="s">
        <v>63</v>
      </c>
      <c r="N145" s="92"/>
      <c r="O145" s="91" t="s">
        <v>64</v>
      </c>
      <c r="P145" s="92"/>
      <c r="Q145" s="95" t="s">
        <v>65</v>
      </c>
      <c r="R145" s="99"/>
      <c r="S145" s="96"/>
      <c r="T145" s="95" t="s">
        <v>66</v>
      </c>
      <c r="U145" s="99"/>
      <c r="V145" s="99"/>
      <c r="W145" s="99"/>
      <c r="X145" s="99"/>
      <c r="Y145" s="96"/>
    </row>
    <row r="146" spans="1:25" x14ac:dyDescent="0.25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27"/>
      <c r="M146" s="91">
        <v>0</v>
      </c>
      <c r="N146" s="92"/>
      <c r="O146" s="91">
        <v>0</v>
      </c>
      <c r="P146" s="92"/>
      <c r="Q146" s="91">
        <v>0</v>
      </c>
      <c r="R146" s="97"/>
      <c r="S146" s="92"/>
      <c r="T146" s="28"/>
      <c r="U146" s="86" t="s">
        <v>0</v>
      </c>
      <c r="V146" s="88"/>
      <c r="W146" s="29" t="s">
        <v>1</v>
      </c>
      <c r="X146" s="86" t="s">
        <v>67</v>
      </c>
      <c r="Y146" s="88"/>
    </row>
    <row r="147" spans="1:25" x14ac:dyDescent="0.25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27"/>
      <c r="M147" s="93"/>
      <c r="N147" s="94"/>
      <c r="O147" s="93"/>
      <c r="P147" s="94"/>
      <c r="Q147" s="93"/>
      <c r="R147" s="98"/>
      <c r="S147" s="94"/>
      <c r="T147" s="30" t="s">
        <v>68</v>
      </c>
      <c r="U147" s="100">
        <v>0</v>
      </c>
      <c r="V147" s="100"/>
      <c r="W147" s="29">
        <v>0</v>
      </c>
      <c r="X147" s="186">
        <v>0</v>
      </c>
      <c r="Y147" s="187"/>
    </row>
    <row r="148" spans="1:25" x14ac:dyDescent="0.25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27"/>
      <c r="M148" s="93"/>
      <c r="N148" s="94"/>
      <c r="O148" s="93"/>
      <c r="P148" s="94"/>
      <c r="Q148" s="93"/>
      <c r="R148" s="98"/>
      <c r="S148" s="94"/>
      <c r="T148" s="30" t="s">
        <v>69</v>
      </c>
      <c r="U148" s="100">
        <v>0</v>
      </c>
      <c r="V148" s="100"/>
      <c r="W148" s="29">
        <v>0</v>
      </c>
      <c r="X148" s="186">
        <v>0</v>
      </c>
      <c r="Y148" s="187"/>
    </row>
    <row r="149" spans="1:25" x14ac:dyDescent="0.25">
      <c r="A149" s="165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27"/>
      <c r="M149" s="95"/>
      <c r="N149" s="96"/>
      <c r="O149" s="95"/>
      <c r="P149" s="96"/>
      <c r="Q149" s="95"/>
      <c r="R149" s="99"/>
      <c r="S149" s="96"/>
      <c r="T149" s="30" t="s">
        <v>70</v>
      </c>
      <c r="U149" s="100">
        <v>0</v>
      </c>
      <c r="V149" s="100"/>
      <c r="W149" s="29">
        <v>0</v>
      </c>
      <c r="X149" s="186">
        <v>0</v>
      </c>
      <c r="Y149" s="187"/>
    </row>
    <row r="150" spans="1:25" x14ac:dyDescent="0.25">
      <c r="A150" s="31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3"/>
      <c r="M150" s="32"/>
      <c r="N150" s="32"/>
      <c r="O150" s="32"/>
      <c r="P150" s="32"/>
      <c r="Q150" s="32"/>
      <c r="R150" s="34"/>
      <c r="S150" s="34"/>
      <c r="T150" s="34"/>
      <c r="U150" s="34"/>
      <c r="V150" s="34"/>
      <c r="W150" s="32"/>
      <c r="X150" s="32"/>
      <c r="Y150" s="7"/>
    </row>
    <row r="151" spans="1:25" ht="15.6" x14ac:dyDescent="0.3">
      <c r="A151" s="18" t="s">
        <v>71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20"/>
      <c r="L151" s="35"/>
      <c r="M151" s="18" t="s">
        <v>72</v>
      </c>
      <c r="N151" s="20"/>
      <c r="O151" s="36"/>
      <c r="P151" s="19"/>
      <c r="Q151" s="19"/>
      <c r="R151" s="19"/>
      <c r="S151" s="19"/>
      <c r="T151" s="19"/>
      <c r="U151" s="19"/>
      <c r="V151" s="19"/>
      <c r="W151" s="22"/>
      <c r="X151" s="22"/>
      <c r="Y151" s="37"/>
    </row>
    <row r="152" spans="1:25" ht="55.5" customHeight="1" x14ac:dyDescent="0.25">
      <c r="A152" s="71"/>
      <c r="B152" s="72"/>
      <c r="C152" s="72"/>
      <c r="D152" s="72"/>
      <c r="E152" s="73"/>
      <c r="F152" s="68" t="s">
        <v>12</v>
      </c>
      <c r="G152" s="70"/>
      <c r="H152" s="68" t="s">
        <v>13</v>
      </c>
      <c r="I152" s="70"/>
      <c r="J152" s="38" t="s">
        <v>73</v>
      </c>
      <c r="K152" s="39"/>
      <c r="L152" s="40"/>
      <c r="M152" s="77" t="s">
        <v>74</v>
      </c>
      <c r="N152" s="78"/>
      <c r="O152" s="77" t="s">
        <v>75</v>
      </c>
      <c r="P152" s="78"/>
      <c r="Q152" s="77" t="s">
        <v>76</v>
      </c>
      <c r="R152" s="78"/>
      <c r="S152" s="77" t="s">
        <v>77</v>
      </c>
      <c r="T152" s="79"/>
      <c r="U152" s="79"/>
      <c r="V152" s="78"/>
      <c r="W152" s="77" t="s">
        <v>78</v>
      </c>
      <c r="X152" s="79"/>
      <c r="Y152" s="78"/>
    </row>
    <row r="153" spans="1:25" x14ac:dyDescent="0.25">
      <c r="A153" s="74"/>
      <c r="B153" s="75"/>
      <c r="C153" s="75"/>
      <c r="D153" s="75"/>
      <c r="E153" s="76"/>
      <c r="F153" s="10" t="s">
        <v>79</v>
      </c>
      <c r="G153" s="10" t="s">
        <v>14</v>
      </c>
      <c r="H153" s="10" t="s">
        <v>79</v>
      </c>
      <c r="I153" s="10" t="s">
        <v>14</v>
      </c>
      <c r="J153" s="10" t="s">
        <v>79</v>
      </c>
      <c r="K153" s="10" t="s">
        <v>14</v>
      </c>
      <c r="L153" s="41"/>
      <c r="M153" s="42" t="s">
        <v>80</v>
      </c>
      <c r="N153" s="42" t="s">
        <v>81</v>
      </c>
      <c r="O153" s="42" t="s">
        <v>80</v>
      </c>
      <c r="P153" s="43" t="s">
        <v>81</v>
      </c>
      <c r="Q153" s="42" t="s">
        <v>80</v>
      </c>
      <c r="R153" s="42" t="s">
        <v>81</v>
      </c>
      <c r="S153" s="44"/>
      <c r="T153" s="42" t="s">
        <v>0</v>
      </c>
      <c r="U153" s="45" t="s">
        <v>1</v>
      </c>
      <c r="V153" s="46" t="s">
        <v>82</v>
      </c>
      <c r="W153" s="42" t="s">
        <v>0</v>
      </c>
      <c r="X153" s="45" t="s">
        <v>1</v>
      </c>
      <c r="Y153" s="46" t="s">
        <v>82</v>
      </c>
    </row>
    <row r="154" spans="1:25" ht="14.4" x14ac:dyDescent="0.3">
      <c r="A154" s="80" t="s">
        <v>83</v>
      </c>
      <c r="B154" s="81"/>
      <c r="C154" s="81"/>
      <c r="D154" s="81"/>
      <c r="E154" s="82"/>
      <c r="F154" s="10">
        <v>12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41"/>
      <c r="M154" s="83">
        <v>3</v>
      </c>
      <c r="N154" s="83">
        <v>65</v>
      </c>
      <c r="O154" s="83">
        <v>3</v>
      </c>
      <c r="P154" s="83">
        <v>2</v>
      </c>
      <c r="Q154" s="83">
        <v>0</v>
      </c>
      <c r="R154" s="83">
        <v>1</v>
      </c>
      <c r="S154" s="47" t="s">
        <v>68</v>
      </c>
      <c r="T154" s="48">
        <v>0</v>
      </c>
      <c r="U154" s="48">
        <v>0</v>
      </c>
      <c r="V154" s="48">
        <v>0</v>
      </c>
      <c r="W154" s="48">
        <v>0</v>
      </c>
      <c r="X154" s="48">
        <v>0</v>
      </c>
      <c r="Y154" s="48">
        <v>0</v>
      </c>
    </row>
    <row r="155" spans="1:25" ht="14.4" x14ac:dyDescent="0.3">
      <c r="A155" s="80" t="s">
        <v>8</v>
      </c>
      <c r="B155" s="81"/>
      <c r="C155" s="81"/>
      <c r="D155" s="81"/>
      <c r="E155" s="82"/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41"/>
      <c r="M155" s="84"/>
      <c r="N155" s="84"/>
      <c r="O155" s="84"/>
      <c r="P155" s="84"/>
      <c r="Q155" s="84"/>
      <c r="R155" s="84"/>
      <c r="S155" s="47" t="s">
        <v>69</v>
      </c>
      <c r="T155" s="48">
        <v>0</v>
      </c>
      <c r="U155" s="48">
        <v>0</v>
      </c>
      <c r="V155" s="48">
        <v>0</v>
      </c>
      <c r="W155" s="48">
        <v>0</v>
      </c>
      <c r="X155" s="48">
        <v>0</v>
      </c>
      <c r="Y155" s="48">
        <v>0</v>
      </c>
    </row>
    <row r="156" spans="1:25" x14ac:dyDescent="0.25">
      <c r="A156" s="86" t="s">
        <v>84</v>
      </c>
      <c r="B156" s="87"/>
      <c r="C156" s="87"/>
      <c r="D156" s="87"/>
      <c r="E156" s="88"/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41"/>
      <c r="M156" s="84"/>
      <c r="N156" s="84"/>
      <c r="O156" s="84"/>
      <c r="P156" s="84"/>
      <c r="Q156" s="84"/>
      <c r="R156" s="84"/>
      <c r="S156" s="89" t="s">
        <v>70</v>
      </c>
      <c r="T156" s="83">
        <v>0</v>
      </c>
      <c r="U156" s="83">
        <v>0</v>
      </c>
      <c r="V156" s="83">
        <v>0</v>
      </c>
      <c r="W156" s="83">
        <v>0</v>
      </c>
      <c r="X156" s="83">
        <v>0</v>
      </c>
      <c r="Y156" s="83">
        <v>0</v>
      </c>
    </row>
    <row r="157" spans="1:25" x14ac:dyDescent="0.25">
      <c r="A157" s="68" t="s">
        <v>7</v>
      </c>
      <c r="B157" s="69"/>
      <c r="C157" s="69"/>
      <c r="D157" s="69"/>
      <c r="E157" s="70"/>
      <c r="F157" s="10">
        <v>12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41"/>
      <c r="M157" s="85"/>
      <c r="N157" s="85"/>
      <c r="O157" s="85"/>
      <c r="P157" s="85"/>
      <c r="Q157" s="85"/>
      <c r="R157" s="85"/>
      <c r="S157" s="90"/>
      <c r="T157" s="85"/>
      <c r="U157" s="85"/>
      <c r="V157" s="85"/>
      <c r="W157" s="85"/>
      <c r="X157" s="85"/>
      <c r="Y157" s="85"/>
    </row>
    <row r="158" spans="1:25" ht="23.4" x14ac:dyDescent="0.45">
      <c r="A158" s="120" t="s">
        <v>17</v>
      </c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</row>
    <row r="159" spans="1:25" ht="23.4" x14ac:dyDescent="0.25">
      <c r="A159" s="111" t="s">
        <v>18</v>
      </c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"/>
      <c r="U159" s="112" t="s">
        <v>19</v>
      </c>
      <c r="V159" s="112"/>
      <c r="W159" s="1"/>
      <c r="X159" s="1"/>
      <c r="Y159" s="1"/>
    </row>
    <row r="160" spans="1:25" ht="49.5" customHeight="1" x14ac:dyDescent="0.25">
      <c r="A160" s="113" t="s">
        <v>20</v>
      </c>
      <c r="B160" s="113"/>
      <c r="C160" s="113"/>
      <c r="D160" s="113"/>
      <c r="E160" s="196" t="s">
        <v>91</v>
      </c>
      <c r="F160" s="196"/>
      <c r="G160" s="196"/>
      <c r="H160" s="116" t="s">
        <v>22</v>
      </c>
      <c r="I160" s="116"/>
      <c r="J160" s="115">
        <v>0</v>
      </c>
      <c r="K160" s="115"/>
      <c r="L160" s="116" t="s">
        <v>23</v>
      </c>
      <c r="M160" s="116"/>
      <c r="N160" s="190" t="s">
        <v>15</v>
      </c>
      <c r="O160" s="190"/>
      <c r="P160" s="190"/>
      <c r="Q160" s="118" t="s">
        <v>24</v>
      </c>
      <c r="R160" s="118"/>
      <c r="S160" s="118"/>
      <c r="T160" s="118"/>
      <c r="U160" s="119" t="s">
        <v>88</v>
      </c>
      <c r="V160" s="119"/>
      <c r="W160" s="119"/>
      <c r="X160" s="147" t="s">
        <v>93</v>
      </c>
      <c r="Y160" s="147"/>
    </row>
    <row r="161" spans="1:25" ht="6.75" customHeight="1" x14ac:dyDescent="0.25">
      <c r="Q161" s="118"/>
      <c r="R161" s="118"/>
      <c r="S161" s="118"/>
      <c r="T161" s="118"/>
      <c r="U161" s="119"/>
      <c r="V161" s="119"/>
      <c r="W161" s="119"/>
      <c r="X161" s="147"/>
      <c r="Y161" s="147"/>
    </row>
    <row r="162" spans="1:25" ht="15.6" x14ac:dyDescent="0.3">
      <c r="A162" s="166" t="s">
        <v>26</v>
      </c>
      <c r="B162" s="166"/>
      <c r="C162" s="166"/>
      <c r="D162" s="166"/>
      <c r="E162" s="166"/>
      <c r="F162" s="166"/>
      <c r="G162" s="167" t="s">
        <v>27</v>
      </c>
      <c r="H162" s="167"/>
      <c r="I162" s="167"/>
      <c r="J162" s="167"/>
      <c r="K162" s="167"/>
      <c r="L162" s="167"/>
      <c r="M162" s="167"/>
      <c r="N162" s="2"/>
      <c r="Q162" s="168" t="s">
        <v>28</v>
      </c>
      <c r="R162" s="168"/>
      <c r="S162" s="168"/>
      <c r="T162" s="168"/>
      <c r="U162" s="168"/>
      <c r="V162" s="148" t="s">
        <v>29</v>
      </c>
      <c r="W162" s="148"/>
      <c r="X162" s="148"/>
      <c r="Y162" s="148"/>
    </row>
    <row r="163" spans="1:25" ht="6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" customHeight="1" x14ac:dyDescent="0.25">
      <c r="A164" s="149" t="s">
        <v>31</v>
      </c>
      <c r="B164" s="150"/>
      <c r="C164" s="150"/>
      <c r="D164" s="150"/>
      <c r="E164" s="150"/>
      <c r="F164" s="150"/>
      <c r="G164" s="150"/>
      <c r="H164" s="150"/>
      <c r="I164" s="151"/>
      <c r="J164" s="152" t="s">
        <v>32</v>
      </c>
      <c r="K164" s="153"/>
      <c r="L164" s="152" t="s">
        <v>33</v>
      </c>
      <c r="M164" s="153"/>
      <c r="N164" s="91" t="s">
        <v>34</v>
      </c>
      <c r="O164" s="92"/>
      <c r="P164" s="152" t="s">
        <v>35</v>
      </c>
      <c r="Q164" s="153"/>
      <c r="R164" s="68" t="s">
        <v>36</v>
      </c>
      <c r="S164" s="69"/>
      <c r="T164" s="69"/>
      <c r="U164" s="69"/>
      <c r="V164" s="69"/>
      <c r="W164" s="70"/>
      <c r="X164" s="152" t="s">
        <v>7</v>
      </c>
      <c r="Y164" s="153"/>
    </row>
    <row r="165" spans="1:25" ht="23.25" customHeight="1" x14ac:dyDescent="0.25">
      <c r="A165" s="158" t="s">
        <v>37</v>
      </c>
      <c r="B165" s="159"/>
      <c r="C165" s="159"/>
      <c r="D165" s="159"/>
      <c r="E165" s="159"/>
      <c r="F165" s="159"/>
      <c r="G165" s="159"/>
      <c r="H165" s="159"/>
      <c r="I165" s="160"/>
      <c r="J165" s="154"/>
      <c r="K165" s="155"/>
      <c r="L165" s="154"/>
      <c r="M165" s="155"/>
      <c r="N165" s="93"/>
      <c r="O165" s="94"/>
      <c r="P165" s="154"/>
      <c r="Q165" s="155"/>
      <c r="R165" s="164" t="s">
        <v>38</v>
      </c>
      <c r="S165" s="164"/>
      <c r="T165" s="164" t="s">
        <v>39</v>
      </c>
      <c r="U165" s="164"/>
      <c r="V165" s="164" t="s">
        <v>40</v>
      </c>
      <c r="W165" s="164"/>
      <c r="X165" s="154"/>
      <c r="Y165" s="155"/>
    </row>
    <row r="166" spans="1:25" x14ac:dyDescent="0.25">
      <c r="A166" s="161"/>
      <c r="B166" s="162"/>
      <c r="C166" s="162"/>
      <c r="D166" s="162"/>
      <c r="E166" s="162"/>
      <c r="F166" s="162"/>
      <c r="G166" s="162"/>
      <c r="H166" s="162"/>
      <c r="I166" s="163"/>
      <c r="J166" s="156"/>
      <c r="K166" s="157"/>
      <c r="L166" s="156"/>
      <c r="M166" s="157"/>
      <c r="N166" s="95"/>
      <c r="O166" s="96"/>
      <c r="P166" s="156"/>
      <c r="Q166" s="157"/>
      <c r="R166" s="165"/>
      <c r="S166" s="165"/>
      <c r="T166" s="165"/>
      <c r="U166" s="165"/>
      <c r="V166" s="165"/>
      <c r="W166" s="165"/>
      <c r="X166" s="156"/>
      <c r="Y166" s="157"/>
    </row>
    <row r="167" spans="1:25" ht="18" customHeight="1" x14ac:dyDescent="0.3">
      <c r="A167" s="106" t="s">
        <v>41</v>
      </c>
      <c r="B167" s="107"/>
      <c r="C167" s="107"/>
      <c r="D167" s="107"/>
      <c r="E167" s="107"/>
      <c r="F167" s="107"/>
      <c r="G167" s="107"/>
      <c r="H167" s="107"/>
      <c r="I167" s="108"/>
      <c r="J167" s="68">
        <v>124</v>
      </c>
      <c r="K167" s="70"/>
      <c r="L167" s="68">
        <v>7</v>
      </c>
      <c r="M167" s="70"/>
      <c r="N167" s="68">
        <v>0</v>
      </c>
      <c r="O167" s="70"/>
      <c r="P167" s="68">
        <v>131</v>
      </c>
      <c r="Q167" s="70"/>
      <c r="R167" s="68">
        <v>0</v>
      </c>
      <c r="S167" s="70"/>
      <c r="T167" s="68">
        <v>0</v>
      </c>
      <c r="U167" s="70"/>
      <c r="V167" s="68">
        <v>0</v>
      </c>
      <c r="W167" s="70"/>
      <c r="X167" s="80">
        <v>131</v>
      </c>
      <c r="Y167" s="82"/>
    </row>
    <row r="168" spans="1:25" ht="18" customHeight="1" x14ac:dyDescent="0.3">
      <c r="A168" s="106" t="s">
        <v>42</v>
      </c>
      <c r="B168" s="107"/>
      <c r="C168" s="107"/>
      <c r="D168" s="107"/>
      <c r="E168" s="107"/>
      <c r="F168" s="107"/>
      <c r="G168" s="107"/>
      <c r="H168" s="107"/>
      <c r="I168" s="108"/>
      <c r="J168" s="68">
        <v>118</v>
      </c>
      <c r="K168" s="70"/>
      <c r="L168" s="68">
        <v>0</v>
      </c>
      <c r="M168" s="70"/>
      <c r="N168" s="68">
        <v>0</v>
      </c>
      <c r="O168" s="70"/>
      <c r="P168" s="68">
        <v>118</v>
      </c>
      <c r="Q168" s="70"/>
      <c r="R168" s="68">
        <v>0</v>
      </c>
      <c r="S168" s="70"/>
      <c r="T168" s="68">
        <v>0</v>
      </c>
      <c r="U168" s="70"/>
      <c r="V168" s="68">
        <v>0</v>
      </c>
      <c r="W168" s="70"/>
      <c r="X168" s="80">
        <v>118</v>
      </c>
      <c r="Y168" s="82"/>
    </row>
    <row r="169" spans="1:25" ht="18" customHeight="1" x14ac:dyDescent="0.3">
      <c r="A169" s="106" t="s">
        <v>43</v>
      </c>
      <c r="B169" s="107"/>
      <c r="C169" s="107"/>
      <c r="D169" s="107"/>
      <c r="E169" s="107"/>
      <c r="F169" s="107"/>
      <c r="G169" s="107"/>
      <c r="H169" s="107"/>
      <c r="I169" s="108"/>
      <c r="J169" s="68">
        <v>0</v>
      </c>
      <c r="K169" s="70"/>
      <c r="L169" s="68">
        <v>0</v>
      </c>
      <c r="M169" s="70"/>
      <c r="N169" s="68">
        <v>0</v>
      </c>
      <c r="O169" s="70"/>
      <c r="P169" s="68">
        <v>0</v>
      </c>
      <c r="Q169" s="70"/>
      <c r="R169" s="68">
        <v>0</v>
      </c>
      <c r="S169" s="70"/>
      <c r="T169" s="68">
        <v>0</v>
      </c>
      <c r="U169" s="70"/>
      <c r="V169" s="68">
        <v>0</v>
      </c>
      <c r="W169" s="70"/>
      <c r="X169" s="80">
        <v>0</v>
      </c>
      <c r="Y169" s="82"/>
    </row>
    <row r="170" spans="1:25" ht="18" customHeight="1" x14ac:dyDescent="0.3">
      <c r="A170" s="106" t="s">
        <v>44</v>
      </c>
      <c r="B170" s="107"/>
      <c r="C170" s="107"/>
      <c r="D170" s="107"/>
      <c r="E170" s="107"/>
      <c r="F170" s="107"/>
      <c r="G170" s="107"/>
      <c r="H170" s="107"/>
      <c r="I170" s="108"/>
      <c r="J170" s="68">
        <v>144</v>
      </c>
      <c r="K170" s="70"/>
      <c r="L170" s="68">
        <v>1</v>
      </c>
      <c r="M170" s="70"/>
      <c r="N170" s="68">
        <v>0</v>
      </c>
      <c r="O170" s="70"/>
      <c r="P170" s="68">
        <v>145</v>
      </c>
      <c r="Q170" s="70"/>
      <c r="R170" s="68">
        <v>0</v>
      </c>
      <c r="S170" s="70"/>
      <c r="T170" s="68">
        <v>0</v>
      </c>
      <c r="U170" s="70"/>
      <c r="V170" s="68">
        <v>0</v>
      </c>
      <c r="W170" s="70"/>
      <c r="X170" s="80">
        <v>145</v>
      </c>
      <c r="Y170" s="82"/>
    </row>
    <row r="171" spans="1:25" ht="18" customHeight="1" x14ac:dyDescent="0.3">
      <c r="A171" s="106" t="s">
        <v>7</v>
      </c>
      <c r="B171" s="107"/>
      <c r="C171" s="107"/>
      <c r="D171" s="107"/>
      <c r="E171" s="107"/>
      <c r="F171" s="107"/>
      <c r="G171" s="107"/>
      <c r="H171" s="107"/>
      <c r="I171" s="108"/>
      <c r="J171" s="68">
        <v>386</v>
      </c>
      <c r="K171" s="70"/>
      <c r="L171" s="68">
        <v>8</v>
      </c>
      <c r="M171" s="70"/>
      <c r="N171" s="68">
        <v>0</v>
      </c>
      <c r="O171" s="70"/>
      <c r="P171" s="68">
        <v>394</v>
      </c>
      <c r="Q171" s="70"/>
      <c r="R171" s="68">
        <v>0</v>
      </c>
      <c r="S171" s="70"/>
      <c r="T171" s="68">
        <v>0</v>
      </c>
      <c r="U171" s="70"/>
      <c r="V171" s="68">
        <v>0</v>
      </c>
      <c r="W171" s="70"/>
      <c r="X171" s="80">
        <v>394</v>
      </c>
      <c r="Y171" s="82"/>
    </row>
    <row r="172" spans="1:25" ht="15.6" x14ac:dyDescent="0.3">
      <c r="A172" s="4" t="s">
        <v>45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"/>
      <c r="S172" s="6"/>
      <c r="T172" s="6"/>
      <c r="U172" s="6"/>
      <c r="V172" s="6"/>
      <c r="W172" s="6"/>
      <c r="X172" s="6"/>
      <c r="Y172" s="7"/>
    </row>
    <row r="173" spans="1:25" x14ac:dyDescent="0.25">
      <c r="A173" s="71"/>
      <c r="B173" s="72"/>
      <c r="C173" s="72"/>
      <c r="D173" s="72"/>
      <c r="E173" s="72"/>
      <c r="F173" s="72"/>
      <c r="G173" s="73"/>
      <c r="H173" s="68" t="s">
        <v>0</v>
      </c>
      <c r="I173" s="69"/>
      <c r="J173" s="136" t="s">
        <v>1</v>
      </c>
      <c r="K173" s="69"/>
      <c r="L173" s="134" t="s">
        <v>2</v>
      </c>
      <c r="M173" s="69"/>
      <c r="N173" s="134" t="s">
        <v>3</v>
      </c>
      <c r="O173" s="69"/>
      <c r="P173" s="134" t="s">
        <v>4</v>
      </c>
      <c r="Q173" s="135"/>
      <c r="R173" s="134" t="s">
        <v>5</v>
      </c>
      <c r="S173" s="69"/>
      <c r="T173" s="134" t="s">
        <v>6</v>
      </c>
      <c r="U173" s="69"/>
      <c r="V173" s="134" t="s">
        <v>46</v>
      </c>
      <c r="W173" s="69"/>
      <c r="X173" s="134" t="s">
        <v>7</v>
      </c>
      <c r="Y173" s="135"/>
    </row>
    <row r="174" spans="1:25" x14ac:dyDescent="0.25">
      <c r="A174" s="74"/>
      <c r="B174" s="75"/>
      <c r="C174" s="75"/>
      <c r="D174" s="75"/>
      <c r="E174" s="75"/>
      <c r="F174" s="75"/>
      <c r="G174" s="76"/>
      <c r="H174" s="10" t="s">
        <v>10</v>
      </c>
      <c r="I174" s="10" t="s">
        <v>11</v>
      </c>
      <c r="J174" s="10" t="s">
        <v>10</v>
      </c>
      <c r="K174" s="10" t="s">
        <v>11</v>
      </c>
      <c r="L174" s="10" t="s">
        <v>10</v>
      </c>
      <c r="M174" s="10" t="s">
        <v>11</v>
      </c>
      <c r="N174" s="10" t="s">
        <v>10</v>
      </c>
      <c r="O174" s="10" t="s">
        <v>11</v>
      </c>
      <c r="P174" s="10" t="s">
        <v>10</v>
      </c>
      <c r="Q174" s="10" t="s">
        <v>11</v>
      </c>
      <c r="R174" s="10" t="s">
        <v>10</v>
      </c>
      <c r="S174" s="10" t="s">
        <v>11</v>
      </c>
      <c r="T174" s="10" t="s">
        <v>10</v>
      </c>
      <c r="U174" s="10" t="s">
        <v>11</v>
      </c>
      <c r="V174" s="10" t="s">
        <v>10</v>
      </c>
      <c r="W174" s="10" t="s">
        <v>11</v>
      </c>
      <c r="X174" s="10" t="s">
        <v>10</v>
      </c>
      <c r="Y174" s="10" t="s">
        <v>11</v>
      </c>
    </row>
    <row r="175" spans="1:25" ht="18" customHeight="1" x14ac:dyDescent="0.25">
      <c r="A175" s="106" t="s">
        <v>41</v>
      </c>
      <c r="B175" s="107"/>
      <c r="C175" s="107"/>
      <c r="D175" s="107"/>
      <c r="E175" s="107"/>
      <c r="F175" s="107"/>
      <c r="G175" s="108"/>
      <c r="H175" s="10">
        <v>0</v>
      </c>
      <c r="I175" s="10">
        <v>0</v>
      </c>
      <c r="J175" s="10">
        <v>1</v>
      </c>
      <c r="K175" s="10">
        <v>2</v>
      </c>
      <c r="L175" s="10">
        <v>13</v>
      </c>
      <c r="M175" s="10">
        <v>14</v>
      </c>
      <c r="N175" s="10">
        <v>23</v>
      </c>
      <c r="O175" s="10">
        <v>7</v>
      </c>
      <c r="P175" s="10">
        <v>14</v>
      </c>
      <c r="Q175" s="10">
        <v>12</v>
      </c>
      <c r="R175" s="10">
        <v>8</v>
      </c>
      <c r="S175" s="10">
        <v>7</v>
      </c>
      <c r="T175" s="10">
        <v>9</v>
      </c>
      <c r="U175" s="10">
        <v>7</v>
      </c>
      <c r="V175" s="10">
        <v>7</v>
      </c>
      <c r="W175" s="10">
        <v>7</v>
      </c>
      <c r="X175" s="10">
        <v>75</v>
      </c>
      <c r="Y175" s="10">
        <v>56</v>
      </c>
    </row>
    <row r="176" spans="1:25" ht="18" customHeight="1" x14ac:dyDescent="0.25">
      <c r="A176" s="106" t="s">
        <v>42</v>
      </c>
      <c r="B176" s="107"/>
      <c r="C176" s="107"/>
      <c r="D176" s="107"/>
      <c r="E176" s="107"/>
      <c r="F176" s="107"/>
      <c r="G176" s="108"/>
      <c r="H176" s="10">
        <v>1</v>
      </c>
      <c r="I176" s="10">
        <v>1</v>
      </c>
      <c r="J176" s="10">
        <v>2</v>
      </c>
      <c r="K176" s="10">
        <v>9</v>
      </c>
      <c r="L176" s="10">
        <v>12</v>
      </c>
      <c r="M176" s="10">
        <v>11</v>
      </c>
      <c r="N176" s="10">
        <v>14</v>
      </c>
      <c r="O176" s="10">
        <v>14</v>
      </c>
      <c r="P176" s="10">
        <v>13</v>
      </c>
      <c r="Q176" s="10">
        <v>7</v>
      </c>
      <c r="R176" s="10">
        <v>7</v>
      </c>
      <c r="S176" s="10">
        <v>10</v>
      </c>
      <c r="T176" s="10">
        <v>5</v>
      </c>
      <c r="U176" s="10">
        <v>4</v>
      </c>
      <c r="V176" s="10">
        <v>5</v>
      </c>
      <c r="W176" s="10">
        <v>3</v>
      </c>
      <c r="X176" s="10">
        <v>59</v>
      </c>
      <c r="Y176" s="10">
        <v>59</v>
      </c>
    </row>
    <row r="177" spans="1:25" x14ac:dyDescent="0.25">
      <c r="A177" s="106" t="s">
        <v>43</v>
      </c>
      <c r="B177" s="107"/>
      <c r="C177" s="107"/>
      <c r="D177" s="107"/>
      <c r="E177" s="107"/>
      <c r="F177" s="107"/>
      <c r="G177" s="108"/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</row>
    <row r="178" spans="1:25" x14ac:dyDescent="0.25">
      <c r="A178" s="106" t="s">
        <v>44</v>
      </c>
      <c r="B178" s="107"/>
      <c r="C178" s="107"/>
      <c r="D178" s="107"/>
      <c r="E178" s="107"/>
      <c r="F178" s="107"/>
      <c r="G178" s="108"/>
      <c r="H178" s="10">
        <v>11</v>
      </c>
      <c r="I178" s="10">
        <v>7</v>
      </c>
      <c r="J178" s="10">
        <v>31</v>
      </c>
      <c r="K178" s="10">
        <v>14</v>
      </c>
      <c r="L178" s="10">
        <v>21</v>
      </c>
      <c r="M178" s="10">
        <v>9</v>
      </c>
      <c r="N178" s="10">
        <v>12</v>
      </c>
      <c r="O178" s="10">
        <v>3</v>
      </c>
      <c r="P178" s="10">
        <v>5</v>
      </c>
      <c r="Q178" s="10">
        <v>5</v>
      </c>
      <c r="R178" s="10">
        <v>4</v>
      </c>
      <c r="S178" s="10">
        <v>4</v>
      </c>
      <c r="T178" s="10">
        <v>7</v>
      </c>
      <c r="U178" s="10">
        <v>4</v>
      </c>
      <c r="V178" s="10">
        <v>5</v>
      </c>
      <c r="W178" s="10">
        <v>3</v>
      </c>
      <c r="X178" s="10">
        <v>96</v>
      </c>
      <c r="Y178" s="10">
        <v>49</v>
      </c>
    </row>
    <row r="179" spans="1:25" x14ac:dyDescent="0.25">
      <c r="A179" s="106" t="s">
        <v>7</v>
      </c>
      <c r="B179" s="107"/>
      <c r="C179" s="107"/>
      <c r="D179" s="107"/>
      <c r="E179" s="107"/>
      <c r="F179" s="107"/>
      <c r="G179" s="108"/>
      <c r="H179" s="10">
        <v>12</v>
      </c>
      <c r="I179" s="10">
        <v>8</v>
      </c>
      <c r="J179" s="10">
        <v>34</v>
      </c>
      <c r="K179" s="10">
        <v>25</v>
      </c>
      <c r="L179" s="10">
        <v>46</v>
      </c>
      <c r="M179" s="10">
        <v>34</v>
      </c>
      <c r="N179" s="10">
        <v>49</v>
      </c>
      <c r="O179" s="10">
        <v>24</v>
      </c>
      <c r="P179" s="10">
        <v>32</v>
      </c>
      <c r="Q179" s="10">
        <v>24</v>
      </c>
      <c r="R179" s="10">
        <v>19</v>
      </c>
      <c r="S179" s="10">
        <v>21</v>
      </c>
      <c r="T179" s="10">
        <v>21</v>
      </c>
      <c r="U179" s="10">
        <v>15</v>
      </c>
      <c r="V179" s="10">
        <v>17</v>
      </c>
      <c r="W179" s="10">
        <v>13</v>
      </c>
      <c r="X179" s="10">
        <v>230</v>
      </c>
      <c r="Y179" s="10">
        <v>164</v>
      </c>
    </row>
    <row r="180" spans="1:25" ht="5.25" customHeight="1" x14ac:dyDescent="0.25">
      <c r="A180" s="11"/>
      <c r="B180" s="12"/>
      <c r="C180" s="12"/>
      <c r="D180" s="12"/>
      <c r="E180" s="12"/>
      <c r="F180" s="13"/>
      <c r="G180" s="13"/>
      <c r="H180" s="13"/>
      <c r="I180" s="13"/>
      <c r="J180" s="13"/>
      <c r="K180" s="13"/>
      <c r="L180" s="14"/>
      <c r="M180" s="13"/>
      <c r="N180" s="15"/>
      <c r="O180" s="16"/>
      <c r="P180" s="13"/>
      <c r="Q180" s="13"/>
      <c r="R180" s="13"/>
      <c r="S180" s="13"/>
      <c r="T180" s="13"/>
      <c r="U180" s="13"/>
      <c r="V180" s="13"/>
      <c r="W180" s="13"/>
      <c r="X180" s="13"/>
      <c r="Y180" s="17"/>
    </row>
    <row r="181" spans="1:25" ht="15.6" x14ac:dyDescent="0.3">
      <c r="A181" s="18" t="s">
        <v>47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20"/>
      <c r="L181" s="21"/>
      <c r="M181" s="18" t="s">
        <v>48</v>
      </c>
      <c r="N181" s="19"/>
      <c r="O181" s="19"/>
      <c r="P181" s="19"/>
      <c r="Q181" s="22"/>
      <c r="R181" s="22"/>
      <c r="S181" s="22"/>
      <c r="T181" s="22"/>
      <c r="U181" s="22"/>
      <c r="V181" s="22"/>
      <c r="W181" s="22"/>
      <c r="X181" s="22"/>
      <c r="Y181" s="23"/>
    </row>
    <row r="182" spans="1:25" ht="44.25" customHeight="1" x14ac:dyDescent="0.25">
      <c r="A182" s="101" t="s">
        <v>49</v>
      </c>
      <c r="B182" s="101" t="s">
        <v>50</v>
      </c>
      <c r="C182" s="101" t="s">
        <v>51</v>
      </c>
      <c r="D182" s="77" t="s">
        <v>52</v>
      </c>
      <c r="E182" s="78"/>
      <c r="F182" s="77" t="s">
        <v>53</v>
      </c>
      <c r="G182" s="79"/>
      <c r="H182" s="79"/>
      <c r="I182" s="78"/>
      <c r="J182" s="101" t="s">
        <v>54</v>
      </c>
      <c r="K182" s="101" t="s">
        <v>55</v>
      </c>
      <c r="L182" s="24"/>
      <c r="M182" s="86" t="s">
        <v>56</v>
      </c>
      <c r="N182" s="88"/>
      <c r="O182" s="86" t="s">
        <v>57</v>
      </c>
      <c r="P182" s="88"/>
      <c r="Q182" s="86" t="s">
        <v>58</v>
      </c>
      <c r="R182" s="87"/>
      <c r="S182" s="87"/>
      <c r="T182" s="87"/>
      <c r="U182" s="87"/>
      <c r="V182" s="87"/>
      <c r="W182" s="87"/>
      <c r="X182" s="87"/>
      <c r="Y182" s="88"/>
    </row>
    <row r="183" spans="1:25" ht="32.25" customHeight="1" x14ac:dyDescent="0.25">
      <c r="A183" s="102"/>
      <c r="B183" s="102"/>
      <c r="C183" s="102"/>
      <c r="D183" s="25" t="s">
        <v>59</v>
      </c>
      <c r="E183" s="25" t="s">
        <v>60</v>
      </c>
      <c r="F183" s="26" t="s">
        <v>59</v>
      </c>
      <c r="G183" s="26" t="s">
        <v>60</v>
      </c>
      <c r="H183" s="26" t="s">
        <v>61</v>
      </c>
      <c r="I183" s="26" t="s">
        <v>62</v>
      </c>
      <c r="J183" s="102"/>
      <c r="K183" s="102"/>
      <c r="L183" s="24"/>
      <c r="M183" s="91">
        <v>0</v>
      </c>
      <c r="N183" s="92"/>
      <c r="O183" s="91">
        <v>0</v>
      </c>
      <c r="P183" s="92"/>
      <c r="Q183" s="86">
        <v>0</v>
      </c>
      <c r="R183" s="87"/>
      <c r="S183" s="87"/>
      <c r="T183" s="87"/>
      <c r="U183" s="87"/>
      <c r="V183" s="87"/>
      <c r="W183" s="87"/>
      <c r="X183" s="87"/>
      <c r="Y183" s="88"/>
    </row>
    <row r="184" spans="1:25" ht="39.75" customHeight="1" x14ac:dyDescent="0.25">
      <c r="A184" s="103">
        <v>2655</v>
      </c>
      <c r="B184" s="103">
        <v>694</v>
      </c>
      <c r="C184" s="103">
        <v>141</v>
      </c>
      <c r="D184" s="103">
        <v>381</v>
      </c>
      <c r="E184" s="103">
        <v>144</v>
      </c>
      <c r="F184" s="103">
        <v>81</v>
      </c>
      <c r="G184" s="103">
        <v>16</v>
      </c>
      <c r="H184" s="103">
        <v>43</v>
      </c>
      <c r="I184" s="103">
        <v>80</v>
      </c>
      <c r="J184" s="103">
        <v>117</v>
      </c>
      <c r="K184" s="103">
        <v>112</v>
      </c>
      <c r="L184" s="24"/>
      <c r="M184" s="91" t="s">
        <v>63</v>
      </c>
      <c r="N184" s="92"/>
      <c r="O184" s="91" t="s">
        <v>64</v>
      </c>
      <c r="P184" s="92"/>
      <c r="Q184" s="95" t="s">
        <v>65</v>
      </c>
      <c r="R184" s="99"/>
      <c r="S184" s="96"/>
      <c r="T184" s="95" t="s">
        <v>66</v>
      </c>
      <c r="U184" s="99"/>
      <c r="V184" s="99"/>
      <c r="W184" s="99"/>
      <c r="X184" s="99"/>
      <c r="Y184" s="96"/>
    </row>
    <row r="185" spans="1:25" x14ac:dyDescent="0.2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27"/>
      <c r="M185" s="91">
        <v>0</v>
      </c>
      <c r="N185" s="92"/>
      <c r="O185" s="91">
        <v>0</v>
      </c>
      <c r="P185" s="92"/>
      <c r="Q185" s="91">
        <v>0</v>
      </c>
      <c r="R185" s="97"/>
      <c r="S185" s="92"/>
      <c r="T185" s="28"/>
      <c r="U185" s="86" t="s">
        <v>0</v>
      </c>
      <c r="V185" s="88"/>
      <c r="W185" s="29" t="s">
        <v>1</v>
      </c>
      <c r="X185" s="86" t="s">
        <v>67</v>
      </c>
      <c r="Y185" s="88"/>
    </row>
    <row r="186" spans="1:25" x14ac:dyDescent="0.25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27"/>
      <c r="M186" s="93"/>
      <c r="N186" s="94"/>
      <c r="O186" s="93"/>
      <c r="P186" s="94"/>
      <c r="Q186" s="93"/>
      <c r="R186" s="98"/>
      <c r="S186" s="94"/>
      <c r="T186" s="30" t="s">
        <v>68</v>
      </c>
      <c r="U186" s="100">
        <v>0</v>
      </c>
      <c r="V186" s="100"/>
      <c r="W186" s="29">
        <v>0</v>
      </c>
      <c r="X186" s="100">
        <v>0</v>
      </c>
      <c r="Y186" s="100"/>
    </row>
    <row r="187" spans="1:25" x14ac:dyDescent="0.25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27"/>
      <c r="M187" s="93"/>
      <c r="N187" s="94"/>
      <c r="O187" s="93"/>
      <c r="P187" s="94"/>
      <c r="Q187" s="93"/>
      <c r="R187" s="98"/>
      <c r="S187" s="94"/>
      <c r="T187" s="30" t="s">
        <v>69</v>
      </c>
      <c r="U187" s="100">
        <v>0</v>
      </c>
      <c r="V187" s="100"/>
      <c r="W187" s="29">
        <v>0</v>
      </c>
      <c r="X187" s="100">
        <v>0</v>
      </c>
      <c r="Y187" s="100"/>
    </row>
    <row r="188" spans="1:25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27"/>
      <c r="M188" s="95"/>
      <c r="N188" s="96"/>
      <c r="O188" s="95"/>
      <c r="P188" s="96"/>
      <c r="Q188" s="95"/>
      <c r="R188" s="99"/>
      <c r="S188" s="96"/>
      <c r="T188" s="30" t="s">
        <v>70</v>
      </c>
      <c r="U188" s="100">
        <v>0</v>
      </c>
      <c r="V188" s="100"/>
      <c r="W188" s="29">
        <v>0</v>
      </c>
      <c r="X188" s="100">
        <v>0</v>
      </c>
      <c r="Y188" s="100"/>
    </row>
    <row r="189" spans="1:25" ht="6" customHeight="1" x14ac:dyDescent="0.25">
      <c r="A189" s="31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3"/>
      <c r="M189" s="32"/>
      <c r="N189" s="32"/>
      <c r="O189" s="32"/>
      <c r="P189" s="32"/>
      <c r="Q189" s="32"/>
      <c r="R189" s="34"/>
      <c r="S189" s="34"/>
      <c r="T189" s="34"/>
      <c r="U189" s="34"/>
      <c r="V189" s="34"/>
      <c r="W189" s="32"/>
      <c r="X189" s="32"/>
      <c r="Y189" s="7"/>
    </row>
    <row r="190" spans="1:25" ht="15.6" x14ac:dyDescent="0.3">
      <c r="A190" s="18" t="s">
        <v>71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20"/>
      <c r="L190" s="35"/>
      <c r="M190" s="18" t="s">
        <v>72</v>
      </c>
      <c r="N190" s="20"/>
      <c r="O190" s="36"/>
      <c r="P190" s="19"/>
      <c r="Q190" s="19"/>
      <c r="R190" s="19"/>
      <c r="S190" s="19"/>
      <c r="T190" s="19"/>
      <c r="U190" s="19"/>
      <c r="V190" s="19"/>
      <c r="W190" s="22"/>
      <c r="X190" s="22"/>
      <c r="Y190" s="37"/>
    </row>
    <row r="191" spans="1:25" ht="59.25" customHeight="1" x14ac:dyDescent="0.25">
      <c r="A191" s="71"/>
      <c r="B191" s="72"/>
      <c r="C191" s="72"/>
      <c r="D191" s="72"/>
      <c r="E191" s="73"/>
      <c r="F191" s="68" t="s">
        <v>12</v>
      </c>
      <c r="G191" s="70"/>
      <c r="H191" s="68" t="s">
        <v>13</v>
      </c>
      <c r="I191" s="70"/>
      <c r="J191" s="38" t="s">
        <v>73</v>
      </c>
      <c r="K191" s="39"/>
      <c r="L191" s="40"/>
      <c r="M191" s="77" t="s">
        <v>74</v>
      </c>
      <c r="N191" s="78"/>
      <c r="O191" s="77" t="s">
        <v>75</v>
      </c>
      <c r="P191" s="78"/>
      <c r="Q191" s="77" t="s">
        <v>76</v>
      </c>
      <c r="R191" s="78"/>
      <c r="S191" s="77" t="s">
        <v>77</v>
      </c>
      <c r="T191" s="79"/>
      <c r="U191" s="79"/>
      <c r="V191" s="78"/>
      <c r="W191" s="77" t="s">
        <v>78</v>
      </c>
      <c r="X191" s="79"/>
      <c r="Y191" s="78"/>
    </row>
    <row r="192" spans="1:25" x14ac:dyDescent="0.25">
      <c r="A192" s="74"/>
      <c r="B192" s="75"/>
      <c r="C192" s="75"/>
      <c r="D192" s="75"/>
      <c r="E192" s="76"/>
      <c r="F192" s="10" t="s">
        <v>79</v>
      </c>
      <c r="G192" s="10" t="s">
        <v>14</v>
      </c>
      <c r="H192" s="10" t="s">
        <v>79</v>
      </c>
      <c r="I192" s="10" t="s">
        <v>14</v>
      </c>
      <c r="J192" s="10" t="s">
        <v>79</v>
      </c>
      <c r="K192" s="10" t="s">
        <v>14</v>
      </c>
      <c r="L192" s="41"/>
      <c r="M192" s="42" t="s">
        <v>80</v>
      </c>
      <c r="N192" s="42" t="s">
        <v>81</v>
      </c>
      <c r="O192" s="42" t="s">
        <v>80</v>
      </c>
      <c r="P192" s="43" t="s">
        <v>81</v>
      </c>
      <c r="Q192" s="42" t="s">
        <v>80</v>
      </c>
      <c r="R192" s="42" t="s">
        <v>81</v>
      </c>
      <c r="S192" s="44"/>
      <c r="T192" s="42" t="s">
        <v>0</v>
      </c>
      <c r="U192" s="45" t="s">
        <v>1</v>
      </c>
      <c r="V192" s="46" t="s">
        <v>82</v>
      </c>
      <c r="W192" s="42" t="s">
        <v>0</v>
      </c>
      <c r="X192" s="45" t="s">
        <v>1</v>
      </c>
      <c r="Y192" s="46" t="s">
        <v>82</v>
      </c>
    </row>
    <row r="193" spans="1:25" ht="14.4" x14ac:dyDescent="0.3">
      <c r="A193" s="80" t="s">
        <v>83</v>
      </c>
      <c r="B193" s="81"/>
      <c r="C193" s="81"/>
      <c r="D193" s="81"/>
      <c r="E193" s="82"/>
      <c r="F193" s="10">
        <v>43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41"/>
      <c r="M193" s="201">
        <v>109</v>
      </c>
      <c r="N193" s="201">
        <v>1094</v>
      </c>
      <c r="O193" s="201">
        <v>69</v>
      </c>
      <c r="P193" s="201">
        <v>122</v>
      </c>
      <c r="Q193" s="201">
        <v>16</v>
      </c>
      <c r="R193" s="201">
        <v>28</v>
      </c>
      <c r="S193" s="47" t="s">
        <v>68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</row>
    <row r="194" spans="1:25" ht="14.4" x14ac:dyDescent="0.3">
      <c r="A194" s="80" t="s">
        <v>8</v>
      </c>
      <c r="B194" s="81"/>
      <c r="C194" s="81"/>
      <c r="D194" s="81"/>
      <c r="E194" s="82"/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41"/>
      <c r="M194" s="202"/>
      <c r="N194" s="202"/>
      <c r="O194" s="202"/>
      <c r="P194" s="202"/>
      <c r="Q194" s="202"/>
      <c r="R194" s="202"/>
      <c r="S194" s="47" t="s">
        <v>69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</row>
    <row r="195" spans="1:25" x14ac:dyDescent="0.25">
      <c r="A195" s="86" t="s">
        <v>84</v>
      </c>
      <c r="B195" s="87"/>
      <c r="C195" s="87"/>
      <c r="D195" s="87"/>
      <c r="E195" s="88"/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41"/>
      <c r="M195" s="202"/>
      <c r="N195" s="202"/>
      <c r="O195" s="202"/>
      <c r="P195" s="202"/>
      <c r="Q195" s="202"/>
      <c r="R195" s="202"/>
      <c r="S195" s="89" t="s">
        <v>70</v>
      </c>
      <c r="T195" s="83">
        <v>0</v>
      </c>
      <c r="U195" s="83">
        <v>0</v>
      </c>
      <c r="V195" s="83">
        <v>0</v>
      </c>
      <c r="W195" s="83">
        <v>0</v>
      </c>
      <c r="X195" s="83">
        <v>0</v>
      </c>
      <c r="Y195" s="83">
        <v>0</v>
      </c>
    </row>
    <row r="196" spans="1:25" x14ac:dyDescent="0.25">
      <c r="A196" s="68" t="s">
        <v>7</v>
      </c>
      <c r="B196" s="69"/>
      <c r="C196" s="69"/>
      <c r="D196" s="69"/>
      <c r="E196" s="70"/>
      <c r="F196" s="10">
        <v>43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41"/>
      <c r="M196" s="203"/>
      <c r="N196" s="203"/>
      <c r="O196" s="203"/>
      <c r="P196" s="203"/>
      <c r="Q196" s="203"/>
      <c r="R196" s="203"/>
      <c r="S196" s="90"/>
      <c r="T196" s="85"/>
      <c r="U196" s="85"/>
      <c r="V196" s="85"/>
      <c r="W196" s="85"/>
      <c r="X196" s="85"/>
      <c r="Y196" s="85"/>
    </row>
  </sheetData>
  <mergeCells count="755">
    <mergeCell ref="A196:E196"/>
    <mergeCell ref="A191:E192"/>
    <mergeCell ref="F191:G191"/>
    <mergeCell ref="H191:I191"/>
    <mergeCell ref="M191:N191"/>
    <mergeCell ref="O191:P191"/>
    <mergeCell ref="Q191:R191"/>
    <mergeCell ref="S191:V191"/>
    <mergeCell ref="W191:Y191"/>
    <mergeCell ref="A193:E193"/>
    <mergeCell ref="M193:M196"/>
    <mergeCell ref="N193:N196"/>
    <mergeCell ref="O193:O196"/>
    <mergeCell ref="P193:P196"/>
    <mergeCell ref="Q193:Q196"/>
    <mergeCell ref="R193:R196"/>
    <mergeCell ref="A194:E194"/>
    <mergeCell ref="A195:E195"/>
    <mergeCell ref="S195:S196"/>
    <mergeCell ref="T195:T196"/>
    <mergeCell ref="U195:U196"/>
    <mergeCell ref="V195:V196"/>
    <mergeCell ref="W195:W196"/>
    <mergeCell ref="X195:X196"/>
    <mergeCell ref="Y195:Y196"/>
    <mergeCell ref="O185:P188"/>
    <mergeCell ref="Q185:S188"/>
    <mergeCell ref="U185:V185"/>
    <mergeCell ref="X185:Y185"/>
    <mergeCell ref="U186:V186"/>
    <mergeCell ref="X186:Y186"/>
    <mergeCell ref="U187:V187"/>
    <mergeCell ref="X187:Y187"/>
    <mergeCell ref="U188:V188"/>
    <mergeCell ref="X188:Y188"/>
    <mergeCell ref="J182:J183"/>
    <mergeCell ref="K182:K183"/>
    <mergeCell ref="M182:N182"/>
    <mergeCell ref="O182:P182"/>
    <mergeCell ref="Q182:Y182"/>
    <mergeCell ref="M183:N183"/>
    <mergeCell ref="O183:P183"/>
    <mergeCell ref="Q183:Y183"/>
    <mergeCell ref="A184:A188"/>
    <mergeCell ref="B184:B188"/>
    <mergeCell ref="C184:C188"/>
    <mergeCell ref="D184:D188"/>
    <mergeCell ref="E184:E188"/>
    <mergeCell ref="F184:F188"/>
    <mergeCell ref="G184:G188"/>
    <mergeCell ref="H184:H188"/>
    <mergeCell ref="I184:I188"/>
    <mergeCell ref="J184:J188"/>
    <mergeCell ref="K184:K188"/>
    <mergeCell ref="M184:N184"/>
    <mergeCell ref="O184:P184"/>
    <mergeCell ref="Q184:S184"/>
    <mergeCell ref="T184:Y184"/>
    <mergeCell ref="M185:N188"/>
    <mergeCell ref="A176:G176"/>
    <mergeCell ref="A177:G177"/>
    <mergeCell ref="A178:G178"/>
    <mergeCell ref="A179:G179"/>
    <mergeCell ref="A182:A183"/>
    <mergeCell ref="B182:B183"/>
    <mergeCell ref="C182:C183"/>
    <mergeCell ref="D182:E182"/>
    <mergeCell ref="F182:I182"/>
    <mergeCell ref="A169:I169"/>
    <mergeCell ref="L169:M169"/>
    <mergeCell ref="N169:O169"/>
    <mergeCell ref="P169:Q169"/>
    <mergeCell ref="R169:S169"/>
    <mergeCell ref="T169:U169"/>
    <mergeCell ref="V169:W169"/>
    <mergeCell ref="X169:Y169"/>
    <mergeCell ref="A170:I170"/>
    <mergeCell ref="L170:M170"/>
    <mergeCell ref="N170:O170"/>
    <mergeCell ref="P170:Q170"/>
    <mergeCell ref="R170:S170"/>
    <mergeCell ref="T170:U170"/>
    <mergeCell ref="V170:W170"/>
    <mergeCell ref="X170:Y170"/>
    <mergeCell ref="J170:K170"/>
    <mergeCell ref="U160:W161"/>
    <mergeCell ref="R167:S167"/>
    <mergeCell ref="T167:U167"/>
    <mergeCell ref="V167:W167"/>
    <mergeCell ref="X167:Y167"/>
    <mergeCell ref="A168:I168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X148:Y148"/>
    <mergeCell ref="U149:V149"/>
    <mergeCell ref="X149:Y149"/>
    <mergeCell ref="A152:E153"/>
    <mergeCell ref="F152:G152"/>
    <mergeCell ref="H152:I152"/>
    <mergeCell ref="M152:N152"/>
    <mergeCell ref="O152:P152"/>
    <mergeCell ref="Q152:R152"/>
    <mergeCell ref="S152:V152"/>
    <mergeCell ref="W152:Y152"/>
    <mergeCell ref="Q144:Y144"/>
    <mergeCell ref="A145:A149"/>
    <mergeCell ref="B145:B149"/>
    <mergeCell ref="C145:C149"/>
    <mergeCell ref="D145:D149"/>
    <mergeCell ref="E145:E149"/>
    <mergeCell ref="F145:F149"/>
    <mergeCell ref="G145:G149"/>
    <mergeCell ref="H145:H149"/>
    <mergeCell ref="I145:I149"/>
    <mergeCell ref="J145:J149"/>
    <mergeCell ref="K145:K149"/>
    <mergeCell ref="M145:N145"/>
    <mergeCell ref="O145:P145"/>
    <mergeCell ref="Q145:S145"/>
    <mergeCell ref="T145:Y145"/>
    <mergeCell ref="M146:N149"/>
    <mergeCell ref="O146:P149"/>
    <mergeCell ref="Q146:S149"/>
    <mergeCell ref="U146:V146"/>
    <mergeCell ref="X146:Y146"/>
    <mergeCell ref="U147:V147"/>
    <mergeCell ref="X147:Y147"/>
    <mergeCell ref="U148:V148"/>
    <mergeCell ref="A136:G136"/>
    <mergeCell ref="A137:G137"/>
    <mergeCell ref="A138:G138"/>
    <mergeCell ref="A139:G139"/>
    <mergeCell ref="A140:G140"/>
    <mergeCell ref="A143:A144"/>
    <mergeCell ref="B143:B144"/>
    <mergeCell ref="C143:C144"/>
    <mergeCell ref="D143:E143"/>
    <mergeCell ref="F143:I143"/>
    <mergeCell ref="A132:I132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L130:M130"/>
    <mergeCell ref="P130:Q130"/>
    <mergeCell ref="R130:S130"/>
    <mergeCell ref="T130:U130"/>
    <mergeCell ref="V130:W130"/>
    <mergeCell ref="X130:Y130"/>
    <mergeCell ref="A131:I13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J130:K130"/>
    <mergeCell ref="N130:O130"/>
    <mergeCell ref="Q121:T122"/>
    <mergeCell ref="U121:W122"/>
    <mergeCell ref="X121:Y122"/>
    <mergeCell ref="A123:F123"/>
    <mergeCell ref="G123:M123"/>
    <mergeCell ref="Q123:U123"/>
    <mergeCell ref="V123:Y123"/>
    <mergeCell ref="A125:I125"/>
    <mergeCell ref="J125:K127"/>
    <mergeCell ref="L125:M127"/>
    <mergeCell ref="N125:O127"/>
    <mergeCell ref="P125:Q127"/>
    <mergeCell ref="R125:W125"/>
    <mergeCell ref="X125:Y127"/>
    <mergeCell ref="A126:I127"/>
    <mergeCell ref="R126:S127"/>
    <mergeCell ref="T126:U127"/>
    <mergeCell ref="V126:W127"/>
    <mergeCell ref="Q107:S110"/>
    <mergeCell ref="U107:V107"/>
    <mergeCell ref="X107:Y107"/>
    <mergeCell ref="U108:V108"/>
    <mergeCell ref="X108:Y108"/>
    <mergeCell ref="U109:V109"/>
    <mergeCell ref="X109:Y109"/>
    <mergeCell ref="U110:V110"/>
    <mergeCell ref="X110:Y110"/>
    <mergeCell ref="K104:K105"/>
    <mergeCell ref="M104:N104"/>
    <mergeCell ref="O104:P104"/>
    <mergeCell ref="Q104:Y104"/>
    <mergeCell ref="M105:N105"/>
    <mergeCell ref="O105:P105"/>
    <mergeCell ref="Q105:Y105"/>
    <mergeCell ref="A106:A110"/>
    <mergeCell ref="B106:B110"/>
    <mergeCell ref="C106:C110"/>
    <mergeCell ref="D106:D110"/>
    <mergeCell ref="E106:E110"/>
    <mergeCell ref="F106:F110"/>
    <mergeCell ref="G106:G110"/>
    <mergeCell ref="H106:H110"/>
    <mergeCell ref="I106:I110"/>
    <mergeCell ref="J106:J110"/>
    <mergeCell ref="K106:K110"/>
    <mergeCell ref="M106:N106"/>
    <mergeCell ref="O106:P106"/>
    <mergeCell ref="Q106:S106"/>
    <mergeCell ref="T106:Y106"/>
    <mergeCell ref="M107:N110"/>
    <mergeCell ref="O107:P110"/>
    <mergeCell ref="X90:Y90"/>
    <mergeCell ref="A91:I91"/>
    <mergeCell ref="L91:M91"/>
    <mergeCell ref="P91:Q91"/>
    <mergeCell ref="R91:S91"/>
    <mergeCell ref="T91:U91"/>
    <mergeCell ref="V91:W91"/>
    <mergeCell ref="X91:Y91"/>
    <mergeCell ref="A92:I92"/>
    <mergeCell ref="L92:M92"/>
    <mergeCell ref="P92:Q92"/>
    <mergeCell ref="R92:S92"/>
    <mergeCell ref="T92:U92"/>
    <mergeCell ref="V92:W92"/>
    <mergeCell ref="X92:Y92"/>
    <mergeCell ref="N92:O92"/>
    <mergeCell ref="J92:K92"/>
    <mergeCell ref="A82:D82"/>
    <mergeCell ref="E82:G82"/>
    <mergeCell ref="H82:I82"/>
    <mergeCell ref="J82:K82"/>
    <mergeCell ref="L82:M82"/>
    <mergeCell ref="N82:P82"/>
    <mergeCell ref="Q82:T83"/>
    <mergeCell ref="U82:W83"/>
    <mergeCell ref="X82:Y83"/>
    <mergeCell ref="A74:E75"/>
    <mergeCell ref="F74:G74"/>
    <mergeCell ref="H74:I74"/>
    <mergeCell ref="M74:N74"/>
    <mergeCell ref="O74:P74"/>
    <mergeCell ref="Q74:R74"/>
    <mergeCell ref="S74:V74"/>
    <mergeCell ref="W74:Y74"/>
    <mergeCell ref="A76:E76"/>
    <mergeCell ref="M76:M79"/>
    <mergeCell ref="N76:N79"/>
    <mergeCell ref="O76:O79"/>
    <mergeCell ref="P76:P79"/>
    <mergeCell ref="Q76:Q79"/>
    <mergeCell ref="R76:R79"/>
    <mergeCell ref="A77:E77"/>
    <mergeCell ref="A78:E78"/>
    <mergeCell ref="S78:S79"/>
    <mergeCell ref="T78:T79"/>
    <mergeCell ref="U78:U79"/>
    <mergeCell ref="V78:V79"/>
    <mergeCell ref="W78:W79"/>
    <mergeCell ref="X78:X79"/>
    <mergeCell ref="Y78:Y79"/>
    <mergeCell ref="G67:G71"/>
    <mergeCell ref="H67:H71"/>
    <mergeCell ref="I67:I71"/>
    <mergeCell ref="J67:J71"/>
    <mergeCell ref="K67:K71"/>
    <mergeCell ref="M67:N67"/>
    <mergeCell ref="O67:P67"/>
    <mergeCell ref="Q67:S67"/>
    <mergeCell ref="T67:Y67"/>
    <mergeCell ref="M68:N71"/>
    <mergeCell ref="O68:P71"/>
    <mergeCell ref="Q68:S71"/>
    <mergeCell ref="X68:Y68"/>
    <mergeCell ref="U69:V69"/>
    <mergeCell ref="X69:Y69"/>
    <mergeCell ref="U70:V70"/>
    <mergeCell ref="X70:Y70"/>
    <mergeCell ref="U71:V71"/>
    <mergeCell ref="X71:Y71"/>
    <mergeCell ref="A58:G58"/>
    <mergeCell ref="A59:G59"/>
    <mergeCell ref="A60:G60"/>
    <mergeCell ref="A61:G61"/>
    <mergeCell ref="A62:G62"/>
    <mergeCell ref="A65:A66"/>
    <mergeCell ref="B65:B66"/>
    <mergeCell ref="C65:C66"/>
    <mergeCell ref="D65:E65"/>
    <mergeCell ref="F65:I65"/>
    <mergeCell ref="T53:U53"/>
    <mergeCell ref="V53:W53"/>
    <mergeCell ref="X53:Y53"/>
    <mergeCell ref="A54:I54"/>
    <mergeCell ref="L54:M54"/>
    <mergeCell ref="P54:Q54"/>
    <mergeCell ref="R54:S54"/>
    <mergeCell ref="T54:U54"/>
    <mergeCell ref="V54:W54"/>
    <mergeCell ref="X54:Y54"/>
    <mergeCell ref="X47:Y49"/>
    <mergeCell ref="A48:I49"/>
    <mergeCell ref="R48:S49"/>
    <mergeCell ref="T48:U49"/>
    <mergeCell ref="V48:W49"/>
    <mergeCell ref="A51:I51"/>
    <mergeCell ref="J51:K51"/>
    <mergeCell ref="L51:M51"/>
    <mergeCell ref="N51:O51"/>
    <mergeCell ref="P51:Q51"/>
    <mergeCell ref="R51:S51"/>
    <mergeCell ref="T51:U51"/>
    <mergeCell ref="V51:W51"/>
    <mergeCell ref="X51:Y51"/>
    <mergeCell ref="R47:W47"/>
    <mergeCell ref="O35:P35"/>
    <mergeCell ref="Q35:R35"/>
    <mergeCell ref="S35:V35"/>
    <mergeCell ref="W35:Y35"/>
    <mergeCell ref="A37:E37"/>
    <mergeCell ref="M37:M40"/>
    <mergeCell ref="N37:N40"/>
    <mergeCell ref="O37:O40"/>
    <mergeCell ref="P37:P40"/>
    <mergeCell ref="Q37:Q40"/>
    <mergeCell ref="R37:R40"/>
    <mergeCell ref="A38:E38"/>
    <mergeCell ref="A39:E39"/>
    <mergeCell ref="S39:S40"/>
    <mergeCell ref="T39:T40"/>
    <mergeCell ref="U39:U40"/>
    <mergeCell ref="V39:V40"/>
    <mergeCell ref="W39:W40"/>
    <mergeCell ref="Y39:Y40"/>
    <mergeCell ref="A40:E40"/>
    <mergeCell ref="A35:E36"/>
    <mergeCell ref="F35:G35"/>
    <mergeCell ref="H35:I35"/>
    <mergeCell ref="M35:N35"/>
    <mergeCell ref="J28:J32"/>
    <mergeCell ref="K28:K32"/>
    <mergeCell ref="M28:N28"/>
    <mergeCell ref="O28:P28"/>
    <mergeCell ref="Q28:S28"/>
    <mergeCell ref="T28:Y28"/>
    <mergeCell ref="M29:N32"/>
    <mergeCell ref="O29:P32"/>
    <mergeCell ref="Q29:S32"/>
    <mergeCell ref="U29:V29"/>
    <mergeCell ref="X29:Y29"/>
    <mergeCell ref="A28:A32"/>
    <mergeCell ref="B28:B32"/>
    <mergeCell ref="C28:C32"/>
    <mergeCell ref="D28:D32"/>
    <mergeCell ref="E28:E32"/>
    <mergeCell ref="F28:F32"/>
    <mergeCell ref="G28:G32"/>
    <mergeCell ref="H28:H32"/>
    <mergeCell ref="I28:I32"/>
    <mergeCell ref="X13:Y13"/>
    <mergeCell ref="A14:I14"/>
    <mergeCell ref="J14:K14"/>
    <mergeCell ref="L14:M14"/>
    <mergeCell ref="V14:W14"/>
    <mergeCell ref="X14:Y14"/>
    <mergeCell ref="A15:I15"/>
    <mergeCell ref="J15:K15"/>
    <mergeCell ref="L15:M15"/>
    <mergeCell ref="N15:O15"/>
    <mergeCell ref="P15:Q15"/>
    <mergeCell ref="R15:S15"/>
    <mergeCell ref="T15:U15"/>
    <mergeCell ref="V15:W15"/>
    <mergeCell ref="X15:Y15"/>
    <mergeCell ref="N14:O14"/>
    <mergeCell ref="P14:Q14"/>
    <mergeCell ref="R14:S14"/>
    <mergeCell ref="T14:U14"/>
    <mergeCell ref="P13:Q13"/>
    <mergeCell ref="R13:S13"/>
    <mergeCell ref="T13:U13"/>
    <mergeCell ref="N13:O13"/>
    <mergeCell ref="A13:I13"/>
    <mergeCell ref="V12:W12"/>
    <mergeCell ref="X12:Y12"/>
    <mergeCell ref="X11:Y11"/>
    <mergeCell ref="A12:I12"/>
    <mergeCell ref="J12:K12"/>
    <mergeCell ref="L12:M12"/>
    <mergeCell ref="N11:O11"/>
    <mergeCell ref="P11:Q11"/>
    <mergeCell ref="N12:O12"/>
    <mergeCell ref="P12:Q12"/>
    <mergeCell ref="R12:S12"/>
    <mergeCell ref="T12:U12"/>
    <mergeCell ref="R11:S11"/>
    <mergeCell ref="T11:U11"/>
    <mergeCell ref="G6:M6"/>
    <mergeCell ref="Q6:U6"/>
    <mergeCell ref="V6:Y6"/>
    <mergeCell ref="A8:I8"/>
    <mergeCell ref="J8:K10"/>
    <mergeCell ref="L8:M10"/>
    <mergeCell ref="N8:O10"/>
    <mergeCell ref="A11:I11"/>
    <mergeCell ref="J11:K11"/>
    <mergeCell ref="L11:M11"/>
    <mergeCell ref="V11:W11"/>
    <mergeCell ref="P8:Q10"/>
    <mergeCell ref="R8:W8"/>
    <mergeCell ref="X8:Y10"/>
    <mergeCell ref="A9:I10"/>
    <mergeCell ref="R9:S10"/>
    <mergeCell ref="T9:U10"/>
    <mergeCell ref="V9:W10"/>
    <mergeCell ref="A6:F6"/>
    <mergeCell ref="A2:Y2"/>
    <mergeCell ref="A3:S3"/>
    <mergeCell ref="U3:V3"/>
    <mergeCell ref="A4:D4"/>
    <mergeCell ref="E4:G4"/>
    <mergeCell ref="H4:I4"/>
    <mergeCell ref="J4:K4"/>
    <mergeCell ref="L4:M4"/>
    <mergeCell ref="N4:P4"/>
    <mergeCell ref="Q4:T5"/>
    <mergeCell ref="U4:W5"/>
    <mergeCell ref="X4:Y5"/>
    <mergeCell ref="J56:K56"/>
    <mergeCell ref="N56:O56"/>
    <mergeCell ref="U68:V68"/>
    <mergeCell ref="J65:J66"/>
    <mergeCell ref="K65:K66"/>
    <mergeCell ref="M65:N65"/>
    <mergeCell ref="O65:P65"/>
    <mergeCell ref="Q65:Y65"/>
    <mergeCell ref="M66:N66"/>
    <mergeCell ref="O66:P66"/>
    <mergeCell ref="Q66:Y66"/>
    <mergeCell ref="A67:A71"/>
    <mergeCell ref="B67:B71"/>
    <mergeCell ref="C67:C71"/>
    <mergeCell ref="J128:K128"/>
    <mergeCell ref="N128:O128"/>
    <mergeCell ref="H160:I160"/>
    <mergeCell ref="A162:F162"/>
    <mergeCell ref="G162:M162"/>
    <mergeCell ref="A164:I164"/>
    <mergeCell ref="J164:K166"/>
    <mergeCell ref="L164:M166"/>
    <mergeCell ref="N164:O166"/>
    <mergeCell ref="A165:I166"/>
    <mergeCell ref="D67:D71"/>
    <mergeCell ref="E67:E71"/>
    <mergeCell ref="F67:F71"/>
    <mergeCell ref="A79:E79"/>
    <mergeCell ref="A80:Y80"/>
    <mergeCell ref="A81:S81"/>
    <mergeCell ref="U81:V81"/>
    <mergeCell ref="A84:F84"/>
    <mergeCell ref="G84:M84"/>
    <mergeCell ref="Q84:U84"/>
    <mergeCell ref="V84:Y84"/>
    <mergeCell ref="J13:K13"/>
    <mergeCell ref="L13:M13"/>
    <mergeCell ref="V13:W13"/>
    <mergeCell ref="N17:O17"/>
    <mergeCell ref="A17:G18"/>
    <mergeCell ref="H17:I17"/>
    <mergeCell ref="L17:M17"/>
    <mergeCell ref="P17:Q17"/>
    <mergeCell ref="R17:S17"/>
    <mergeCell ref="T17:U17"/>
    <mergeCell ref="V17:W17"/>
    <mergeCell ref="J17:K17"/>
    <mergeCell ref="X17:Y17"/>
    <mergeCell ref="A19:G19"/>
    <mergeCell ref="A20:G20"/>
    <mergeCell ref="A21:G21"/>
    <mergeCell ref="A22:G22"/>
    <mergeCell ref="A23:G23"/>
    <mergeCell ref="U32:V32"/>
    <mergeCell ref="U30:V30"/>
    <mergeCell ref="X30:Y30"/>
    <mergeCell ref="U31:V31"/>
    <mergeCell ref="X31:Y31"/>
    <mergeCell ref="X32:Y32"/>
    <mergeCell ref="A26:A27"/>
    <mergeCell ref="B26:B27"/>
    <mergeCell ref="C26:C27"/>
    <mergeCell ref="D26:E26"/>
    <mergeCell ref="F26:I26"/>
    <mergeCell ref="J26:J27"/>
    <mergeCell ref="K26:K27"/>
    <mergeCell ref="M26:N26"/>
    <mergeCell ref="O26:P26"/>
    <mergeCell ref="Q26:Y26"/>
    <mergeCell ref="M27:N27"/>
    <mergeCell ref="O27:P27"/>
    <mergeCell ref="Q27:Y27"/>
    <mergeCell ref="X50:Y50"/>
    <mergeCell ref="X39:X40"/>
    <mergeCell ref="A41:Y41"/>
    <mergeCell ref="A42:S42"/>
    <mergeCell ref="U42:V42"/>
    <mergeCell ref="A43:D43"/>
    <mergeCell ref="E43:G43"/>
    <mergeCell ref="H43:I43"/>
    <mergeCell ref="J43:K43"/>
    <mergeCell ref="L43:M43"/>
    <mergeCell ref="N43:P43"/>
    <mergeCell ref="Q43:T44"/>
    <mergeCell ref="U43:W44"/>
    <mergeCell ref="X43:Y44"/>
    <mergeCell ref="A45:F45"/>
    <mergeCell ref="G45:M45"/>
    <mergeCell ref="Q45:U45"/>
    <mergeCell ref="V45:Y45"/>
    <mergeCell ref="A47:I47"/>
    <mergeCell ref="J47:K49"/>
    <mergeCell ref="L47:M49"/>
    <mergeCell ref="N47:O49"/>
    <mergeCell ref="P47:Q49"/>
    <mergeCell ref="N52:O52"/>
    <mergeCell ref="N50:O50"/>
    <mergeCell ref="P50:Q50"/>
    <mergeCell ref="R50:S50"/>
    <mergeCell ref="T50:U50"/>
    <mergeCell ref="A50:I50"/>
    <mergeCell ref="J50:K50"/>
    <mergeCell ref="L50:M50"/>
    <mergeCell ref="V50:W50"/>
    <mergeCell ref="X52:Y52"/>
    <mergeCell ref="A53:I53"/>
    <mergeCell ref="L53:M53"/>
    <mergeCell ref="P53:Q53"/>
    <mergeCell ref="R53:S53"/>
    <mergeCell ref="A56:G57"/>
    <mergeCell ref="H56:I56"/>
    <mergeCell ref="L56:M56"/>
    <mergeCell ref="P56:Q56"/>
    <mergeCell ref="R56:S56"/>
    <mergeCell ref="T56:U56"/>
    <mergeCell ref="V56:W56"/>
    <mergeCell ref="X56:Y56"/>
    <mergeCell ref="P52:Q52"/>
    <mergeCell ref="R52:S52"/>
    <mergeCell ref="T52:U52"/>
    <mergeCell ref="V52:W52"/>
    <mergeCell ref="J53:K53"/>
    <mergeCell ref="N53:O53"/>
    <mergeCell ref="J54:K54"/>
    <mergeCell ref="N54:O54"/>
    <mergeCell ref="A52:I52"/>
    <mergeCell ref="J52:K52"/>
    <mergeCell ref="L52:M52"/>
    <mergeCell ref="X86:Y88"/>
    <mergeCell ref="A87:I88"/>
    <mergeCell ref="R87:S88"/>
    <mergeCell ref="T87:U88"/>
    <mergeCell ref="V87:W88"/>
    <mergeCell ref="A89:I89"/>
    <mergeCell ref="L89:M89"/>
    <mergeCell ref="P89:Q89"/>
    <mergeCell ref="R89:S89"/>
    <mergeCell ref="A86:I86"/>
    <mergeCell ref="J86:K88"/>
    <mergeCell ref="J89:K89"/>
    <mergeCell ref="N89:O89"/>
    <mergeCell ref="L86:M88"/>
    <mergeCell ref="N86:O88"/>
    <mergeCell ref="T89:U89"/>
    <mergeCell ref="V89:W89"/>
    <mergeCell ref="X89:Y89"/>
    <mergeCell ref="A93:I93"/>
    <mergeCell ref="L93:M93"/>
    <mergeCell ref="P93:Q93"/>
    <mergeCell ref="R93:S93"/>
    <mergeCell ref="T93:U93"/>
    <mergeCell ref="V93:W93"/>
    <mergeCell ref="P86:Q88"/>
    <mergeCell ref="R86:W86"/>
    <mergeCell ref="J90:K90"/>
    <mergeCell ref="N90:O90"/>
    <mergeCell ref="J91:K91"/>
    <mergeCell ref="N91:O91"/>
    <mergeCell ref="A90:I90"/>
    <mergeCell ref="L90:M90"/>
    <mergeCell ref="P90:Q90"/>
    <mergeCell ref="R90:S90"/>
    <mergeCell ref="T90:U90"/>
    <mergeCell ref="V90:W90"/>
    <mergeCell ref="X93:Y93"/>
    <mergeCell ref="A95:G96"/>
    <mergeCell ref="H95:I95"/>
    <mergeCell ref="J95:K95"/>
    <mergeCell ref="L95:M95"/>
    <mergeCell ref="N95:O95"/>
    <mergeCell ref="P95:Q95"/>
    <mergeCell ref="A104:A105"/>
    <mergeCell ref="B104:B105"/>
    <mergeCell ref="C104:C105"/>
    <mergeCell ref="J93:K93"/>
    <mergeCell ref="N93:O93"/>
    <mergeCell ref="R95:S95"/>
    <mergeCell ref="T95:U95"/>
    <mergeCell ref="V95:W95"/>
    <mergeCell ref="X95:Y95"/>
    <mergeCell ref="A97:G97"/>
    <mergeCell ref="A98:G98"/>
    <mergeCell ref="A99:G99"/>
    <mergeCell ref="A100:G100"/>
    <mergeCell ref="A101:G101"/>
    <mergeCell ref="D104:E104"/>
    <mergeCell ref="F104:I104"/>
    <mergeCell ref="J104:J105"/>
    <mergeCell ref="W113:Y113"/>
    <mergeCell ref="A115:E115"/>
    <mergeCell ref="M115:M118"/>
    <mergeCell ref="N115:N118"/>
    <mergeCell ref="O115:O118"/>
    <mergeCell ref="P115:P118"/>
    <mergeCell ref="Q115:Q118"/>
    <mergeCell ref="R115:R118"/>
    <mergeCell ref="A116:E116"/>
    <mergeCell ref="A117:E117"/>
    <mergeCell ref="S117:S118"/>
    <mergeCell ref="T117:T118"/>
    <mergeCell ref="U117:U118"/>
    <mergeCell ref="V117:V118"/>
    <mergeCell ref="W117:W118"/>
    <mergeCell ref="X117:X118"/>
    <mergeCell ref="Y117:Y118"/>
    <mergeCell ref="A118:E118"/>
    <mergeCell ref="A128:I128"/>
    <mergeCell ref="L128:M128"/>
    <mergeCell ref="P128:Q128"/>
    <mergeCell ref="R128:S128"/>
    <mergeCell ref="T128:U128"/>
    <mergeCell ref="A130:I130"/>
    <mergeCell ref="A113:E114"/>
    <mergeCell ref="F113:G113"/>
    <mergeCell ref="H113:I113"/>
    <mergeCell ref="M113:N113"/>
    <mergeCell ref="O113:P113"/>
    <mergeCell ref="Q113:R113"/>
    <mergeCell ref="S113:V113"/>
    <mergeCell ref="A119:Y119"/>
    <mergeCell ref="A120:S120"/>
    <mergeCell ref="U120:V120"/>
    <mergeCell ref="A121:D121"/>
    <mergeCell ref="E121:G121"/>
    <mergeCell ref="H121:I121"/>
    <mergeCell ref="J121:K121"/>
    <mergeCell ref="L121:M121"/>
    <mergeCell ref="N121:P121"/>
    <mergeCell ref="V128:W128"/>
    <mergeCell ref="X128:Y128"/>
    <mergeCell ref="A129:I129"/>
    <mergeCell ref="L129:M129"/>
    <mergeCell ref="P129:Q129"/>
    <mergeCell ref="R129:S129"/>
    <mergeCell ref="T129:U129"/>
    <mergeCell ref="V129:W129"/>
    <mergeCell ref="X129:Y129"/>
    <mergeCell ref="J129:K129"/>
    <mergeCell ref="N129:O129"/>
    <mergeCell ref="A134:G135"/>
    <mergeCell ref="H134:I134"/>
    <mergeCell ref="L134:M134"/>
    <mergeCell ref="N134:O134"/>
    <mergeCell ref="P134:Q134"/>
    <mergeCell ref="R134:S134"/>
    <mergeCell ref="T134:U134"/>
    <mergeCell ref="V134:W134"/>
    <mergeCell ref="X134:Y134"/>
    <mergeCell ref="J134:K134"/>
    <mergeCell ref="J143:J144"/>
    <mergeCell ref="K143:K144"/>
    <mergeCell ref="M143:N143"/>
    <mergeCell ref="O143:P143"/>
    <mergeCell ref="Q143:Y143"/>
    <mergeCell ref="M144:N144"/>
    <mergeCell ref="O144:P144"/>
    <mergeCell ref="A154:E154"/>
    <mergeCell ref="M154:M157"/>
    <mergeCell ref="N154:N157"/>
    <mergeCell ref="O154:O157"/>
    <mergeCell ref="P154:P157"/>
    <mergeCell ref="Q154:Q157"/>
    <mergeCell ref="R154:R157"/>
    <mergeCell ref="A155:E155"/>
    <mergeCell ref="A156:E156"/>
    <mergeCell ref="S156:S157"/>
    <mergeCell ref="T156:T157"/>
    <mergeCell ref="U156:U157"/>
    <mergeCell ref="V156:V157"/>
    <mergeCell ref="W156:W157"/>
    <mergeCell ref="X156:X157"/>
    <mergeCell ref="Y156:Y157"/>
    <mergeCell ref="A157:E157"/>
    <mergeCell ref="A158:Y158"/>
    <mergeCell ref="X160:Y161"/>
    <mergeCell ref="Q162:U162"/>
    <mergeCell ref="V162:Y162"/>
    <mergeCell ref="J169:K169"/>
    <mergeCell ref="P164:Q166"/>
    <mergeCell ref="R164:W164"/>
    <mergeCell ref="X164:Y166"/>
    <mergeCell ref="R165:S166"/>
    <mergeCell ref="T165:U166"/>
    <mergeCell ref="V165:W166"/>
    <mergeCell ref="A167:I167"/>
    <mergeCell ref="J167:K167"/>
    <mergeCell ref="L167:M167"/>
    <mergeCell ref="N167:O167"/>
    <mergeCell ref="P167:Q167"/>
    <mergeCell ref="A159:S159"/>
    <mergeCell ref="U159:V159"/>
    <mergeCell ref="A160:D160"/>
    <mergeCell ref="E160:G160"/>
    <mergeCell ref="J160:K160"/>
    <mergeCell ref="L160:M160"/>
    <mergeCell ref="N160:P160"/>
    <mergeCell ref="Q160:T161"/>
    <mergeCell ref="J171:K171"/>
    <mergeCell ref="A171:I171"/>
    <mergeCell ref="L171:M171"/>
    <mergeCell ref="N171:O171"/>
    <mergeCell ref="P171:Q171"/>
    <mergeCell ref="R171:S171"/>
    <mergeCell ref="T171:U171"/>
    <mergeCell ref="V171:W171"/>
    <mergeCell ref="X171:Y171"/>
    <mergeCell ref="X173:Y173"/>
    <mergeCell ref="A175:G175"/>
    <mergeCell ref="A173:G174"/>
    <mergeCell ref="H173:I173"/>
    <mergeCell ref="J173:K173"/>
    <mergeCell ref="L173:M173"/>
    <mergeCell ref="N173:O173"/>
    <mergeCell ref="P173:Q173"/>
    <mergeCell ref="R173:S173"/>
    <mergeCell ref="T173:U173"/>
    <mergeCell ref="V173:W173"/>
  </mergeCells>
  <printOptions horizontalCentered="1"/>
  <pageMargins left="0.25" right="0.25" top="0.5" bottom="0.25" header="0.25" footer="0.25"/>
  <pageSetup paperSize="9" scale="70" orientation="landscape" r:id="rId1"/>
  <rowBreaks count="4" manualBreakCount="4">
    <brk id="40" max="16383" man="1"/>
    <brk id="79" max="16383" man="1"/>
    <brk id="118" max="24" man="1"/>
    <brk id="157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99CC"/>
  </sheetPr>
  <dimension ref="A1:Y196"/>
  <sheetViews>
    <sheetView topLeftCell="A177" zoomScale="98" zoomScaleNormal="98" zoomScaleSheetLayoutView="99" workbookViewId="0">
      <selection activeCell="Q185" sqref="Q185:S188"/>
    </sheetView>
  </sheetViews>
  <sheetFormatPr defaultRowHeight="13.8" x14ac:dyDescent="0.25"/>
  <cols>
    <col min="1" max="1" width="9.109375" customWidth="1"/>
    <col min="2" max="2" width="11.44140625" customWidth="1"/>
    <col min="3" max="3" width="11" customWidth="1"/>
    <col min="4" max="6" width="7.33203125" customWidth="1"/>
    <col min="7" max="7" width="8" customWidth="1"/>
    <col min="8" max="8" width="8.33203125" customWidth="1"/>
    <col min="9" max="9" width="7.6640625" customWidth="1"/>
    <col min="10" max="10" width="9.6640625" customWidth="1"/>
    <col min="11" max="11" width="9.44140625" customWidth="1"/>
    <col min="12" max="14" width="7.33203125" customWidth="1"/>
    <col min="15" max="15" width="7.5546875" customWidth="1"/>
    <col min="16" max="17" width="7.33203125" customWidth="1"/>
    <col min="18" max="18" width="7.5546875" customWidth="1"/>
    <col min="19" max="25" width="7.33203125" customWidth="1"/>
  </cols>
  <sheetData>
    <row r="1" spans="1:25" ht="7.5" customHeight="1" x14ac:dyDescent="0.25"/>
    <row r="2" spans="1:25" ht="18" customHeight="1" x14ac:dyDescent="0.45">
      <c r="A2" s="120" t="s">
        <v>17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</row>
    <row r="3" spans="1:25" ht="21" customHeight="1" x14ac:dyDescent="0.25">
      <c r="A3" s="111" t="s">
        <v>18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"/>
      <c r="U3" s="112" t="s">
        <v>19</v>
      </c>
      <c r="V3" s="112"/>
      <c r="W3" s="1"/>
      <c r="X3" s="1"/>
      <c r="Y3" s="1"/>
    </row>
    <row r="4" spans="1:25" ht="39.9" customHeight="1" x14ac:dyDescent="0.25">
      <c r="A4" s="113" t="s">
        <v>20</v>
      </c>
      <c r="B4" s="113"/>
      <c r="C4" s="113"/>
      <c r="D4" s="113"/>
      <c r="E4" s="196" t="s">
        <v>92</v>
      </c>
      <c r="F4" s="199"/>
      <c r="G4" s="199"/>
      <c r="H4" s="116" t="s">
        <v>22</v>
      </c>
      <c r="I4" s="116"/>
      <c r="J4" s="115"/>
      <c r="K4" s="115"/>
      <c r="L4" s="116" t="s">
        <v>23</v>
      </c>
      <c r="M4" s="116"/>
      <c r="N4" s="188" t="s">
        <v>15</v>
      </c>
      <c r="O4" s="188"/>
      <c r="P4" s="188"/>
      <c r="Q4" s="118" t="s">
        <v>24</v>
      </c>
      <c r="R4" s="118"/>
      <c r="S4" s="118"/>
      <c r="T4" s="118"/>
      <c r="U4" s="119" t="s">
        <v>25</v>
      </c>
      <c r="V4" s="119"/>
      <c r="W4" s="119"/>
      <c r="X4" s="147" t="s">
        <v>93</v>
      </c>
      <c r="Y4" s="147"/>
    </row>
    <row r="5" spans="1:25" ht="5.25" customHeight="1" x14ac:dyDescent="0.25">
      <c r="Q5" s="118"/>
      <c r="R5" s="118"/>
      <c r="S5" s="118"/>
      <c r="T5" s="118"/>
      <c r="U5" s="119"/>
      <c r="V5" s="119"/>
      <c r="W5" s="119"/>
      <c r="X5" s="147"/>
      <c r="Y5" s="147"/>
    </row>
    <row r="6" spans="1:25" ht="15.75" customHeight="1" x14ac:dyDescent="0.3">
      <c r="A6" s="166" t="s">
        <v>26</v>
      </c>
      <c r="B6" s="166"/>
      <c r="C6" s="166"/>
      <c r="D6" s="166"/>
      <c r="E6" s="166"/>
      <c r="F6" s="166"/>
      <c r="G6" s="167" t="s">
        <v>27</v>
      </c>
      <c r="H6" s="167"/>
      <c r="I6" s="167"/>
      <c r="J6" s="167"/>
      <c r="K6" s="167"/>
      <c r="L6" s="167"/>
      <c r="M6" s="167"/>
      <c r="N6" s="2"/>
      <c r="Q6" s="168" t="s">
        <v>28</v>
      </c>
      <c r="R6" s="168"/>
      <c r="S6" s="168"/>
      <c r="T6" s="168"/>
      <c r="U6" s="168"/>
      <c r="V6" s="148" t="s">
        <v>29</v>
      </c>
      <c r="W6" s="148"/>
      <c r="X6" s="148"/>
      <c r="Y6" s="148"/>
    </row>
    <row r="7" spans="1:25" ht="7.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" customHeight="1" x14ac:dyDescent="0.25">
      <c r="A8" s="149" t="s">
        <v>31</v>
      </c>
      <c r="B8" s="150"/>
      <c r="C8" s="150"/>
      <c r="D8" s="150"/>
      <c r="E8" s="150"/>
      <c r="F8" s="150"/>
      <c r="G8" s="150"/>
      <c r="H8" s="150"/>
      <c r="I8" s="151"/>
      <c r="J8" s="152" t="s">
        <v>32</v>
      </c>
      <c r="K8" s="153"/>
      <c r="L8" s="152" t="s">
        <v>33</v>
      </c>
      <c r="M8" s="153"/>
      <c r="N8" s="91" t="s">
        <v>34</v>
      </c>
      <c r="O8" s="92"/>
      <c r="P8" s="152" t="s">
        <v>35</v>
      </c>
      <c r="Q8" s="153"/>
      <c r="R8" s="68" t="s">
        <v>36</v>
      </c>
      <c r="S8" s="69"/>
      <c r="T8" s="69"/>
      <c r="U8" s="69"/>
      <c r="V8" s="69"/>
      <c r="W8" s="70"/>
      <c r="X8" s="152" t="s">
        <v>7</v>
      </c>
      <c r="Y8" s="153"/>
    </row>
    <row r="9" spans="1:25" ht="23.25" customHeight="1" x14ac:dyDescent="0.25">
      <c r="A9" s="158" t="s">
        <v>37</v>
      </c>
      <c r="B9" s="159"/>
      <c r="C9" s="159"/>
      <c r="D9" s="159"/>
      <c r="E9" s="159"/>
      <c r="F9" s="159"/>
      <c r="G9" s="159"/>
      <c r="H9" s="159"/>
      <c r="I9" s="160"/>
      <c r="J9" s="154"/>
      <c r="K9" s="155"/>
      <c r="L9" s="154"/>
      <c r="M9" s="155"/>
      <c r="N9" s="93"/>
      <c r="O9" s="94"/>
      <c r="P9" s="154"/>
      <c r="Q9" s="155"/>
      <c r="R9" s="164" t="s">
        <v>38</v>
      </c>
      <c r="S9" s="164"/>
      <c r="T9" s="164" t="s">
        <v>39</v>
      </c>
      <c r="U9" s="164"/>
      <c r="V9" s="164" t="s">
        <v>40</v>
      </c>
      <c r="W9" s="164"/>
      <c r="X9" s="154"/>
      <c r="Y9" s="155"/>
    </row>
    <row r="10" spans="1:25" x14ac:dyDescent="0.25">
      <c r="A10" s="161"/>
      <c r="B10" s="162"/>
      <c r="C10" s="162"/>
      <c r="D10" s="162"/>
      <c r="E10" s="162"/>
      <c r="F10" s="162"/>
      <c r="G10" s="162"/>
      <c r="H10" s="162"/>
      <c r="I10" s="163"/>
      <c r="J10" s="156"/>
      <c r="K10" s="157"/>
      <c r="L10" s="156"/>
      <c r="M10" s="157"/>
      <c r="N10" s="95"/>
      <c r="O10" s="96"/>
      <c r="P10" s="156"/>
      <c r="Q10" s="157"/>
      <c r="R10" s="165"/>
      <c r="S10" s="165"/>
      <c r="T10" s="165"/>
      <c r="U10" s="165"/>
      <c r="V10" s="165"/>
      <c r="W10" s="165"/>
      <c r="X10" s="156"/>
      <c r="Y10" s="157"/>
    </row>
    <row r="11" spans="1:25" ht="18" customHeight="1" x14ac:dyDescent="0.3">
      <c r="A11" s="106" t="s">
        <v>41</v>
      </c>
      <c r="B11" s="107"/>
      <c r="C11" s="107"/>
      <c r="D11" s="107"/>
      <c r="E11" s="107"/>
      <c r="F11" s="107"/>
      <c r="G11" s="107"/>
      <c r="H11" s="107"/>
      <c r="I11" s="108"/>
      <c r="J11" s="170">
        <f>MPR!J11+KARACHI!J11+SINDH!J11+'GILGIT -BALTISTAN'!J11+'AZAD - KASHMIR'!J11+KPK!J11</f>
        <v>1013</v>
      </c>
      <c r="K11" s="171"/>
      <c r="L11" s="170">
        <f>MPR!L11+KARACHI!L11+SINDH!L11+'GILGIT -BALTISTAN'!L11+'AZAD - KASHMIR'!L11+KPK!L11</f>
        <v>65</v>
      </c>
      <c r="M11" s="171"/>
      <c r="N11" s="170">
        <f>MPR!N11+KARACHI!N11+SINDH!N11+'GILGIT -BALTISTAN'!N11+'AZAD - KASHMIR'!N11+KPK!N11</f>
        <v>0</v>
      </c>
      <c r="O11" s="171"/>
      <c r="P11" s="170">
        <f>SUM(J11+L11+N11)</f>
        <v>1078</v>
      </c>
      <c r="Q11" s="171"/>
      <c r="R11" s="170">
        <f>MPR!R11+KARACHI!R11+SINDH!R11+'GILGIT -BALTISTAN'!R11+'AZAD - KASHMIR'!R11+KPK!R11</f>
        <v>1</v>
      </c>
      <c r="S11" s="171"/>
      <c r="T11" s="170">
        <f>MPR!T11+KARACHI!T11+SINDH!T11+'GILGIT -BALTISTAN'!T11+'AZAD - KASHMIR'!T11+KPK!T11</f>
        <v>1</v>
      </c>
      <c r="U11" s="171"/>
      <c r="V11" s="170">
        <f>MPR!V11+KARACHI!V11+SINDH!V11+'GILGIT -BALTISTAN'!V11+'AZAD - KASHMIR'!V11+KPK!V11</f>
        <v>5</v>
      </c>
      <c r="W11" s="171"/>
      <c r="X11" s="172">
        <f>SUM(J11+L11+N11+R11+T11+V11)</f>
        <v>1085</v>
      </c>
      <c r="Y11" s="173"/>
    </row>
    <row r="12" spans="1:25" ht="18" customHeight="1" x14ac:dyDescent="0.3">
      <c r="A12" s="106" t="s">
        <v>42</v>
      </c>
      <c r="B12" s="107"/>
      <c r="C12" s="107"/>
      <c r="D12" s="107"/>
      <c r="E12" s="107"/>
      <c r="F12" s="107"/>
      <c r="G12" s="107"/>
      <c r="H12" s="107"/>
      <c r="I12" s="108"/>
      <c r="J12" s="170">
        <f>MPR!J12+KARACHI!J12+SINDH!J12+'GILGIT -BALTISTAN'!J12+'AZAD - KASHMIR'!J12+KPK!J12</f>
        <v>981</v>
      </c>
      <c r="K12" s="171"/>
      <c r="L12" s="170">
        <f>MPR!L12+KARACHI!L12+SINDH!L12+'GILGIT -BALTISTAN'!L12+'AZAD - KASHMIR'!L12+KPK!L12</f>
        <v>26</v>
      </c>
      <c r="M12" s="171"/>
      <c r="N12" s="170">
        <f>MPR!N12+KARACHI!N12+SINDH!N12+'GILGIT -BALTISTAN'!N12+'AZAD - KASHMIR'!N12+KPK!N12</f>
        <v>3</v>
      </c>
      <c r="O12" s="171"/>
      <c r="P12" s="170">
        <f>SUM(J12+L12+N12)</f>
        <v>1010</v>
      </c>
      <c r="Q12" s="171"/>
      <c r="R12" s="170">
        <f>MPR!R12+KARACHI!R12+SINDH!R12+'GILGIT -BALTISTAN'!R12+'AZAD - KASHMIR'!R12+KPK!R12</f>
        <v>1</v>
      </c>
      <c r="S12" s="171"/>
      <c r="T12" s="170">
        <f>MPR!T12+KARACHI!T12+SINDH!T12+'GILGIT -BALTISTAN'!T12+'AZAD - KASHMIR'!T12+KPK!T12</f>
        <v>1</v>
      </c>
      <c r="U12" s="171"/>
      <c r="V12" s="170">
        <f>MPR!V12+KARACHI!V12+SINDH!V12+'GILGIT -BALTISTAN'!V12+'AZAD - KASHMIR'!V12+KPK!V12</f>
        <v>3</v>
      </c>
      <c r="W12" s="171"/>
      <c r="X12" s="172">
        <f>SUM(J12+L12+N12+R12+T12+V12)</f>
        <v>1015</v>
      </c>
      <c r="Y12" s="173"/>
    </row>
    <row r="13" spans="1:25" ht="18" customHeight="1" x14ac:dyDescent="0.3">
      <c r="A13" s="106" t="s">
        <v>43</v>
      </c>
      <c r="B13" s="107"/>
      <c r="C13" s="107"/>
      <c r="D13" s="107"/>
      <c r="E13" s="107"/>
      <c r="F13" s="107"/>
      <c r="G13" s="107"/>
      <c r="H13" s="107"/>
      <c r="I13" s="108"/>
      <c r="J13" s="170">
        <f>MPR!J13+KARACHI!J13+SINDH!J13+'GILGIT -BALTISTAN'!J13+'AZAD - KASHMIR'!J13+KPK!J13</f>
        <v>4</v>
      </c>
      <c r="K13" s="171"/>
      <c r="L13" s="170">
        <f>MPR!L13+KARACHI!L13+SINDH!L13+'GILGIT -BALTISTAN'!L13+'AZAD - KASHMIR'!L13+KPK!L13</f>
        <v>0</v>
      </c>
      <c r="M13" s="171"/>
      <c r="N13" s="170">
        <f>MPR!N13+KARACHI!N13+SINDH!N13+'GILGIT -BALTISTAN'!N13+'AZAD - KASHMIR'!N13+KPK!N13</f>
        <v>0</v>
      </c>
      <c r="O13" s="171"/>
      <c r="P13" s="170">
        <f>SUM(J13+L13+N13)</f>
        <v>4</v>
      </c>
      <c r="Q13" s="171"/>
      <c r="R13" s="170">
        <f>MPR!R13+KARACHI!R13+SINDH!R13+'GILGIT -BALTISTAN'!R13+'AZAD - KASHMIR'!R13+KPK!R13</f>
        <v>0</v>
      </c>
      <c r="S13" s="171"/>
      <c r="T13" s="170">
        <f>MPR!T13+KARACHI!T13+SINDH!T13+'GILGIT -BALTISTAN'!T13+'AZAD - KASHMIR'!T13+KPK!T13</f>
        <v>0</v>
      </c>
      <c r="U13" s="171"/>
      <c r="V13" s="170">
        <f>MPR!V13+KARACHI!V13+SINDH!V13+'GILGIT -BALTISTAN'!V13+'AZAD - KASHMIR'!V13+KPK!V13</f>
        <v>0</v>
      </c>
      <c r="W13" s="171"/>
      <c r="X13" s="172">
        <f>SUM(J13+L13+N13+R13+T13+V13)</f>
        <v>4</v>
      </c>
      <c r="Y13" s="173"/>
    </row>
    <row r="14" spans="1:25" ht="18" customHeight="1" x14ac:dyDescent="0.3">
      <c r="A14" s="106" t="s">
        <v>44</v>
      </c>
      <c r="B14" s="107"/>
      <c r="C14" s="107"/>
      <c r="D14" s="107"/>
      <c r="E14" s="107"/>
      <c r="F14" s="107"/>
      <c r="G14" s="107"/>
      <c r="H14" s="107"/>
      <c r="I14" s="108"/>
      <c r="J14" s="170">
        <f>MPR!J14+KARACHI!J14+SINDH!J14+'GILGIT -BALTISTAN'!J14+'AZAD - KASHMIR'!J14+KPK!J14</f>
        <v>627</v>
      </c>
      <c r="K14" s="171"/>
      <c r="L14" s="170">
        <f>MPR!L14+KARACHI!L14+SINDH!L14+'GILGIT -BALTISTAN'!L14+'AZAD - KASHMIR'!L14+KPK!L14</f>
        <v>5</v>
      </c>
      <c r="M14" s="171"/>
      <c r="N14" s="170">
        <f>MPR!N14+KARACHI!N14+SINDH!N14+'GILGIT -BALTISTAN'!N14+'AZAD - KASHMIR'!N14+KPK!N14</f>
        <v>1</v>
      </c>
      <c r="O14" s="171"/>
      <c r="P14" s="170">
        <f>SUM(J14+L14+N14)</f>
        <v>633</v>
      </c>
      <c r="Q14" s="171"/>
      <c r="R14" s="170">
        <f>MPR!R14+KARACHI!R14+SINDH!R14+'GILGIT -BALTISTAN'!R14+'AZAD - KASHMIR'!R14+KPK!R14</f>
        <v>0</v>
      </c>
      <c r="S14" s="171"/>
      <c r="T14" s="170">
        <f>MPR!T14+KARACHI!T14+SINDH!T14+'GILGIT -BALTISTAN'!T14+'AZAD - KASHMIR'!T14+KPK!T14</f>
        <v>0</v>
      </c>
      <c r="U14" s="171"/>
      <c r="V14" s="170">
        <f>MPR!V14+KARACHI!V14+SINDH!V14+'GILGIT -BALTISTAN'!V14+'AZAD - KASHMIR'!V14+KPK!V14</f>
        <v>8</v>
      </c>
      <c r="W14" s="171"/>
      <c r="X14" s="172">
        <f>SUM(J14+L14+N14+R14+T14+V14)</f>
        <v>641</v>
      </c>
      <c r="Y14" s="173"/>
    </row>
    <row r="15" spans="1:25" ht="18" customHeight="1" x14ac:dyDescent="0.3">
      <c r="A15" s="106" t="s">
        <v>7</v>
      </c>
      <c r="B15" s="107"/>
      <c r="C15" s="107"/>
      <c r="D15" s="107"/>
      <c r="E15" s="107"/>
      <c r="F15" s="107"/>
      <c r="G15" s="107"/>
      <c r="H15" s="107"/>
      <c r="I15" s="108"/>
      <c r="J15" s="170">
        <f>SUM(J11:K14)</f>
        <v>2625</v>
      </c>
      <c r="K15" s="171"/>
      <c r="L15" s="170">
        <f>SUM(L11:M14)</f>
        <v>96</v>
      </c>
      <c r="M15" s="171"/>
      <c r="N15" s="170">
        <f>SUM(N11:O14)</f>
        <v>4</v>
      </c>
      <c r="O15" s="171"/>
      <c r="P15" s="170">
        <f>SUM(J15+L15+N15)</f>
        <v>2725</v>
      </c>
      <c r="Q15" s="171"/>
      <c r="R15" s="170">
        <f>SUM(R11:S14)</f>
        <v>2</v>
      </c>
      <c r="S15" s="171"/>
      <c r="T15" s="170">
        <f>SUM(T11:U14)</f>
        <v>2</v>
      </c>
      <c r="U15" s="171"/>
      <c r="V15" s="170">
        <f>SUM(V11:W14)</f>
        <v>16</v>
      </c>
      <c r="W15" s="171"/>
      <c r="X15" s="172">
        <f>SUM(J15+L15+N15+R15+T15+V15)</f>
        <v>2745</v>
      </c>
      <c r="Y15" s="173"/>
    </row>
    <row r="16" spans="1:25" ht="15.6" x14ac:dyDescent="0.3">
      <c r="A16" s="4" t="s">
        <v>45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6"/>
      <c r="S16" s="6"/>
      <c r="T16" s="6"/>
      <c r="U16" s="6"/>
      <c r="V16" s="6"/>
      <c r="W16" s="6"/>
      <c r="X16" s="6"/>
      <c r="Y16" s="7"/>
    </row>
    <row r="17" spans="1:25" x14ac:dyDescent="0.25">
      <c r="A17" s="71"/>
      <c r="B17" s="72"/>
      <c r="C17" s="72"/>
      <c r="D17" s="72"/>
      <c r="E17" s="72"/>
      <c r="F17" s="72"/>
      <c r="G17" s="73"/>
      <c r="H17" s="68" t="s">
        <v>0</v>
      </c>
      <c r="I17" s="69"/>
      <c r="J17" s="136" t="s">
        <v>1</v>
      </c>
      <c r="K17" s="69"/>
      <c r="L17" s="134" t="s">
        <v>2</v>
      </c>
      <c r="M17" s="69"/>
      <c r="N17" s="134" t="s">
        <v>3</v>
      </c>
      <c r="O17" s="69"/>
      <c r="P17" s="134" t="s">
        <v>4</v>
      </c>
      <c r="Q17" s="135"/>
      <c r="R17" s="134" t="s">
        <v>5</v>
      </c>
      <c r="S17" s="69"/>
      <c r="T17" s="134" t="s">
        <v>6</v>
      </c>
      <c r="U17" s="69"/>
      <c r="V17" s="134" t="s">
        <v>46</v>
      </c>
      <c r="W17" s="69"/>
      <c r="X17" s="134" t="s">
        <v>7</v>
      </c>
      <c r="Y17" s="135"/>
    </row>
    <row r="18" spans="1:25" x14ac:dyDescent="0.25">
      <c r="A18" s="74"/>
      <c r="B18" s="75"/>
      <c r="C18" s="75"/>
      <c r="D18" s="75"/>
      <c r="E18" s="75"/>
      <c r="F18" s="75"/>
      <c r="G18" s="76"/>
      <c r="H18" s="10" t="s">
        <v>10</v>
      </c>
      <c r="I18" s="10" t="s">
        <v>11</v>
      </c>
      <c r="J18" s="10" t="s">
        <v>10</v>
      </c>
      <c r="K18" s="10" t="s">
        <v>11</v>
      </c>
      <c r="L18" s="10" t="s">
        <v>10</v>
      </c>
      <c r="M18" s="10" t="s">
        <v>11</v>
      </c>
      <c r="N18" s="10" t="s">
        <v>10</v>
      </c>
      <c r="O18" s="10" t="s">
        <v>11</v>
      </c>
      <c r="P18" s="10" t="s">
        <v>10</v>
      </c>
      <c r="Q18" s="10" t="s">
        <v>11</v>
      </c>
      <c r="R18" s="10" t="s">
        <v>10</v>
      </c>
      <c r="S18" s="10" t="s">
        <v>11</v>
      </c>
      <c r="T18" s="10" t="s">
        <v>10</v>
      </c>
      <c r="U18" s="10" t="s">
        <v>11</v>
      </c>
      <c r="V18" s="10" t="s">
        <v>10</v>
      </c>
      <c r="W18" s="10" t="s">
        <v>11</v>
      </c>
      <c r="X18" s="10" t="s">
        <v>10</v>
      </c>
      <c r="Y18" s="10" t="s">
        <v>11</v>
      </c>
    </row>
    <row r="19" spans="1:25" ht="18" customHeight="1" x14ac:dyDescent="0.25">
      <c r="A19" s="106" t="s">
        <v>41</v>
      </c>
      <c r="B19" s="107"/>
      <c r="C19" s="107"/>
      <c r="D19" s="107"/>
      <c r="E19" s="107"/>
      <c r="F19" s="107"/>
      <c r="G19" s="108"/>
      <c r="H19" s="51">
        <f>MPR!H19+KARACHI!H19+SINDH!H19+'GILGIT -BALTISTAN'!H19+'AZAD - KASHMIR'!H19+KPK!H19</f>
        <v>0</v>
      </c>
      <c r="I19" s="51">
        <f>MPR!I19+KARACHI!I19+SINDH!I19+'GILGIT -BALTISTAN'!I19+'AZAD - KASHMIR'!I19+KPK!I19</f>
        <v>0</v>
      </c>
      <c r="J19" s="51">
        <f>MPR!J19+KARACHI!J19+SINDH!J19+'GILGIT -BALTISTAN'!J19+'AZAD - KASHMIR'!J19+KPK!J19</f>
        <v>4</v>
      </c>
      <c r="K19" s="51">
        <f>MPR!K19+KARACHI!K19+SINDH!K19+'GILGIT -BALTISTAN'!K19+'AZAD - KASHMIR'!K19+KPK!K19</f>
        <v>25</v>
      </c>
      <c r="L19" s="51">
        <f>MPR!L19+KARACHI!L19+SINDH!L19+'GILGIT -BALTISTAN'!L19+'AZAD - KASHMIR'!L19+KPK!L19</f>
        <v>104</v>
      </c>
      <c r="M19" s="51">
        <f>MPR!M19+KARACHI!M19+SINDH!M19+'GILGIT -BALTISTAN'!M19+'AZAD - KASHMIR'!M19+KPK!M19</f>
        <v>126</v>
      </c>
      <c r="N19" s="51">
        <f>MPR!N19+KARACHI!N19+SINDH!N19+'GILGIT -BALTISTAN'!N19+'AZAD - KASHMIR'!N19+KPK!N19</f>
        <v>88</v>
      </c>
      <c r="O19" s="51">
        <f>MPR!O19+KARACHI!O19+SINDH!O19+'GILGIT -BALTISTAN'!O19+'AZAD - KASHMIR'!O19+KPK!O19</f>
        <v>92</v>
      </c>
      <c r="P19" s="51">
        <f>MPR!P19+KARACHI!P19+SINDH!P19+'GILGIT -BALTISTAN'!P19+'AZAD - KASHMIR'!P19+KPK!P19</f>
        <v>71</v>
      </c>
      <c r="Q19" s="51">
        <f>MPR!Q19+KARACHI!Q19+SINDH!Q19+'GILGIT -BALTISTAN'!Q19+'AZAD - KASHMIR'!Q19+KPK!Q19</f>
        <v>60</v>
      </c>
      <c r="R19" s="51">
        <f>MPR!R19+KARACHI!R19+SINDH!R19+'GILGIT -BALTISTAN'!R19+'AZAD - KASHMIR'!R19+KPK!R19</f>
        <v>69</v>
      </c>
      <c r="S19" s="51">
        <f>MPR!S19+KARACHI!S19+SINDH!S19+'GILGIT -BALTISTAN'!S19+'AZAD - KASHMIR'!S19+KPK!S19</f>
        <v>60</v>
      </c>
      <c r="T19" s="51">
        <f>MPR!T19+KARACHI!T19+SINDH!T19+'GILGIT -BALTISTAN'!T19+'AZAD - KASHMIR'!T19+KPK!T19</f>
        <v>104</v>
      </c>
      <c r="U19" s="51">
        <f>MPR!U19+KARACHI!U19+SINDH!U19+'GILGIT -BALTISTAN'!U19+'AZAD - KASHMIR'!U19+KPK!U19</f>
        <v>66</v>
      </c>
      <c r="V19" s="51">
        <f>MPR!V19+KARACHI!V19+SINDH!V19+'GILGIT -BALTISTAN'!V19+'AZAD - KASHMIR'!V19+KPK!V19</f>
        <v>124</v>
      </c>
      <c r="W19" s="51">
        <f>MPR!W19+KARACHI!W19+SINDH!W19+'GILGIT -BALTISTAN'!W19+'AZAD - KASHMIR'!W19+KPK!W19</f>
        <v>85</v>
      </c>
      <c r="X19" s="51">
        <f>SUM(H19+J19+L19+N19+P19+R19+T19+V19)</f>
        <v>564</v>
      </c>
      <c r="Y19" s="51">
        <f>SUM(I19+K19+M19+O19+Q19+S19+U19+W19)</f>
        <v>514</v>
      </c>
    </row>
    <row r="20" spans="1:25" ht="18" customHeight="1" x14ac:dyDescent="0.25">
      <c r="A20" s="106" t="s">
        <v>42</v>
      </c>
      <c r="B20" s="107"/>
      <c r="C20" s="107"/>
      <c r="D20" s="107"/>
      <c r="E20" s="107"/>
      <c r="F20" s="107"/>
      <c r="G20" s="108"/>
      <c r="H20" s="51">
        <f>MPR!H20+KARACHI!H20+SINDH!H20+'GILGIT -BALTISTAN'!H20+'AZAD - KASHMIR'!H20+KPK!H20</f>
        <v>107</v>
      </c>
      <c r="I20" s="51">
        <f>MPR!I20+KARACHI!I20+SINDH!I20+'GILGIT -BALTISTAN'!I20+'AZAD - KASHMIR'!I20+KPK!I20</f>
        <v>109</v>
      </c>
      <c r="J20" s="51">
        <f>MPR!J20+KARACHI!J20+SINDH!J20+'GILGIT -BALTISTAN'!J20+'AZAD - KASHMIR'!J20+KPK!J20</f>
        <v>47</v>
      </c>
      <c r="K20" s="51">
        <f>MPR!K20+KARACHI!K20+SINDH!K20+'GILGIT -BALTISTAN'!K20+'AZAD - KASHMIR'!K20+KPK!K20</f>
        <v>42</v>
      </c>
      <c r="L20" s="51">
        <f>MPR!L20+KARACHI!L20+SINDH!L20+'GILGIT -BALTISTAN'!L20+'AZAD - KASHMIR'!L20+KPK!L20</f>
        <v>57</v>
      </c>
      <c r="M20" s="51">
        <f>MPR!M20+KARACHI!M20+SINDH!M20+'GILGIT -BALTISTAN'!M20+'AZAD - KASHMIR'!M20+KPK!M20</f>
        <v>77</v>
      </c>
      <c r="N20" s="51">
        <f>MPR!N20+KARACHI!N20+SINDH!N20+'GILGIT -BALTISTAN'!N20+'AZAD - KASHMIR'!N20+KPK!N20</f>
        <v>55</v>
      </c>
      <c r="O20" s="51">
        <f>MPR!O20+KARACHI!O20+SINDH!O20+'GILGIT -BALTISTAN'!O20+'AZAD - KASHMIR'!O20+KPK!O20</f>
        <v>60</v>
      </c>
      <c r="P20" s="51">
        <f>MPR!P20+KARACHI!P20+SINDH!P20+'GILGIT -BALTISTAN'!P20+'AZAD - KASHMIR'!P20+KPK!P20</f>
        <v>51</v>
      </c>
      <c r="Q20" s="51">
        <f>MPR!Q20+KARACHI!Q20+SINDH!Q20+'GILGIT -BALTISTAN'!Q20+'AZAD - KASHMIR'!Q20+KPK!Q20</f>
        <v>61</v>
      </c>
      <c r="R20" s="51">
        <f>MPR!R20+KARACHI!R20+SINDH!R20+'GILGIT -BALTISTAN'!R20+'AZAD - KASHMIR'!R20+KPK!R20</f>
        <v>47</v>
      </c>
      <c r="S20" s="51">
        <f>MPR!S20+KARACHI!S20+SINDH!S20+'GILGIT -BALTISTAN'!S20+'AZAD - KASHMIR'!S20+KPK!S20</f>
        <v>54</v>
      </c>
      <c r="T20" s="51">
        <f>MPR!T20+KARACHI!T20+SINDH!T20+'GILGIT -BALTISTAN'!T20+'AZAD - KASHMIR'!T20+KPK!T20</f>
        <v>52</v>
      </c>
      <c r="U20" s="51">
        <f>MPR!U20+KARACHI!U20+SINDH!U20+'GILGIT -BALTISTAN'!U20+'AZAD - KASHMIR'!U20+KPK!U20</f>
        <v>51</v>
      </c>
      <c r="V20" s="51">
        <f>MPR!V20+KARACHI!V20+SINDH!V20+'GILGIT -BALTISTAN'!V20+'AZAD - KASHMIR'!V20+KPK!V20</f>
        <v>85</v>
      </c>
      <c r="W20" s="51">
        <f>MPR!W20+KARACHI!W20+SINDH!W20+'GILGIT -BALTISTAN'!W20+'AZAD - KASHMIR'!W20+KPK!W20</f>
        <v>55</v>
      </c>
      <c r="X20" s="51">
        <f t="shared" ref="X20:X22" si="0">SUM(H20+J20+L20+N20+P20+R20+T20+V20)</f>
        <v>501</v>
      </c>
      <c r="Y20" s="51">
        <f t="shared" ref="Y20:Y22" si="1">SUM(I20+K20+M20+O20+Q20+S20+U20+W20)</f>
        <v>509</v>
      </c>
    </row>
    <row r="21" spans="1:25" ht="18" customHeight="1" x14ac:dyDescent="0.25">
      <c r="A21" s="106" t="s">
        <v>43</v>
      </c>
      <c r="B21" s="107"/>
      <c r="C21" s="107"/>
      <c r="D21" s="107"/>
      <c r="E21" s="107"/>
      <c r="F21" s="107"/>
      <c r="G21" s="108"/>
      <c r="H21" s="51">
        <f>MPR!H21+KARACHI!H21+SINDH!H21+'GILGIT -BALTISTAN'!H21+'AZAD - KASHMIR'!H21+KPK!H21</f>
        <v>0</v>
      </c>
      <c r="I21" s="51">
        <f>MPR!I21+KARACHI!I21+SINDH!I21+'GILGIT -BALTISTAN'!I21+'AZAD - KASHMIR'!I21+KPK!I21</f>
        <v>0</v>
      </c>
      <c r="J21" s="51">
        <f>MPR!J21+KARACHI!J21+SINDH!J21+'GILGIT -BALTISTAN'!J21+'AZAD - KASHMIR'!J21+KPK!J21</f>
        <v>1</v>
      </c>
      <c r="K21" s="51">
        <f>MPR!K21+KARACHI!K21+SINDH!K21+'GILGIT -BALTISTAN'!K21+'AZAD - KASHMIR'!K21+KPK!K21</f>
        <v>1</v>
      </c>
      <c r="L21" s="51">
        <f>MPR!L21+KARACHI!L21+SINDH!L21+'GILGIT -BALTISTAN'!L21+'AZAD - KASHMIR'!L21+KPK!L21</f>
        <v>1</v>
      </c>
      <c r="M21" s="51">
        <f>MPR!M21+KARACHI!M21+SINDH!M21+'GILGIT -BALTISTAN'!M21+'AZAD - KASHMIR'!M21+KPK!M21</f>
        <v>0</v>
      </c>
      <c r="N21" s="51">
        <f>MPR!N21+KARACHI!N21+SINDH!N21+'GILGIT -BALTISTAN'!N21+'AZAD - KASHMIR'!N21+KPK!N21</f>
        <v>0</v>
      </c>
      <c r="O21" s="51">
        <f>MPR!O21+KARACHI!O21+SINDH!O21+'GILGIT -BALTISTAN'!O21+'AZAD - KASHMIR'!O21+KPK!O21</f>
        <v>1</v>
      </c>
      <c r="P21" s="51">
        <f>MPR!P21+KARACHI!P21+SINDH!P21+'GILGIT -BALTISTAN'!P21+'AZAD - KASHMIR'!P21+KPK!P21</f>
        <v>0</v>
      </c>
      <c r="Q21" s="51">
        <f>MPR!Q21+KARACHI!Q21+SINDH!Q21+'GILGIT -BALTISTAN'!Q21+'AZAD - KASHMIR'!Q21+KPK!Q21</f>
        <v>0</v>
      </c>
      <c r="R21" s="51">
        <f>MPR!R21+KARACHI!R21+SINDH!R21+'GILGIT -BALTISTAN'!R21+'AZAD - KASHMIR'!R21+KPK!R21</f>
        <v>0</v>
      </c>
      <c r="S21" s="51">
        <f>MPR!S21+KARACHI!S21+SINDH!S21+'GILGIT -BALTISTAN'!S21+'AZAD - KASHMIR'!S21+KPK!S21</f>
        <v>0</v>
      </c>
      <c r="T21" s="51">
        <f>MPR!T21+KARACHI!T21+SINDH!T21+'GILGIT -BALTISTAN'!T21+'AZAD - KASHMIR'!T21+KPK!T21</f>
        <v>0</v>
      </c>
      <c r="U21" s="51">
        <f>MPR!U21+KARACHI!U21+SINDH!U21+'GILGIT -BALTISTAN'!U21+'AZAD - KASHMIR'!U21+KPK!U21</f>
        <v>0</v>
      </c>
      <c r="V21" s="51">
        <f>MPR!V21+KARACHI!V21+SINDH!V21+'GILGIT -BALTISTAN'!V21+'AZAD - KASHMIR'!V21+KPK!V21</f>
        <v>0</v>
      </c>
      <c r="W21" s="51">
        <f>MPR!W21+KARACHI!W21+SINDH!W21+'GILGIT -BALTISTAN'!W21+'AZAD - KASHMIR'!W21+KPK!W21</f>
        <v>0</v>
      </c>
      <c r="X21" s="51">
        <f t="shared" si="0"/>
        <v>2</v>
      </c>
      <c r="Y21" s="51">
        <f t="shared" si="1"/>
        <v>2</v>
      </c>
    </row>
    <row r="22" spans="1:25" ht="18" customHeight="1" x14ac:dyDescent="0.25">
      <c r="A22" s="106" t="s">
        <v>44</v>
      </c>
      <c r="B22" s="107"/>
      <c r="C22" s="107"/>
      <c r="D22" s="107"/>
      <c r="E22" s="107"/>
      <c r="F22" s="107"/>
      <c r="G22" s="108"/>
      <c r="H22" s="51">
        <f>MPR!H22+KARACHI!H22+SINDH!H22+'GILGIT -BALTISTAN'!H22+'AZAD - KASHMIR'!H22+KPK!H22</f>
        <v>26</v>
      </c>
      <c r="I22" s="51">
        <f>MPR!I22+KARACHI!I22+SINDH!I22+'GILGIT -BALTISTAN'!I22+'AZAD - KASHMIR'!I22+KPK!I22</f>
        <v>22</v>
      </c>
      <c r="J22" s="51">
        <f>MPR!J22+KARACHI!J22+SINDH!J22+'GILGIT -BALTISTAN'!J22+'AZAD - KASHMIR'!J22+KPK!J22</f>
        <v>37</v>
      </c>
      <c r="K22" s="51">
        <f>MPR!K22+KARACHI!K22+SINDH!K22+'GILGIT -BALTISTAN'!K22+'AZAD - KASHMIR'!K22+KPK!K22</f>
        <v>19</v>
      </c>
      <c r="L22" s="51">
        <f>MPR!L22+KARACHI!L22+SINDH!L22+'GILGIT -BALTISTAN'!L22+'AZAD - KASHMIR'!L22+KPK!L22</f>
        <v>64</v>
      </c>
      <c r="M22" s="51">
        <f>MPR!M22+KARACHI!M22+SINDH!M22+'GILGIT -BALTISTAN'!M22+'AZAD - KASHMIR'!M22+KPK!M22</f>
        <v>65</v>
      </c>
      <c r="N22" s="51">
        <f>MPR!N22+KARACHI!N22+SINDH!N22+'GILGIT -BALTISTAN'!N22+'AZAD - KASHMIR'!N22+KPK!N22</f>
        <v>55</v>
      </c>
      <c r="O22" s="51">
        <f>MPR!O22+KARACHI!O22+SINDH!O22+'GILGIT -BALTISTAN'!O22+'AZAD - KASHMIR'!O22+KPK!O22</f>
        <v>55</v>
      </c>
      <c r="P22" s="51">
        <f>MPR!P22+KARACHI!P22+SINDH!P22+'GILGIT -BALTISTAN'!P22+'AZAD - KASHMIR'!P22+KPK!P22</f>
        <v>42</v>
      </c>
      <c r="Q22" s="51">
        <f>MPR!Q22+KARACHI!Q22+SINDH!Q22+'GILGIT -BALTISTAN'!Q22+'AZAD - KASHMIR'!Q22+KPK!Q22</f>
        <v>42</v>
      </c>
      <c r="R22" s="51">
        <f>MPR!R22+KARACHI!R22+SINDH!R22+'GILGIT -BALTISTAN'!R22+'AZAD - KASHMIR'!R22+KPK!R22</f>
        <v>33</v>
      </c>
      <c r="S22" s="51">
        <f>MPR!S22+KARACHI!S22+SINDH!S22+'GILGIT -BALTISTAN'!S22+'AZAD - KASHMIR'!S22+KPK!S22</f>
        <v>33</v>
      </c>
      <c r="T22" s="51">
        <f>MPR!T22+KARACHI!T22+SINDH!T22+'GILGIT -BALTISTAN'!T22+'AZAD - KASHMIR'!T22+KPK!T22</f>
        <v>32</v>
      </c>
      <c r="U22" s="51">
        <f>MPR!U22+KARACHI!U22+SINDH!U22+'GILGIT -BALTISTAN'!U22+'AZAD - KASHMIR'!U22+KPK!U22</f>
        <v>31</v>
      </c>
      <c r="V22" s="51">
        <f>MPR!V22+KARACHI!V22+SINDH!V22+'GILGIT -BALTISTAN'!V22+'AZAD - KASHMIR'!V22+KPK!V22</f>
        <v>53</v>
      </c>
      <c r="W22" s="51">
        <f>MPR!W22+KARACHI!W22+SINDH!W22+'GILGIT -BALTISTAN'!W22+'AZAD - KASHMIR'!W22+KPK!W22</f>
        <v>24</v>
      </c>
      <c r="X22" s="51">
        <f t="shared" si="0"/>
        <v>342</v>
      </c>
      <c r="Y22" s="51">
        <f t="shared" si="1"/>
        <v>291</v>
      </c>
    </row>
    <row r="23" spans="1:25" ht="18" customHeight="1" x14ac:dyDescent="0.25">
      <c r="A23" s="106" t="s">
        <v>7</v>
      </c>
      <c r="B23" s="107"/>
      <c r="C23" s="107"/>
      <c r="D23" s="107"/>
      <c r="E23" s="107"/>
      <c r="F23" s="107"/>
      <c r="G23" s="108"/>
      <c r="H23" s="51">
        <f>SUM(H19:H22)</f>
        <v>133</v>
      </c>
      <c r="I23" s="51">
        <f>SUM(I19:I22)</f>
        <v>131</v>
      </c>
      <c r="J23" s="51">
        <f>SUM(J19:J22)</f>
        <v>89</v>
      </c>
      <c r="K23" s="51">
        <f t="shared" ref="K23:Y23" si="2">SUM(K19:K22)</f>
        <v>87</v>
      </c>
      <c r="L23" s="51">
        <f t="shared" si="2"/>
        <v>226</v>
      </c>
      <c r="M23" s="51">
        <f t="shared" si="2"/>
        <v>268</v>
      </c>
      <c r="N23" s="51">
        <f t="shared" si="2"/>
        <v>198</v>
      </c>
      <c r="O23" s="51">
        <f t="shared" si="2"/>
        <v>208</v>
      </c>
      <c r="P23" s="51">
        <f t="shared" si="2"/>
        <v>164</v>
      </c>
      <c r="Q23" s="51">
        <f t="shared" si="2"/>
        <v>163</v>
      </c>
      <c r="R23" s="51">
        <f t="shared" si="2"/>
        <v>149</v>
      </c>
      <c r="S23" s="51">
        <f t="shared" si="2"/>
        <v>147</v>
      </c>
      <c r="T23" s="51">
        <f t="shared" si="2"/>
        <v>188</v>
      </c>
      <c r="U23" s="51">
        <f t="shared" si="2"/>
        <v>148</v>
      </c>
      <c r="V23" s="51">
        <f t="shared" si="2"/>
        <v>262</v>
      </c>
      <c r="W23" s="51">
        <f t="shared" si="2"/>
        <v>164</v>
      </c>
      <c r="X23" s="51">
        <f t="shared" si="2"/>
        <v>1409</v>
      </c>
      <c r="Y23" s="51">
        <f t="shared" si="2"/>
        <v>1316</v>
      </c>
    </row>
    <row r="24" spans="1:25" ht="6.75" customHeight="1" x14ac:dyDescent="0.25">
      <c r="A24" s="11"/>
      <c r="B24" s="12"/>
      <c r="C24" s="12"/>
      <c r="D24" s="12"/>
      <c r="E24" s="12"/>
      <c r="F24" s="13"/>
      <c r="G24" s="13"/>
      <c r="H24" s="13"/>
      <c r="I24" s="13"/>
      <c r="J24" s="13"/>
      <c r="K24" s="13"/>
      <c r="L24" s="14"/>
      <c r="M24" s="13"/>
      <c r="N24" s="15"/>
      <c r="O24" s="16"/>
      <c r="P24" s="13"/>
      <c r="Q24" s="13"/>
      <c r="R24" s="13"/>
      <c r="S24" s="13"/>
      <c r="T24" s="13"/>
      <c r="U24" s="13"/>
      <c r="V24" s="13"/>
      <c r="W24" s="13"/>
      <c r="X24" s="13"/>
      <c r="Y24" s="17"/>
    </row>
    <row r="25" spans="1:25" ht="18" customHeight="1" x14ac:dyDescent="0.3">
      <c r="A25" s="18" t="s">
        <v>47</v>
      </c>
      <c r="B25" s="19"/>
      <c r="C25" s="19"/>
      <c r="D25" s="19"/>
      <c r="E25" s="19"/>
      <c r="F25" s="19"/>
      <c r="G25" s="19"/>
      <c r="H25" s="19"/>
      <c r="I25" s="19"/>
      <c r="J25" s="19"/>
      <c r="K25" s="20"/>
      <c r="L25" s="21"/>
      <c r="M25" s="18" t="s">
        <v>48</v>
      </c>
      <c r="N25" s="19"/>
      <c r="O25" s="19"/>
      <c r="P25" s="19"/>
      <c r="Q25" s="22"/>
      <c r="R25" s="22"/>
      <c r="S25" s="22"/>
      <c r="T25" s="22"/>
      <c r="U25" s="22"/>
      <c r="V25" s="22"/>
      <c r="W25" s="22"/>
      <c r="X25" s="22"/>
      <c r="Y25" s="23"/>
    </row>
    <row r="26" spans="1:25" ht="57.75" customHeight="1" x14ac:dyDescent="0.25">
      <c r="A26" s="101" t="s">
        <v>49</v>
      </c>
      <c r="B26" s="101" t="s">
        <v>50</v>
      </c>
      <c r="C26" s="101" t="s">
        <v>51</v>
      </c>
      <c r="D26" s="77" t="s">
        <v>52</v>
      </c>
      <c r="E26" s="78"/>
      <c r="F26" s="77" t="s">
        <v>53</v>
      </c>
      <c r="G26" s="79"/>
      <c r="H26" s="79"/>
      <c r="I26" s="78"/>
      <c r="J26" s="101" t="s">
        <v>54</v>
      </c>
      <c r="K26" s="101" t="s">
        <v>55</v>
      </c>
      <c r="L26" s="24"/>
      <c r="M26" s="86" t="s">
        <v>56</v>
      </c>
      <c r="N26" s="88"/>
      <c r="O26" s="86" t="s">
        <v>57</v>
      </c>
      <c r="P26" s="88"/>
      <c r="Q26" s="86" t="s">
        <v>58</v>
      </c>
      <c r="R26" s="87"/>
      <c r="S26" s="87"/>
      <c r="T26" s="87"/>
      <c r="U26" s="87"/>
      <c r="V26" s="87"/>
      <c r="W26" s="87"/>
      <c r="X26" s="87"/>
      <c r="Y26" s="88"/>
    </row>
    <row r="27" spans="1:25" ht="38.25" customHeight="1" x14ac:dyDescent="0.25">
      <c r="A27" s="102"/>
      <c r="B27" s="102"/>
      <c r="C27" s="102"/>
      <c r="D27" s="25" t="s">
        <v>59</v>
      </c>
      <c r="E27" s="25" t="s">
        <v>60</v>
      </c>
      <c r="F27" s="26" t="s">
        <v>59</v>
      </c>
      <c r="G27" s="26" t="s">
        <v>60</v>
      </c>
      <c r="H27" s="26" t="s">
        <v>61</v>
      </c>
      <c r="I27" s="26" t="s">
        <v>62</v>
      </c>
      <c r="J27" s="102"/>
      <c r="K27" s="102"/>
      <c r="L27" s="24"/>
      <c r="M27" s="193">
        <f>MPR!M27+KARACHI!M27+SINDH!M27+'GILGIT -BALTISTAN'!M27:N27+'AZAD - KASHMIR'!M27:N27+KPK!M27</f>
        <v>68</v>
      </c>
      <c r="N27" s="92"/>
      <c r="O27" s="193">
        <f>MPR!O27+KARACHI!O27+SINDH!O27+'GILGIT -BALTISTAN'!O27:P27+'AZAD - KASHMIR'!O27:P27+KPK!O27</f>
        <v>0</v>
      </c>
      <c r="P27" s="92"/>
      <c r="Q27" s="194">
        <f>MPR!Q27+KARACHI!Q27+SINDH!Q27+'GILGIT -BALTISTAN'!Q27:Y27+'AZAD - KASHMIR'!Q27:Y27+KPK!Q27</f>
        <v>0</v>
      </c>
      <c r="R27" s="87"/>
      <c r="S27" s="87"/>
      <c r="T27" s="87"/>
      <c r="U27" s="87"/>
      <c r="V27" s="87"/>
      <c r="W27" s="87"/>
      <c r="X27" s="87"/>
      <c r="Y27" s="88"/>
    </row>
    <row r="28" spans="1:25" ht="38.25" customHeight="1" x14ac:dyDescent="0.25">
      <c r="A28" s="103">
        <f>MPR!A28+KARACHI!A28+SINDH!A28+'GILGIT -BALTISTAN'!A28:A32+'AZAD - KASHMIR'!A28:A32+KPK!A28</f>
        <v>464971</v>
      </c>
      <c r="B28" s="103">
        <f>MPR!B28+KARACHI!B28+SINDH!B28+'GILGIT -BALTISTAN'!B28:B32+'AZAD - KASHMIR'!B28:B32+KPK!B28</f>
        <v>13180</v>
      </c>
      <c r="C28" s="103">
        <f>MPR!C28+KARACHI!C28+SINDH!C28+'GILGIT -BALTISTAN'!C28:C32+'AZAD - KASHMIR'!C28:C32+KPK!C28</f>
        <v>148</v>
      </c>
      <c r="D28" s="103">
        <f>MPR!D28+KARACHI!D28+SINDH!D28+'GILGIT -BALTISTAN'!D28:D32+'AZAD - KASHMIR'!D28:D32+KPK!D28</f>
        <v>12869</v>
      </c>
      <c r="E28" s="103">
        <f>MPR!E28+KARACHI!E28+SINDH!E28+'GILGIT -BALTISTAN'!E28:E32+'AZAD - KASHMIR'!E28:E32+KPK!E28</f>
        <v>567</v>
      </c>
      <c r="F28" s="103">
        <f>MPR!F28+KARACHI!F28+SINDH!F28+'GILGIT -BALTISTAN'!F28:F32+'AZAD - KASHMIR'!F28:F32+KPK!F28</f>
        <v>157</v>
      </c>
      <c r="G28" s="103">
        <f>MPR!G28+KARACHI!G28+SINDH!G28+'GILGIT -BALTISTAN'!G28:G32+'AZAD - KASHMIR'!G28:G32+KPK!G28</f>
        <v>40</v>
      </c>
      <c r="H28" s="103">
        <f>MPR!H28+KARACHI!H28+SINDH!H28+'GILGIT -BALTISTAN'!H28:H32+'AZAD - KASHMIR'!H28:H32+KPK!H28</f>
        <v>341</v>
      </c>
      <c r="I28" s="103">
        <f>SUM(F28:H32)</f>
        <v>538</v>
      </c>
      <c r="J28" s="103">
        <f>MPR!J28+KARACHI!J28+SINDH!J28+'GILGIT -BALTISTAN'!J28:J32+'AZAD - KASHMIR'!J28:J32+KPK!J28</f>
        <v>1020</v>
      </c>
      <c r="K28" s="103">
        <f>MPR!K28+KARACHI!K28+SINDH!K28+'GILGIT -BALTISTAN'!K28:K32+'AZAD - KASHMIR'!K28:K32+KPK!K28</f>
        <v>1038</v>
      </c>
      <c r="L28" s="24"/>
      <c r="M28" s="91" t="s">
        <v>63</v>
      </c>
      <c r="N28" s="92"/>
      <c r="O28" s="91" t="s">
        <v>64</v>
      </c>
      <c r="P28" s="92"/>
      <c r="Q28" s="95" t="s">
        <v>65</v>
      </c>
      <c r="R28" s="99"/>
      <c r="S28" s="96"/>
      <c r="T28" s="95" t="s">
        <v>66</v>
      </c>
      <c r="U28" s="99"/>
      <c r="V28" s="99"/>
      <c r="W28" s="99"/>
      <c r="X28" s="99"/>
      <c r="Y28" s="96"/>
    </row>
    <row r="29" spans="1:25" ht="19.5" customHeight="1" x14ac:dyDescent="0.25">
      <c r="A29" s="189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27"/>
      <c r="M29" s="91">
        <f>MPR!M29+KARACHI!M29+SINDH!M29+'GILGIT -BALTISTAN'!M29:N32+'AZAD - KASHMIR'!M29:N32+KPK!M29</f>
        <v>1</v>
      </c>
      <c r="N29" s="92"/>
      <c r="O29" s="91">
        <f>MPR!O29+KARACHI!O29+SINDH!O29+'GILGIT -BALTISTAN'!O29:P32+'AZAD - KASHMIR'!O29:P32+KPK!O29</f>
        <v>0</v>
      </c>
      <c r="P29" s="92"/>
      <c r="Q29" s="91">
        <f>MPR!Q29+KARACHI!Q29+SINDH!Q29+'GILGIT -BALTISTAN'!Q29:S32+'AZAD - KASHMIR'!Q29:S32+KPK!Q29</f>
        <v>0</v>
      </c>
      <c r="R29" s="97"/>
      <c r="S29" s="92"/>
      <c r="T29" s="28"/>
      <c r="U29" s="86" t="s">
        <v>0</v>
      </c>
      <c r="V29" s="88"/>
      <c r="W29" s="29" t="s">
        <v>1</v>
      </c>
      <c r="X29" s="86" t="s">
        <v>67</v>
      </c>
      <c r="Y29" s="88"/>
    </row>
    <row r="30" spans="1:25" ht="18" customHeight="1" x14ac:dyDescent="0.25">
      <c r="A30" s="189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27"/>
      <c r="M30" s="93"/>
      <c r="N30" s="94"/>
      <c r="O30" s="93"/>
      <c r="P30" s="94"/>
      <c r="Q30" s="93"/>
      <c r="R30" s="98"/>
      <c r="S30" s="94"/>
      <c r="T30" s="30" t="s">
        <v>68</v>
      </c>
      <c r="U30" s="100">
        <f>MPR!U30+KARACHI!U30+SINDH!U30+'GILGIT -BALTISTAN'!U30:V30+'AZAD - KASHMIR'!U30:V30+KPK!U30</f>
        <v>0</v>
      </c>
      <c r="V30" s="100"/>
      <c r="W30" s="29">
        <f>MPR!W30+KARACHI!W30+SINDH!W30+'GILGIT -BALTISTAN'!W30+'AZAD - KASHMIR'!W30+KPK!W30</f>
        <v>0</v>
      </c>
      <c r="X30" s="100">
        <f>MPR!X30+KARACHI!X30+SINDH!X30+'GILGIT -BALTISTAN'!X30:Y30+'AZAD - KASHMIR'!X30:Y30+KPK!X30</f>
        <v>0</v>
      </c>
      <c r="Y30" s="100"/>
    </row>
    <row r="31" spans="1:25" ht="18" customHeight="1" x14ac:dyDescent="0.25">
      <c r="A31" s="189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27"/>
      <c r="M31" s="93"/>
      <c r="N31" s="94"/>
      <c r="O31" s="93"/>
      <c r="P31" s="94"/>
      <c r="Q31" s="93"/>
      <c r="R31" s="98"/>
      <c r="S31" s="94"/>
      <c r="T31" s="30" t="s">
        <v>69</v>
      </c>
      <c r="U31" s="100">
        <f>MPR!U31+KARACHI!U31+SINDH!U31+'GILGIT -BALTISTAN'!U31:V31+'AZAD - KASHMIR'!U31:V31+KPK!U31</f>
        <v>0</v>
      </c>
      <c r="V31" s="100"/>
      <c r="W31" s="29">
        <f>MPR!W31+KARACHI!W31+SINDH!W31+'GILGIT -BALTISTAN'!W31+'AZAD - KASHMIR'!W31+KPK!W31</f>
        <v>0</v>
      </c>
      <c r="X31" s="100">
        <f>MPR!X31+KARACHI!X31+SINDH!X31+'GILGIT -BALTISTAN'!X31:Y31+'AZAD - KASHMIR'!X31:Y31+KPK!X31</f>
        <v>0</v>
      </c>
      <c r="Y31" s="100"/>
    </row>
    <row r="32" spans="1:25" ht="18" customHeight="1" x14ac:dyDescent="0.25">
      <c r="A32" s="165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27"/>
      <c r="M32" s="95"/>
      <c r="N32" s="96"/>
      <c r="O32" s="95"/>
      <c r="P32" s="96"/>
      <c r="Q32" s="95"/>
      <c r="R32" s="99"/>
      <c r="S32" s="96"/>
      <c r="T32" s="30" t="s">
        <v>70</v>
      </c>
      <c r="U32" s="100">
        <f>MPR!U32+KARACHI!U32+SINDH!U32+'GILGIT -BALTISTAN'!U32:V32+'AZAD - KASHMIR'!U32:V32+KPK!U32</f>
        <v>0</v>
      </c>
      <c r="V32" s="100"/>
      <c r="W32" s="29">
        <f>MPR!W32+KARACHI!W32+SINDH!W32+'GILGIT -BALTISTAN'!W32+'AZAD - KASHMIR'!W32+KPK!W32</f>
        <v>0</v>
      </c>
      <c r="X32" s="100">
        <f>MPR!X32+KARACHI!X32+SINDH!X32+'GILGIT -BALTISTAN'!X32:Y32+'AZAD - KASHMIR'!X32:Y32+KPK!X32</f>
        <v>0</v>
      </c>
      <c r="Y32" s="100"/>
    </row>
    <row r="33" spans="1:25" ht="3" customHeight="1" x14ac:dyDescent="0.25">
      <c r="A33" s="31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3"/>
      <c r="M33" s="32"/>
      <c r="N33" s="32"/>
      <c r="O33" s="32"/>
      <c r="P33" s="32"/>
      <c r="Q33" s="32"/>
      <c r="R33" s="34"/>
      <c r="S33" s="34"/>
      <c r="T33" s="34"/>
      <c r="U33" s="34"/>
      <c r="V33" s="34"/>
      <c r="W33" s="32"/>
      <c r="X33" s="32"/>
      <c r="Y33" s="7"/>
    </row>
    <row r="34" spans="1:25" ht="15.6" x14ac:dyDescent="0.3">
      <c r="A34" s="18" t="s">
        <v>71</v>
      </c>
      <c r="B34" s="19"/>
      <c r="C34" s="19"/>
      <c r="D34" s="19"/>
      <c r="E34" s="19"/>
      <c r="F34" s="19"/>
      <c r="G34" s="19"/>
      <c r="H34" s="19"/>
      <c r="I34" s="19"/>
      <c r="J34" s="19"/>
      <c r="K34" s="20"/>
      <c r="L34" s="35"/>
      <c r="M34" s="18" t="s">
        <v>72</v>
      </c>
      <c r="N34" s="20"/>
      <c r="O34" s="36"/>
      <c r="P34" s="19"/>
      <c r="Q34" s="19"/>
      <c r="R34" s="19"/>
      <c r="S34" s="19"/>
      <c r="T34" s="19"/>
      <c r="U34" s="19"/>
      <c r="V34" s="19"/>
      <c r="W34" s="22"/>
      <c r="X34" s="22"/>
      <c r="Y34" s="37"/>
    </row>
    <row r="35" spans="1:25" ht="61.5" customHeight="1" x14ac:dyDescent="0.25">
      <c r="A35" s="71"/>
      <c r="B35" s="72"/>
      <c r="C35" s="72"/>
      <c r="D35" s="72"/>
      <c r="E35" s="73"/>
      <c r="F35" s="68" t="s">
        <v>12</v>
      </c>
      <c r="G35" s="70"/>
      <c r="H35" s="68" t="s">
        <v>13</v>
      </c>
      <c r="I35" s="70"/>
      <c r="J35" s="38" t="s">
        <v>73</v>
      </c>
      <c r="K35" s="39"/>
      <c r="L35" s="40"/>
      <c r="M35" s="77" t="s">
        <v>74</v>
      </c>
      <c r="N35" s="78"/>
      <c r="O35" s="77" t="s">
        <v>75</v>
      </c>
      <c r="P35" s="78"/>
      <c r="Q35" s="77" t="s">
        <v>76</v>
      </c>
      <c r="R35" s="78"/>
      <c r="S35" s="77" t="s">
        <v>77</v>
      </c>
      <c r="T35" s="79"/>
      <c r="U35" s="79"/>
      <c r="V35" s="78"/>
      <c r="W35" s="77" t="s">
        <v>78</v>
      </c>
      <c r="X35" s="79"/>
      <c r="Y35" s="78"/>
    </row>
    <row r="36" spans="1:25" x14ac:dyDescent="0.25">
      <c r="A36" s="74"/>
      <c r="B36" s="75"/>
      <c r="C36" s="75"/>
      <c r="D36" s="75"/>
      <c r="E36" s="76"/>
      <c r="F36" s="10" t="s">
        <v>79</v>
      </c>
      <c r="G36" s="10" t="s">
        <v>14</v>
      </c>
      <c r="H36" s="10" t="s">
        <v>79</v>
      </c>
      <c r="I36" s="10" t="s">
        <v>14</v>
      </c>
      <c r="J36" s="10" t="s">
        <v>79</v>
      </c>
      <c r="K36" s="10" t="s">
        <v>14</v>
      </c>
      <c r="L36" s="41"/>
      <c r="M36" s="42" t="s">
        <v>80</v>
      </c>
      <c r="N36" s="42" t="s">
        <v>81</v>
      </c>
      <c r="O36" s="42" t="s">
        <v>80</v>
      </c>
      <c r="P36" s="43" t="s">
        <v>81</v>
      </c>
      <c r="Q36" s="42" t="s">
        <v>80</v>
      </c>
      <c r="R36" s="42" t="s">
        <v>81</v>
      </c>
      <c r="S36" s="44"/>
      <c r="T36" s="42" t="s">
        <v>0</v>
      </c>
      <c r="U36" s="45" t="s">
        <v>1</v>
      </c>
      <c r="V36" s="46" t="s">
        <v>82</v>
      </c>
      <c r="W36" s="42" t="s">
        <v>0</v>
      </c>
      <c r="X36" s="45" t="s">
        <v>1</v>
      </c>
      <c r="Y36" s="46" t="s">
        <v>82</v>
      </c>
    </row>
    <row r="37" spans="1:25" ht="14.4" x14ac:dyDescent="0.3">
      <c r="A37" s="80" t="s">
        <v>83</v>
      </c>
      <c r="B37" s="81"/>
      <c r="C37" s="81"/>
      <c r="D37" s="81"/>
      <c r="E37" s="82"/>
      <c r="F37" s="57">
        <f>MPR!F37+KARACHI!F37+SINDH!F37+'GILGIT -BALTISTAN'!F37+'AZAD - KASHMIR'!F37+KPK!F37</f>
        <v>936</v>
      </c>
      <c r="G37" s="57">
        <f>MPR!G37+KARACHI!G37+SINDH!G37+'GILGIT -BALTISTAN'!G37+'AZAD - KASHMIR'!G37+KPK!G37</f>
        <v>5</v>
      </c>
      <c r="H37" s="57">
        <f>MPR!H37+KARACHI!H37+SINDH!H37+'GILGIT -BALTISTAN'!H37+'AZAD - KASHMIR'!H37+KPK!H37</f>
        <v>1</v>
      </c>
      <c r="I37" s="57">
        <f>MPR!I37+KARACHI!I37+SINDH!I37+'GILGIT -BALTISTAN'!I37+'AZAD - KASHMIR'!I37+KPK!I37</f>
        <v>0</v>
      </c>
      <c r="J37" s="57">
        <f>MPR!J37+KARACHI!J37+SINDH!J37+'GILGIT -BALTISTAN'!J37+'AZAD - KASHMIR'!J37+KPK!J37</f>
        <v>0</v>
      </c>
      <c r="K37" s="57">
        <f>MPR!K37+KARACHI!K37+SINDH!K37+'GILGIT -BALTISTAN'!K37+'AZAD - KASHMIR'!K37+KPK!K37</f>
        <v>0</v>
      </c>
      <c r="L37" s="41"/>
      <c r="M37" s="201">
        <f>MPR!M37+KARACHI!M37+SINDH!M37+'GILGIT -BALTISTAN'!M37:M40+'AZAD - KASHMIR'!M37:M40+KPK!M37</f>
        <v>1794</v>
      </c>
      <c r="N37" s="201">
        <f>MPR!N37+KARACHI!N37+SINDH!N37+'GILGIT -BALTISTAN'!N37:N40+'AZAD - KASHMIR'!N37:N40+KPK!N37</f>
        <v>1329</v>
      </c>
      <c r="O37" s="201">
        <f>MPR!O37+KARACHI!O37+SINDH!O37+'GILGIT -BALTISTAN'!O37:O40+'AZAD - KASHMIR'!O37:O40+KPK!O37</f>
        <v>858</v>
      </c>
      <c r="P37" s="201">
        <f>MPR!P37+KARACHI!P37+SINDH!P37+'GILGIT -BALTISTAN'!P37:P40+'AZAD - KASHMIR'!P37:P40+KPK!P37</f>
        <v>4238</v>
      </c>
      <c r="Q37" s="201">
        <f>MPR!Q37+KARACHI!Q37+SINDH!Q37+'GILGIT -BALTISTAN'!Q37:Q40+'AZAD - KASHMIR'!Q37:Q40+KPK!Q37</f>
        <v>7</v>
      </c>
      <c r="R37" s="201">
        <f>MPR!R37+KARACHI!R37+SINDH!R37+'GILGIT -BALTISTAN'!R37:R40+'AZAD - KASHMIR'!R37:R40+KPK!R37</f>
        <v>175</v>
      </c>
      <c r="S37" s="47" t="s">
        <v>68</v>
      </c>
      <c r="T37" s="66">
        <f>MPR!T37+KARACHI!T37+SINDH!T37+'GILGIT -BALTISTAN'!T37+'AZAD - KASHMIR'!T37+KPK!T37</f>
        <v>0</v>
      </c>
      <c r="U37" s="66">
        <f>MPR!U37+KARACHI!U37+SINDH!U37+'GILGIT -BALTISTAN'!U37+'AZAD - KASHMIR'!U37+KPK!U37</f>
        <v>0</v>
      </c>
      <c r="V37" s="66">
        <f>MPR!V37+KARACHI!V37+SINDH!V37+'GILGIT -BALTISTAN'!V37+'AZAD - KASHMIR'!V37+KPK!V37</f>
        <v>2</v>
      </c>
      <c r="W37" s="66">
        <f>MPR!W37+KARACHI!W37+SINDH!W37+'GILGIT -BALTISTAN'!W37+'AZAD - KASHMIR'!W37+KPK!W37</f>
        <v>0</v>
      </c>
      <c r="X37" s="66">
        <f>MPR!X37+KARACHI!X37+SINDH!X37+'GILGIT -BALTISTAN'!X37+'AZAD - KASHMIR'!X37+KPK!X37</f>
        <v>0</v>
      </c>
      <c r="Y37" s="66">
        <f>MPR!Y37+KARACHI!Y37+SINDH!Y37+'GILGIT -BALTISTAN'!Y37+'AZAD - KASHMIR'!Y37+KPK!Y37</f>
        <v>0</v>
      </c>
    </row>
    <row r="38" spans="1:25" ht="14.4" x14ac:dyDescent="0.3">
      <c r="A38" s="80" t="s">
        <v>8</v>
      </c>
      <c r="B38" s="81"/>
      <c r="C38" s="81"/>
      <c r="D38" s="81"/>
      <c r="E38" s="82"/>
      <c r="F38" s="57">
        <f>MPR!F38+KARACHI!F38+SINDH!F38+'GILGIT -BALTISTAN'!F38+'AZAD - KASHMIR'!F38+KPK!F38</f>
        <v>37</v>
      </c>
      <c r="G38" s="57">
        <f>MPR!G38+KARACHI!G38+SINDH!G38+'GILGIT -BALTISTAN'!G38+'AZAD - KASHMIR'!G38+KPK!G38</f>
        <v>0</v>
      </c>
      <c r="H38" s="57">
        <f>MPR!H38+KARACHI!H38+SINDH!H38+'GILGIT -BALTISTAN'!H38+'AZAD - KASHMIR'!H38+KPK!H38</f>
        <v>0</v>
      </c>
      <c r="I38" s="57">
        <f>MPR!I38+KARACHI!I38+SINDH!I38+'GILGIT -BALTISTAN'!I38+'AZAD - KASHMIR'!I38+KPK!I38</f>
        <v>0</v>
      </c>
      <c r="J38" s="57">
        <f>MPR!J38+KARACHI!J38+SINDH!J38+'GILGIT -BALTISTAN'!J38+'AZAD - KASHMIR'!J38+KPK!J38</f>
        <v>0</v>
      </c>
      <c r="K38" s="57">
        <f>MPR!K38+KARACHI!K38+SINDH!K38+'GILGIT -BALTISTAN'!K38+'AZAD - KASHMIR'!K38+KPK!K38</f>
        <v>0</v>
      </c>
      <c r="L38" s="41"/>
      <c r="M38" s="84"/>
      <c r="N38" s="84"/>
      <c r="O38" s="84"/>
      <c r="P38" s="84"/>
      <c r="Q38" s="84"/>
      <c r="R38" s="84"/>
      <c r="S38" s="47" t="s">
        <v>69</v>
      </c>
      <c r="T38" s="66">
        <f>MPR!T38+KARACHI!T38+SINDH!T38+'GILGIT -BALTISTAN'!T38+'AZAD - KASHMIR'!T38+KPK!T38</f>
        <v>0</v>
      </c>
      <c r="U38" s="66">
        <f>MPR!U38+KARACHI!U38+SINDH!U38+'GILGIT -BALTISTAN'!U38+'AZAD - KASHMIR'!U38+KPK!U38</f>
        <v>0</v>
      </c>
      <c r="V38" s="66">
        <f>MPR!V38+KARACHI!V38+SINDH!V38+'GILGIT -BALTISTAN'!V38+'AZAD - KASHMIR'!V38+KPK!V38</f>
        <v>0</v>
      </c>
      <c r="W38" s="66">
        <f>MPR!W38+KARACHI!W38+SINDH!W38+'GILGIT -BALTISTAN'!W38+'AZAD - KASHMIR'!W38+KPK!W38</f>
        <v>0</v>
      </c>
      <c r="X38" s="66">
        <f>MPR!X38+KARACHI!X38+SINDH!X38+'GILGIT -BALTISTAN'!X38+'AZAD - KASHMIR'!X38+KPK!X38</f>
        <v>0</v>
      </c>
      <c r="Y38" s="66">
        <f>MPR!Y38+KARACHI!Y38+SINDH!Y38+'GILGIT -BALTISTAN'!Y38+'AZAD - KASHMIR'!Y38+KPK!Y38</f>
        <v>0</v>
      </c>
    </row>
    <row r="39" spans="1:25" x14ac:dyDescent="0.25">
      <c r="A39" s="86" t="s">
        <v>84</v>
      </c>
      <c r="B39" s="87"/>
      <c r="C39" s="87"/>
      <c r="D39" s="87"/>
      <c r="E39" s="88"/>
      <c r="F39" s="57">
        <f>MPR!F39+KARACHI!F39+SINDH!F39+'GILGIT -BALTISTAN'!F39+'AZAD - KASHMIR'!F39+KPK!F39</f>
        <v>1</v>
      </c>
      <c r="G39" s="57">
        <f>MPR!G39+KARACHI!G39+SINDH!G39+'GILGIT -BALTISTAN'!G39+'AZAD - KASHMIR'!G39+KPK!G39</f>
        <v>0</v>
      </c>
      <c r="H39" s="57">
        <f>MPR!H39+KARACHI!H39+SINDH!H39+'GILGIT -BALTISTAN'!H39+'AZAD - KASHMIR'!H39+KPK!H39</f>
        <v>0</v>
      </c>
      <c r="I39" s="57">
        <f>MPR!I39+KARACHI!I39+SINDH!I39+'GILGIT -BALTISTAN'!I39+'AZAD - KASHMIR'!I39+KPK!I39</f>
        <v>0</v>
      </c>
      <c r="J39" s="57">
        <f>MPR!J39+KARACHI!J39+SINDH!J39+'GILGIT -BALTISTAN'!J39+'AZAD - KASHMIR'!J39+KPK!J39</f>
        <v>0</v>
      </c>
      <c r="K39" s="57">
        <f>MPR!K39+KARACHI!K39+SINDH!K39+'GILGIT -BALTISTAN'!K39+'AZAD - KASHMIR'!K39+KPK!K39</f>
        <v>0</v>
      </c>
      <c r="L39" s="41"/>
      <c r="M39" s="84"/>
      <c r="N39" s="84"/>
      <c r="O39" s="84"/>
      <c r="P39" s="84"/>
      <c r="Q39" s="84"/>
      <c r="R39" s="84"/>
      <c r="S39" s="89" t="s">
        <v>70</v>
      </c>
      <c r="T39" s="83">
        <f>MPR!T39+KARACHI!T39+SINDH!T39+'GILGIT -BALTISTAN'!T39:T40+'AZAD - KASHMIR'!T39:T40+KPK!T39</f>
        <v>0</v>
      </c>
      <c r="U39" s="83">
        <f>MPR!U39+KARACHI!U39+SINDH!U39+'GILGIT -BALTISTAN'!U39:U40+'AZAD - KASHMIR'!U39:U40+KPK!U39</f>
        <v>0</v>
      </c>
      <c r="V39" s="83">
        <f>MPR!V39+KARACHI!V39+SINDH!V39+'GILGIT -BALTISTAN'!V39:V40+'AZAD - KASHMIR'!V39:V40+KPK!V39</f>
        <v>0</v>
      </c>
      <c r="W39" s="83">
        <f>MPR!W39+KARACHI!W39+SINDH!W39+'GILGIT -BALTISTAN'!W39:W40+'AZAD - KASHMIR'!W39:W40+KPK!W39</f>
        <v>0</v>
      </c>
      <c r="X39" s="83">
        <f>MPR!X39+KARACHI!X39+SINDH!X39+'GILGIT -BALTISTAN'!X39:X40+'AZAD - KASHMIR'!X39:X40+KPK!X39</f>
        <v>0</v>
      </c>
      <c r="Y39" s="83">
        <f>MPR!Y39+KARACHI!Y39+SINDH!Y39+'GILGIT -BALTISTAN'!Y39:Y40+'AZAD - KASHMIR'!Y39:Y40+KPK!Y39</f>
        <v>0</v>
      </c>
    </row>
    <row r="40" spans="1:25" x14ac:dyDescent="0.25">
      <c r="A40" s="68" t="s">
        <v>7</v>
      </c>
      <c r="B40" s="69"/>
      <c r="C40" s="69"/>
      <c r="D40" s="69"/>
      <c r="E40" s="70"/>
      <c r="F40" s="10">
        <f>SUM(F37:F39)</f>
        <v>974</v>
      </c>
      <c r="G40" s="10">
        <f t="shared" ref="G40:K40" si="3">SUM(G37:G39)</f>
        <v>5</v>
      </c>
      <c r="H40" s="10">
        <f t="shared" si="3"/>
        <v>1</v>
      </c>
      <c r="I40" s="10">
        <f t="shared" si="3"/>
        <v>0</v>
      </c>
      <c r="J40" s="10">
        <f t="shared" si="3"/>
        <v>0</v>
      </c>
      <c r="K40" s="10">
        <f t="shared" si="3"/>
        <v>0</v>
      </c>
      <c r="L40" s="41"/>
      <c r="M40" s="85"/>
      <c r="N40" s="85"/>
      <c r="O40" s="85"/>
      <c r="P40" s="85"/>
      <c r="Q40" s="85"/>
      <c r="R40" s="85"/>
      <c r="S40" s="90"/>
      <c r="T40" s="85"/>
      <c r="U40" s="85"/>
      <c r="V40" s="85"/>
      <c r="W40" s="85"/>
      <c r="X40" s="85"/>
      <c r="Y40" s="85"/>
    </row>
    <row r="41" spans="1:25" ht="23.4" x14ac:dyDescent="0.45">
      <c r="A41" s="120" t="s">
        <v>17</v>
      </c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</row>
    <row r="42" spans="1:25" ht="23.4" x14ac:dyDescent="0.25">
      <c r="A42" s="111" t="s">
        <v>18</v>
      </c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"/>
      <c r="U42" s="112" t="s">
        <v>19</v>
      </c>
      <c r="V42" s="112"/>
      <c r="W42" s="1"/>
      <c r="X42" s="1"/>
      <c r="Y42" s="1"/>
    </row>
    <row r="43" spans="1:25" ht="34.5" customHeight="1" x14ac:dyDescent="0.25">
      <c r="A43" s="113" t="s">
        <v>20</v>
      </c>
      <c r="B43" s="113"/>
      <c r="C43" s="113"/>
      <c r="D43" s="113"/>
      <c r="E43" s="205" t="str">
        <f>E4</f>
        <v>All Project Total</v>
      </c>
      <c r="F43" s="205"/>
      <c r="G43" s="205"/>
      <c r="H43" s="116" t="s">
        <v>22</v>
      </c>
      <c r="I43" s="116"/>
      <c r="J43" s="115">
        <f>J4</f>
        <v>0</v>
      </c>
      <c r="K43" s="115"/>
      <c r="L43" s="116" t="s">
        <v>23</v>
      </c>
      <c r="M43" s="116"/>
      <c r="N43" s="188" t="str">
        <f>N4</f>
        <v>CONSOLIDATED</v>
      </c>
      <c r="O43" s="188"/>
      <c r="P43" s="188"/>
      <c r="Q43" s="118" t="s">
        <v>24</v>
      </c>
      <c r="R43" s="118"/>
      <c r="S43" s="118"/>
      <c r="T43" s="118"/>
      <c r="U43" s="119" t="s">
        <v>85</v>
      </c>
      <c r="V43" s="119"/>
      <c r="W43" s="119"/>
      <c r="X43" s="147" t="str">
        <f>X4</f>
        <v>of Year 2023</v>
      </c>
      <c r="Y43" s="147"/>
    </row>
    <row r="44" spans="1:25" ht="5.25" customHeight="1" x14ac:dyDescent="0.25">
      <c r="Q44" s="118"/>
      <c r="R44" s="118"/>
      <c r="S44" s="118"/>
      <c r="T44" s="118"/>
      <c r="U44" s="119"/>
      <c r="V44" s="119"/>
      <c r="W44" s="119"/>
      <c r="X44" s="147"/>
      <c r="Y44" s="147"/>
    </row>
    <row r="45" spans="1:25" ht="15.6" x14ac:dyDescent="0.3">
      <c r="A45" s="166" t="s">
        <v>26</v>
      </c>
      <c r="B45" s="166"/>
      <c r="C45" s="166"/>
      <c r="D45" s="166"/>
      <c r="E45" s="166"/>
      <c r="F45" s="166"/>
      <c r="G45" s="167" t="s">
        <v>27</v>
      </c>
      <c r="H45" s="167"/>
      <c r="I45" s="167"/>
      <c r="J45" s="167"/>
      <c r="K45" s="167"/>
      <c r="L45" s="167"/>
      <c r="M45" s="167"/>
      <c r="N45" s="2"/>
      <c r="Q45" s="168" t="s">
        <v>28</v>
      </c>
      <c r="R45" s="168"/>
      <c r="S45" s="168"/>
      <c r="T45" s="168"/>
      <c r="U45" s="168"/>
      <c r="V45" s="148" t="s">
        <v>29</v>
      </c>
      <c r="W45" s="148"/>
      <c r="X45" s="148"/>
      <c r="Y45" s="148"/>
    </row>
    <row r="46" spans="1:25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4.4" x14ac:dyDescent="0.25">
      <c r="A47" s="149" t="s">
        <v>31</v>
      </c>
      <c r="B47" s="150"/>
      <c r="C47" s="150"/>
      <c r="D47" s="150"/>
      <c r="E47" s="150"/>
      <c r="F47" s="150"/>
      <c r="G47" s="150"/>
      <c r="H47" s="150"/>
      <c r="I47" s="151"/>
      <c r="J47" s="152" t="s">
        <v>32</v>
      </c>
      <c r="K47" s="153"/>
      <c r="L47" s="152" t="s">
        <v>33</v>
      </c>
      <c r="M47" s="153"/>
      <c r="N47" s="91" t="s">
        <v>34</v>
      </c>
      <c r="O47" s="92"/>
      <c r="P47" s="152" t="s">
        <v>35</v>
      </c>
      <c r="Q47" s="153"/>
      <c r="R47" s="68" t="s">
        <v>36</v>
      </c>
      <c r="S47" s="69"/>
      <c r="T47" s="69"/>
      <c r="U47" s="69"/>
      <c r="V47" s="69"/>
      <c r="W47" s="70"/>
      <c r="X47" s="152" t="s">
        <v>7</v>
      </c>
      <c r="Y47" s="153"/>
    </row>
    <row r="48" spans="1:25" x14ac:dyDescent="0.25">
      <c r="A48" s="158" t="s">
        <v>37</v>
      </c>
      <c r="B48" s="159"/>
      <c r="C48" s="159"/>
      <c r="D48" s="159"/>
      <c r="E48" s="159"/>
      <c r="F48" s="159"/>
      <c r="G48" s="159"/>
      <c r="H48" s="159"/>
      <c r="I48" s="160"/>
      <c r="J48" s="154"/>
      <c r="K48" s="155"/>
      <c r="L48" s="154"/>
      <c r="M48" s="155"/>
      <c r="N48" s="93"/>
      <c r="O48" s="94"/>
      <c r="P48" s="154"/>
      <c r="Q48" s="155"/>
      <c r="R48" s="164" t="s">
        <v>38</v>
      </c>
      <c r="S48" s="164"/>
      <c r="T48" s="164" t="s">
        <v>39</v>
      </c>
      <c r="U48" s="164"/>
      <c r="V48" s="164" t="s">
        <v>40</v>
      </c>
      <c r="W48" s="164"/>
      <c r="X48" s="154"/>
      <c r="Y48" s="155"/>
    </row>
    <row r="49" spans="1:25" x14ac:dyDescent="0.25">
      <c r="A49" s="161"/>
      <c r="B49" s="162"/>
      <c r="C49" s="162"/>
      <c r="D49" s="162"/>
      <c r="E49" s="162"/>
      <c r="F49" s="162"/>
      <c r="G49" s="162"/>
      <c r="H49" s="162"/>
      <c r="I49" s="163"/>
      <c r="J49" s="156"/>
      <c r="K49" s="157"/>
      <c r="L49" s="156"/>
      <c r="M49" s="157"/>
      <c r="N49" s="95"/>
      <c r="O49" s="96"/>
      <c r="P49" s="156"/>
      <c r="Q49" s="157"/>
      <c r="R49" s="165"/>
      <c r="S49" s="165"/>
      <c r="T49" s="165"/>
      <c r="U49" s="165"/>
      <c r="V49" s="165"/>
      <c r="W49" s="165"/>
      <c r="X49" s="156"/>
      <c r="Y49" s="157"/>
    </row>
    <row r="50" spans="1:25" ht="18" customHeight="1" x14ac:dyDescent="0.3">
      <c r="A50" s="106" t="s">
        <v>41</v>
      </c>
      <c r="B50" s="107"/>
      <c r="C50" s="107"/>
      <c r="D50" s="107"/>
      <c r="E50" s="107"/>
      <c r="F50" s="107"/>
      <c r="G50" s="107"/>
      <c r="H50" s="107"/>
      <c r="I50" s="108"/>
      <c r="J50" s="170">
        <f>MPR!J50+KARACHI!J50+SINDH!J50+'GILGIT -BALTISTAN'!J50+'AZAD - KASHMIR'!J50+KPK!J50</f>
        <v>1069</v>
      </c>
      <c r="K50" s="171"/>
      <c r="L50" s="170">
        <f>MPR!L50+KARACHI!L50+SINDH!L50+'GILGIT -BALTISTAN'!L50+'AZAD - KASHMIR'!L50+KPK!L50</f>
        <v>71</v>
      </c>
      <c r="M50" s="171"/>
      <c r="N50" s="170">
        <f>MPR!N50+KARACHI!N50+SINDH!N50+'GILGIT -BALTISTAN'!N50+'AZAD - KASHMIR'!N50+KPK!N50</f>
        <v>0</v>
      </c>
      <c r="O50" s="171"/>
      <c r="P50" s="170">
        <f>SUM(J50+L50+N50)</f>
        <v>1140</v>
      </c>
      <c r="Q50" s="171"/>
      <c r="R50" s="170">
        <f>MPR!R50+KARACHI!R50+SINDH!R50+'GILGIT -BALTISTAN'!R50+'AZAD - KASHMIR'!R50+KPK!R50</f>
        <v>0</v>
      </c>
      <c r="S50" s="171"/>
      <c r="T50" s="170">
        <f>MPR!T50+KARACHI!T50+SINDH!T50+'GILGIT -BALTISTAN'!T50+'AZAD - KASHMIR'!T50+KPK!T50</f>
        <v>2</v>
      </c>
      <c r="U50" s="171"/>
      <c r="V50" s="170">
        <f>MPR!V50+KARACHI!V50+SINDH!V50+'GILGIT -BALTISTAN'!V50+'AZAD - KASHMIR'!V50+KPK!V50</f>
        <v>4</v>
      </c>
      <c r="W50" s="171"/>
      <c r="X50" s="172">
        <f>SUM(J50+L50+N50+R50+T50+V50)</f>
        <v>1146</v>
      </c>
      <c r="Y50" s="173"/>
    </row>
    <row r="51" spans="1:25" ht="18" customHeight="1" x14ac:dyDescent="0.3">
      <c r="A51" s="106" t="s">
        <v>42</v>
      </c>
      <c r="B51" s="107"/>
      <c r="C51" s="107"/>
      <c r="D51" s="107"/>
      <c r="E51" s="107"/>
      <c r="F51" s="107"/>
      <c r="G51" s="107"/>
      <c r="H51" s="107"/>
      <c r="I51" s="108"/>
      <c r="J51" s="170">
        <f>MPR!J51+KARACHI!J51+SINDH!J51+'GILGIT -BALTISTAN'!J51+'AZAD - KASHMIR'!J51+KPK!J51</f>
        <v>1129</v>
      </c>
      <c r="K51" s="171"/>
      <c r="L51" s="170">
        <f>MPR!L51+KARACHI!L51+SINDH!L51+'GILGIT -BALTISTAN'!L51+'AZAD - KASHMIR'!L51+KPK!L51</f>
        <v>17</v>
      </c>
      <c r="M51" s="171"/>
      <c r="N51" s="170">
        <f>MPR!N51+KARACHI!N51+SINDH!N51+'GILGIT -BALTISTAN'!N51+'AZAD - KASHMIR'!N51+KPK!N51</f>
        <v>1</v>
      </c>
      <c r="O51" s="171"/>
      <c r="P51" s="170">
        <f>SUM(J51+L51+N51)</f>
        <v>1147</v>
      </c>
      <c r="Q51" s="171"/>
      <c r="R51" s="170">
        <f>MPR!R51+KARACHI!R51+SINDH!R51+'GILGIT -BALTISTAN'!R51+'AZAD - KASHMIR'!R51+KPK!R51</f>
        <v>0</v>
      </c>
      <c r="S51" s="171"/>
      <c r="T51" s="170">
        <f>MPR!T51+KARACHI!T51+SINDH!T51+'GILGIT -BALTISTAN'!T51+'AZAD - KASHMIR'!T51+KPK!T51</f>
        <v>1</v>
      </c>
      <c r="U51" s="171"/>
      <c r="V51" s="170">
        <f>MPR!V51+KARACHI!V51+SINDH!V51+'GILGIT -BALTISTAN'!V51+'AZAD - KASHMIR'!V51+KPK!V51</f>
        <v>9</v>
      </c>
      <c r="W51" s="171"/>
      <c r="X51" s="172">
        <f>SUM(J51+L51+N51+R51+T51+V51)</f>
        <v>1157</v>
      </c>
      <c r="Y51" s="173"/>
    </row>
    <row r="52" spans="1:25" ht="18" customHeight="1" x14ac:dyDescent="0.3">
      <c r="A52" s="106" t="s">
        <v>43</v>
      </c>
      <c r="B52" s="107"/>
      <c r="C52" s="107"/>
      <c r="D52" s="107"/>
      <c r="E52" s="107"/>
      <c r="F52" s="107"/>
      <c r="G52" s="107"/>
      <c r="H52" s="107"/>
      <c r="I52" s="108"/>
      <c r="J52" s="170">
        <f>MPR!J52+KARACHI!J52+SINDH!J52+'GILGIT -BALTISTAN'!J52+'AZAD - KASHMIR'!J52+KPK!J52</f>
        <v>0</v>
      </c>
      <c r="K52" s="171"/>
      <c r="L52" s="170">
        <f>MPR!L52+KARACHI!L52+SINDH!L52+'GILGIT -BALTISTAN'!L52+'AZAD - KASHMIR'!L52+KPK!L52</f>
        <v>0</v>
      </c>
      <c r="M52" s="171"/>
      <c r="N52" s="170">
        <f>MPR!N52+KARACHI!N52+SINDH!N52+'GILGIT -BALTISTAN'!N52+'AZAD - KASHMIR'!N52+KPK!N52</f>
        <v>0</v>
      </c>
      <c r="O52" s="171"/>
      <c r="P52" s="170">
        <f>SUM(J52+L52+N52)</f>
        <v>0</v>
      </c>
      <c r="Q52" s="171"/>
      <c r="R52" s="170">
        <f>MPR!R52+KARACHI!R52+SINDH!R52+'GILGIT -BALTISTAN'!R52+'AZAD - KASHMIR'!R52+KPK!R52</f>
        <v>0</v>
      </c>
      <c r="S52" s="171"/>
      <c r="T52" s="170">
        <f>MPR!T52+KARACHI!T52+SINDH!T52+'GILGIT -BALTISTAN'!T52+'AZAD - KASHMIR'!T52+KPK!T52</f>
        <v>0</v>
      </c>
      <c r="U52" s="171"/>
      <c r="V52" s="170">
        <f>MPR!V52+KARACHI!V52+SINDH!V52+'GILGIT -BALTISTAN'!V52+'AZAD - KASHMIR'!V52+KPK!V52</f>
        <v>0</v>
      </c>
      <c r="W52" s="171"/>
      <c r="X52" s="172">
        <f>SUM(J52+L52+N52+R52+T52+V52)</f>
        <v>0</v>
      </c>
      <c r="Y52" s="173"/>
    </row>
    <row r="53" spans="1:25" ht="18" customHeight="1" x14ac:dyDescent="0.3">
      <c r="A53" s="106" t="s">
        <v>44</v>
      </c>
      <c r="B53" s="107"/>
      <c r="C53" s="107"/>
      <c r="D53" s="107"/>
      <c r="E53" s="107"/>
      <c r="F53" s="107"/>
      <c r="G53" s="107"/>
      <c r="H53" s="107"/>
      <c r="I53" s="108"/>
      <c r="J53" s="170">
        <f>MPR!J53+KARACHI!J53+SINDH!J53+'GILGIT -BALTISTAN'!J53+'AZAD - KASHMIR'!J53+KPK!J53</f>
        <v>785</v>
      </c>
      <c r="K53" s="171"/>
      <c r="L53" s="170">
        <f>MPR!L53+KARACHI!L53+SINDH!L53+'GILGIT -BALTISTAN'!L53+'AZAD - KASHMIR'!L53+KPK!L53</f>
        <v>5</v>
      </c>
      <c r="M53" s="171"/>
      <c r="N53" s="170">
        <f>MPR!N53+KARACHI!N53+SINDH!N53+'GILGIT -BALTISTAN'!N53+'AZAD - KASHMIR'!N53+KPK!N53</f>
        <v>3</v>
      </c>
      <c r="O53" s="171"/>
      <c r="P53" s="170">
        <f>SUM(J53+L53+N53)</f>
        <v>793</v>
      </c>
      <c r="Q53" s="171"/>
      <c r="R53" s="170">
        <f>MPR!R53+KARACHI!R53+SINDH!R53+'GILGIT -BALTISTAN'!R53+'AZAD - KASHMIR'!R53+KPK!R53</f>
        <v>0</v>
      </c>
      <c r="S53" s="171"/>
      <c r="T53" s="170">
        <f>MPR!T53+KARACHI!T53+SINDH!T53+'GILGIT -BALTISTAN'!T53+'AZAD - KASHMIR'!T53+KPK!T53</f>
        <v>0</v>
      </c>
      <c r="U53" s="171"/>
      <c r="V53" s="170">
        <f>MPR!V53+KARACHI!V53+SINDH!V53+'GILGIT -BALTISTAN'!V53+'AZAD - KASHMIR'!V53+KPK!V53</f>
        <v>5</v>
      </c>
      <c r="W53" s="171"/>
      <c r="X53" s="172">
        <f>SUM(J53+L53+N53+R53+T53+V53)</f>
        <v>798</v>
      </c>
      <c r="Y53" s="173"/>
    </row>
    <row r="54" spans="1:25" ht="18" customHeight="1" x14ac:dyDescent="0.3">
      <c r="A54" s="106" t="s">
        <v>7</v>
      </c>
      <c r="B54" s="107"/>
      <c r="C54" s="107"/>
      <c r="D54" s="107"/>
      <c r="E54" s="107"/>
      <c r="F54" s="107"/>
      <c r="G54" s="107"/>
      <c r="H54" s="107"/>
      <c r="I54" s="108"/>
      <c r="J54" s="170">
        <f>SUM(J50:K53)</f>
        <v>2983</v>
      </c>
      <c r="K54" s="171"/>
      <c r="L54" s="170">
        <f>SUM(L50:M53)</f>
        <v>93</v>
      </c>
      <c r="M54" s="171"/>
      <c r="N54" s="170">
        <f>SUM(N50:O53)</f>
        <v>4</v>
      </c>
      <c r="O54" s="171"/>
      <c r="P54" s="170">
        <f>SUM(J54+L54+N54)</f>
        <v>3080</v>
      </c>
      <c r="Q54" s="171"/>
      <c r="R54" s="170">
        <f>SUM(R50:S53)</f>
        <v>0</v>
      </c>
      <c r="S54" s="171"/>
      <c r="T54" s="170">
        <f>SUM(T50:U53)</f>
        <v>3</v>
      </c>
      <c r="U54" s="171"/>
      <c r="V54" s="170">
        <f>SUM(V50:W53)</f>
        <v>18</v>
      </c>
      <c r="W54" s="171"/>
      <c r="X54" s="172">
        <f>SUM(J54+L54+N54+R54+T54+V54)</f>
        <v>3101</v>
      </c>
      <c r="Y54" s="173"/>
    </row>
    <row r="55" spans="1:25" ht="15.6" x14ac:dyDescent="0.3">
      <c r="A55" s="4" t="s">
        <v>45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6"/>
      <c r="S55" s="6"/>
      <c r="T55" s="6"/>
      <c r="U55" s="6"/>
      <c r="V55" s="6"/>
      <c r="W55" s="6"/>
      <c r="X55" s="6"/>
      <c r="Y55" s="7"/>
    </row>
    <row r="56" spans="1:25" x14ac:dyDescent="0.25">
      <c r="A56" s="71"/>
      <c r="B56" s="72"/>
      <c r="C56" s="72"/>
      <c r="D56" s="72"/>
      <c r="E56" s="72"/>
      <c r="F56" s="72"/>
      <c r="G56" s="73"/>
      <c r="H56" s="68" t="s">
        <v>0</v>
      </c>
      <c r="I56" s="69"/>
      <c r="J56" s="136" t="s">
        <v>1</v>
      </c>
      <c r="K56" s="69"/>
      <c r="L56" s="134" t="s">
        <v>2</v>
      </c>
      <c r="M56" s="69"/>
      <c r="N56" s="134" t="s">
        <v>3</v>
      </c>
      <c r="O56" s="69"/>
      <c r="P56" s="134" t="s">
        <v>4</v>
      </c>
      <c r="Q56" s="135"/>
      <c r="R56" s="134" t="s">
        <v>5</v>
      </c>
      <c r="S56" s="69"/>
      <c r="T56" s="134" t="s">
        <v>6</v>
      </c>
      <c r="U56" s="69"/>
      <c r="V56" s="134" t="s">
        <v>46</v>
      </c>
      <c r="W56" s="69"/>
      <c r="X56" s="134" t="s">
        <v>7</v>
      </c>
      <c r="Y56" s="135"/>
    </row>
    <row r="57" spans="1:25" x14ac:dyDescent="0.25">
      <c r="A57" s="74"/>
      <c r="B57" s="75"/>
      <c r="C57" s="75"/>
      <c r="D57" s="75"/>
      <c r="E57" s="75"/>
      <c r="F57" s="75"/>
      <c r="G57" s="76"/>
      <c r="H57" s="10" t="s">
        <v>10</v>
      </c>
      <c r="I57" s="10" t="s">
        <v>11</v>
      </c>
      <c r="J57" s="10" t="s">
        <v>10</v>
      </c>
      <c r="K57" s="10" t="s">
        <v>11</v>
      </c>
      <c r="L57" s="10" t="s">
        <v>10</v>
      </c>
      <c r="M57" s="10" t="s">
        <v>11</v>
      </c>
      <c r="N57" s="10" t="s">
        <v>10</v>
      </c>
      <c r="O57" s="10" t="s">
        <v>11</v>
      </c>
      <c r="P57" s="10" t="s">
        <v>10</v>
      </c>
      <c r="Q57" s="10" t="s">
        <v>11</v>
      </c>
      <c r="R57" s="10" t="s">
        <v>10</v>
      </c>
      <c r="S57" s="10" t="s">
        <v>11</v>
      </c>
      <c r="T57" s="10" t="s">
        <v>10</v>
      </c>
      <c r="U57" s="10" t="s">
        <v>11</v>
      </c>
      <c r="V57" s="10" t="s">
        <v>10</v>
      </c>
      <c r="W57" s="10" t="s">
        <v>11</v>
      </c>
      <c r="X57" s="10" t="s">
        <v>10</v>
      </c>
      <c r="Y57" s="10" t="s">
        <v>11</v>
      </c>
    </row>
    <row r="58" spans="1:25" ht="18" customHeight="1" x14ac:dyDescent="0.25">
      <c r="A58" s="106" t="s">
        <v>41</v>
      </c>
      <c r="B58" s="107"/>
      <c r="C58" s="107"/>
      <c r="D58" s="107"/>
      <c r="E58" s="107"/>
      <c r="F58" s="107"/>
      <c r="G58" s="108"/>
      <c r="H58" s="51">
        <f>MPR!H58+KARACHI!H58+SINDH!H58+'GILGIT -BALTISTAN'!H58+'AZAD - KASHMIR'!H58+KPK!H58</f>
        <v>5</v>
      </c>
      <c r="I58" s="51">
        <f>MPR!I58+KARACHI!I58+SINDH!I58+'GILGIT -BALTISTAN'!I58+'AZAD - KASHMIR'!I58+KPK!I58</f>
        <v>0</v>
      </c>
      <c r="J58" s="51">
        <f>MPR!J58+KARACHI!J58+SINDH!J58+'GILGIT -BALTISTAN'!J58+'AZAD - KASHMIR'!J58+KPK!J58</f>
        <v>8</v>
      </c>
      <c r="K58" s="51">
        <f>MPR!K58+KARACHI!K58+SINDH!K58+'GILGIT -BALTISTAN'!K58+'AZAD - KASHMIR'!K58+KPK!K58</f>
        <v>32</v>
      </c>
      <c r="L58" s="51">
        <f>MPR!L58+KARACHI!L58+SINDH!L58+'GILGIT -BALTISTAN'!L58+'AZAD - KASHMIR'!L58+KPK!L58</f>
        <v>115</v>
      </c>
      <c r="M58" s="51">
        <f>MPR!M58+KARACHI!M58+SINDH!M58+'GILGIT -BALTISTAN'!M58+'AZAD - KASHMIR'!M58+KPK!M58</f>
        <v>135</v>
      </c>
      <c r="N58" s="51">
        <f>MPR!N58+KARACHI!N58+SINDH!N58+'GILGIT -BALTISTAN'!N58+'AZAD - KASHMIR'!N58+KPK!N58</f>
        <v>92</v>
      </c>
      <c r="O58" s="51">
        <f>MPR!O58+KARACHI!O58+SINDH!O58+'GILGIT -BALTISTAN'!O58+'AZAD - KASHMIR'!O58+KPK!O58</f>
        <v>104</v>
      </c>
      <c r="P58" s="51">
        <f>MPR!P58+KARACHI!P58+SINDH!P58+'GILGIT -BALTISTAN'!P58+'AZAD - KASHMIR'!P58+KPK!P58</f>
        <v>80</v>
      </c>
      <c r="Q58" s="51">
        <f>MPR!Q58+KARACHI!Q58+SINDH!Q58+'GILGIT -BALTISTAN'!Q58+'AZAD - KASHMIR'!Q58+KPK!Q58</f>
        <v>59</v>
      </c>
      <c r="R58" s="51">
        <f>MPR!R58+KARACHI!R58+SINDH!R58+'GILGIT -BALTISTAN'!R58+'AZAD - KASHMIR'!R58+KPK!R58</f>
        <v>82</v>
      </c>
      <c r="S58" s="51">
        <f>MPR!S58+KARACHI!S58+SINDH!S58+'GILGIT -BALTISTAN'!S58+'AZAD - KASHMIR'!S58+KPK!S58</f>
        <v>70</v>
      </c>
      <c r="T58" s="51">
        <f>MPR!T58+KARACHI!T58+SINDH!T58+'GILGIT -BALTISTAN'!T58+'AZAD - KASHMIR'!T58+KPK!T58</f>
        <v>86</v>
      </c>
      <c r="U58" s="51">
        <f>MPR!U58+KARACHI!U58+SINDH!U58+'GILGIT -BALTISTAN'!U58+'AZAD - KASHMIR'!U58+KPK!U58</f>
        <v>68</v>
      </c>
      <c r="V58" s="51">
        <f>MPR!V58+KARACHI!V58+SINDH!V58+'GILGIT -BALTISTAN'!V58+'AZAD - KASHMIR'!V58+KPK!V58</f>
        <v>125</v>
      </c>
      <c r="W58" s="51">
        <f>MPR!W58+KARACHI!W58+SINDH!W58+'GILGIT -BALTISTAN'!W58+'AZAD - KASHMIR'!W58+KPK!W58</f>
        <v>80</v>
      </c>
      <c r="X58" s="51">
        <f>SUM(H58+J58+L58+N58+P58+R58+T58+V58)</f>
        <v>593</v>
      </c>
      <c r="Y58" s="51">
        <f>SUM(I58+K58+M58+O58+Q58+S58+U58+W58)</f>
        <v>548</v>
      </c>
    </row>
    <row r="59" spans="1:25" ht="18" customHeight="1" x14ac:dyDescent="0.25">
      <c r="A59" s="106" t="s">
        <v>42</v>
      </c>
      <c r="B59" s="107"/>
      <c r="C59" s="107"/>
      <c r="D59" s="107"/>
      <c r="E59" s="107"/>
      <c r="F59" s="107"/>
      <c r="G59" s="108"/>
      <c r="H59" s="51">
        <f>MPR!H59+KARACHI!H59+SINDH!H59+'GILGIT -BALTISTAN'!H59+'AZAD - KASHMIR'!H59+KPK!H59</f>
        <v>143</v>
      </c>
      <c r="I59" s="51">
        <f>MPR!I59+KARACHI!I59+SINDH!I59+'GILGIT -BALTISTAN'!I59+'AZAD - KASHMIR'!I59+KPK!I59</f>
        <v>110</v>
      </c>
      <c r="J59" s="51">
        <f>MPR!J59+KARACHI!J59+SINDH!J59+'GILGIT -BALTISTAN'!J59+'AZAD - KASHMIR'!J59+KPK!J59</f>
        <v>57</v>
      </c>
      <c r="K59" s="51">
        <f>MPR!K59+KARACHI!K59+SINDH!K59+'GILGIT -BALTISTAN'!K59+'AZAD - KASHMIR'!K59+KPK!K59</f>
        <v>72</v>
      </c>
      <c r="L59" s="51">
        <f>MPR!L59+KARACHI!L59+SINDH!L59+'GILGIT -BALTISTAN'!L59+'AZAD - KASHMIR'!L59+KPK!L59</f>
        <v>64</v>
      </c>
      <c r="M59" s="51">
        <f>MPR!M59+KARACHI!M59+SINDH!M59+'GILGIT -BALTISTAN'!M59+'AZAD - KASHMIR'!M59+KPK!M59</f>
        <v>90</v>
      </c>
      <c r="N59" s="51">
        <f>MPR!N59+KARACHI!N59+SINDH!N59+'GILGIT -BALTISTAN'!N59+'AZAD - KASHMIR'!N59+KPK!N59</f>
        <v>61</v>
      </c>
      <c r="O59" s="51">
        <f>MPR!O59+KARACHI!O59+SINDH!O59+'GILGIT -BALTISTAN'!O59+'AZAD - KASHMIR'!O59+KPK!O59</f>
        <v>71</v>
      </c>
      <c r="P59" s="51">
        <f>MPR!P59+KARACHI!P59+SINDH!P59+'GILGIT -BALTISTAN'!P59+'AZAD - KASHMIR'!P59+KPK!P59</f>
        <v>58</v>
      </c>
      <c r="Q59" s="51">
        <f>MPR!Q59+KARACHI!Q59+SINDH!Q59+'GILGIT -BALTISTAN'!Q59+'AZAD - KASHMIR'!Q59+KPK!Q59</f>
        <v>58</v>
      </c>
      <c r="R59" s="51">
        <f>MPR!R59+KARACHI!R59+SINDH!R59+'GILGIT -BALTISTAN'!R59+'AZAD - KASHMIR'!R59+KPK!R59</f>
        <v>59</v>
      </c>
      <c r="S59" s="51">
        <f>MPR!S59+KARACHI!S59+SINDH!S59+'GILGIT -BALTISTAN'!S59+'AZAD - KASHMIR'!S59+KPK!S59</f>
        <v>51</v>
      </c>
      <c r="T59" s="51">
        <f>MPR!T59+KARACHI!T59+SINDH!T59+'GILGIT -BALTISTAN'!T59+'AZAD - KASHMIR'!T59+KPK!T59</f>
        <v>51</v>
      </c>
      <c r="U59" s="51">
        <f>MPR!U59+KARACHI!U59+SINDH!U59+'GILGIT -BALTISTAN'!U59+'AZAD - KASHMIR'!U59+KPK!U59</f>
        <v>69</v>
      </c>
      <c r="V59" s="51">
        <f>MPR!V59+KARACHI!V59+SINDH!V59+'GILGIT -BALTISTAN'!V59+'AZAD - KASHMIR'!V59+KPK!V59</f>
        <v>92</v>
      </c>
      <c r="W59" s="51">
        <f>MPR!W59+KARACHI!W59+SINDH!W59+'GILGIT -BALTISTAN'!W59+'AZAD - KASHMIR'!W59+KPK!W59</f>
        <v>47</v>
      </c>
      <c r="X59" s="51">
        <f t="shared" ref="X59:X61" si="4">SUM(H59+J59+L59+N59+P59+R59+T59+V59)</f>
        <v>585</v>
      </c>
      <c r="Y59" s="51">
        <f t="shared" ref="Y59:Y61" si="5">SUM(I59+K59+M59+O59+Q59+S59+U59+W59)</f>
        <v>568</v>
      </c>
    </row>
    <row r="60" spans="1:25" ht="18" customHeight="1" x14ac:dyDescent="0.25">
      <c r="A60" s="106" t="s">
        <v>43</v>
      </c>
      <c r="B60" s="107"/>
      <c r="C60" s="107"/>
      <c r="D60" s="107"/>
      <c r="E60" s="107"/>
      <c r="F60" s="107"/>
      <c r="G60" s="108"/>
      <c r="H60" s="51">
        <f>MPR!H60+KARACHI!H60+SINDH!H60+'GILGIT -BALTISTAN'!H60+'AZAD - KASHMIR'!H60+KPK!H60</f>
        <v>0</v>
      </c>
      <c r="I60" s="51">
        <f>MPR!I60+KARACHI!I60+SINDH!I60+'GILGIT -BALTISTAN'!I60+'AZAD - KASHMIR'!I60+KPK!I60</f>
        <v>0</v>
      </c>
      <c r="J60" s="51">
        <f>MPR!J60+KARACHI!J60+SINDH!J60+'GILGIT -BALTISTAN'!J60+'AZAD - KASHMIR'!J60+KPK!J60</f>
        <v>0</v>
      </c>
      <c r="K60" s="51">
        <f>MPR!K60+KARACHI!K60+SINDH!K60+'GILGIT -BALTISTAN'!K60+'AZAD - KASHMIR'!K60+KPK!K60</f>
        <v>0</v>
      </c>
      <c r="L60" s="51">
        <f>MPR!L60+KARACHI!L60+SINDH!L60+'GILGIT -BALTISTAN'!L60+'AZAD - KASHMIR'!L60+KPK!L60</f>
        <v>0</v>
      </c>
      <c r="M60" s="51">
        <f>MPR!M60+KARACHI!M60+SINDH!M60+'GILGIT -BALTISTAN'!M60+'AZAD - KASHMIR'!M60+KPK!M60</f>
        <v>0</v>
      </c>
      <c r="N60" s="51">
        <f>MPR!N60+KARACHI!N60+SINDH!N60+'GILGIT -BALTISTAN'!N60+'AZAD - KASHMIR'!N60+KPK!N60</f>
        <v>0</v>
      </c>
      <c r="O60" s="51">
        <f>MPR!O60+KARACHI!O60+SINDH!O60+'GILGIT -BALTISTAN'!O60+'AZAD - KASHMIR'!O60+KPK!O60</f>
        <v>0</v>
      </c>
      <c r="P60" s="51">
        <f>MPR!P60+KARACHI!P60+SINDH!P60+'GILGIT -BALTISTAN'!P60+'AZAD - KASHMIR'!P60+KPK!P60</f>
        <v>0</v>
      </c>
      <c r="Q60" s="51">
        <f>MPR!Q60+KARACHI!Q60+SINDH!Q60+'GILGIT -BALTISTAN'!Q60+'AZAD - KASHMIR'!Q60+KPK!Q60</f>
        <v>0</v>
      </c>
      <c r="R60" s="51">
        <f>MPR!R60+KARACHI!R60+SINDH!R60+'GILGIT -BALTISTAN'!R60+'AZAD - KASHMIR'!R60+KPK!R60</f>
        <v>0</v>
      </c>
      <c r="S60" s="51">
        <f>MPR!S60+KARACHI!S60+SINDH!S60+'GILGIT -BALTISTAN'!S60+'AZAD - KASHMIR'!S60+KPK!S60</f>
        <v>0</v>
      </c>
      <c r="T60" s="51">
        <f>MPR!T60+KARACHI!T60+SINDH!T60+'GILGIT -BALTISTAN'!T60+'AZAD - KASHMIR'!T60+KPK!T60</f>
        <v>0</v>
      </c>
      <c r="U60" s="51">
        <f>MPR!U60+KARACHI!U60+SINDH!U60+'GILGIT -BALTISTAN'!U60+'AZAD - KASHMIR'!U60+KPK!U60</f>
        <v>0</v>
      </c>
      <c r="V60" s="51">
        <f>MPR!V60+KARACHI!V60+SINDH!V60+'GILGIT -BALTISTAN'!V60+'AZAD - KASHMIR'!V60+KPK!V60</f>
        <v>0</v>
      </c>
      <c r="W60" s="51">
        <f>MPR!W60+KARACHI!W60+SINDH!W60+'GILGIT -BALTISTAN'!W60+'AZAD - KASHMIR'!W60+KPK!W60</f>
        <v>0</v>
      </c>
      <c r="X60" s="51">
        <f t="shared" si="4"/>
        <v>0</v>
      </c>
      <c r="Y60" s="51">
        <f t="shared" si="5"/>
        <v>0</v>
      </c>
    </row>
    <row r="61" spans="1:25" ht="18" customHeight="1" x14ac:dyDescent="0.25">
      <c r="A61" s="106" t="s">
        <v>44</v>
      </c>
      <c r="B61" s="107"/>
      <c r="C61" s="107"/>
      <c r="D61" s="107"/>
      <c r="E61" s="107"/>
      <c r="F61" s="107"/>
      <c r="G61" s="108"/>
      <c r="H61" s="51">
        <f>MPR!H61+KARACHI!H61+SINDH!H61+'GILGIT -BALTISTAN'!H61+'AZAD - KASHMIR'!H61+KPK!H61</f>
        <v>32</v>
      </c>
      <c r="I61" s="51">
        <f>MPR!I61+KARACHI!I61+SINDH!I61+'GILGIT -BALTISTAN'!I61+'AZAD - KASHMIR'!I61+KPK!I61</f>
        <v>18</v>
      </c>
      <c r="J61" s="51">
        <f>MPR!J61+KARACHI!J61+SINDH!J61+'GILGIT -BALTISTAN'!J61+'AZAD - KASHMIR'!J61+KPK!J61</f>
        <v>49</v>
      </c>
      <c r="K61" s="51">
        <f>MPR!K61+KARACHI!K61+SINDH!K61+'GILGIT -BALTISTAN'!K61+'AZAD - KASHMIR'!K61+KPK!K61</f>
        <v>51</v>
      </c>
      <c r="L61" s="51">
        <f>MPR!L61+KARACHI!L61+SINDH!L61+'GILGIT -BALTISTAN'!L61+'AZAD - KASHMIR'!L61+KPK!L61</f>
        <v>91</v>
      </c>
      <c r="M61" s="51">
        <f>MPR!M61+KARACHI!M61+SINDH!M61+'GILGIT -BALTISTAN'!M61+'AZAD - KASHMIR'!M61+KPK!M61</f>
        <v>72</v>
      </c>
      <c r="N61" s="51">
        <f>MPR!N61+KARACHI!N61+SINDH!N61+'GILGIT -BALTISTAN'!N61+'AZAD - KASHMIR'!N61+KPK!N61</f>
        <v>77</v>
      </c>
      <c r="O61" s="51">
        <f>MPR!O61+KARACHI!O61+SINDH!O61+'GILGIT -BALTISTAN'!O61+'AZAD - KASHMIR'!O61+KPK!O61</f>
        <v>66</v>
      </c>
      <c r="P61" s="51">
        <f>MPR!P61+KARACHI!P61+SINDH!P61+'GILGIT -BALTISTAN'!P61+'AZAD - KASHMIR'!P61+KPK!P61</f>
        <v>46</v>
      </c>
      <c r="Q61" s="51">
        <f>MPR!Q61+KARACHI!Q61+SINDH!Q61+'GILGIT -BALTISTAN'!Q61+'AZAD - KASHMIR'!Q61+KPK!Q61</f>
        <v>55</v>
      </c>
      <c r="R61" s="51">
        <f>MPR!R61+KARACHI!R61+SINDH!R61+'GILGIT -BALTISTAN'!R61+'AZAD - KASHMIR'!R61+KPK!R61</f>
        <v>39</v>
      </c>
      <c r="S61" s="51">
        <f>MPR!S61+KARACHI!S61+SINDH!S61+'GILGIT -BALTISTAN'!S61+'AZAD - KASHMIR'!S61+KPK!S61</f>
        <v>33</v>
      </c>
      <c r="T61" s="51">
        <f>MPR!T61+KARACHI!T61+SINDH!T61+'GILGIT -BALTISTAN'!T61+'AZAD - KASHMIR'!T61+KPK!T61</f>
        <v>49</v>
      </c>
      <c r="U61" s="51">
        <f>MPR!U61+KARACHI!U61+SINDH!U61+'GILGIT -BALTISTAN'!U61+'AZAD - KASHMIR'!U61+KPK!U61</f>
        <v>28</v>
      </c>
      <c r="V61" s="51">
        <f>MPR!V61+KARACHI!V61+SINDH!V61+'GILGIT -BALTISTAN'!V61+'AZAD - KASHMIR'!V61+KPK!V61</f>
        <v>48</v>
      </c>
      <c r="W61" s="51">
        <f>MPR!W61+KARACHI!W61+SINDH!W61+'GILGIT -BALTISTAN'!W61+'AZAD - KASHMIR'!W61+KPK!W61</f>
        <v>39</v>
      </c>
      <c r="X61" s="51">
        <f t="shared" si="4"/>
        <v>431</v>
      </c>
      <c r="Y61" s="51">
        <f t="shared" si="5"/>
        <v>362</v>
      </c>
    </row>
    <row r="62" spans="1:25" ht="18" customHeight="1" x14ac:dyDescent="0.25">
      <c r="A62" s="106" t="s">
        <v>7</v>
      </c>
      <c r="B62" s="107"/>
      <c r="C62" s="107"/>
      <c r="D62" s="107"/>
      <c r="E62" s="107"/>
      <c r="F62" s="107"/>
      <c r="G62" s="108"/>
      <c r="H62" s="51">
        <f>SUM(H58:H61)</f>
        <v>180</v>
      </c>
      <c r="I62" s="51">
        <f>SUM(I58:I61)</f>
        <v>128</v>
      </c>
      <c r="J62" s="51">
        <f>SUM(J58:J61)</f>
        <v>114</v>
      </c>
      <c r="K62" s="51">
        <f t="shared" ref="K62:Y62" si="6">SUM(K58:K61)</f>
        <v>155</v>
      </c>
      <c r="L62" s="51">
        <f t="shared" si="6"/>
        <v>270</v>
      </c>
      <c r="M62" s="51">
        <f t="shared" si="6"/>
        <v>297</v>
      </c>
      <c r="N62" s="51">
        <f t="shared" si="6"/>
        <v>230</v>
      </c>
      <c r="O62" s="51">
        <f t="shared" si="6"/>
        <v>241</v>
      </c>
      <c r="P62" s="51">
        <f t="shared" si="6"/>
        <v>184</v>
      </c>
      <c r="Q62" s="51">
        <f t="shared" si="6"/>
        <v>172</v>
      </c>
      <c r="R62" s="51">
        <f t="shared" si="6"/>
        <v>180</v>
      </c>
      <c r="S62" s="51">
        <f t="shared" si="6"/>
        <v>154</v>
      </c>
      <c r="T62" s="51">
        <f t="shared" si="6"/>
        <v>186</v>
      </c>
      <c r="U62" s="51">
        <f t="shared" si="6"/>
        <v>165</v>
      </c>
      <c r="V62" s="51">
        <f t="shared" si="6"/>
        <v>265</v>
      </c>
      <c r="W62" s="51">
        <f t="shared" si="6"/>
        <v>166</v>
      </c>
      <c r="X62" s="51">
        <f t="shared" si="6"/>
        <v>1609</v>
      </c>
      <c r="Y62" s="51">
        <f t="shared" si="6"/>
        <v>1478</v>
      </c>
    </row>
    <row r="63" spans="1:25" ht="6.75" customHeight="1" x14ac:dyDescent="0.25">
      <c r="A63" s="11"/>
      <c r="B63" s="12"/>
      <c r="C63" s="12"/>
      <c r="D63" s="12"/>
      <c r="E63" s="12"/>
      <c r="F63" s="13"/>
      <c r="G63" s="13"/>
      <c r="H63" s="13"/>
      <c r="I63" s="13"/>
      <c r="J63" s="13"/>
      <c r="K63" s="13"/>
      <c r="L63" s="14"/>
      <c r="M63" s="13"/>
      <c r="N63" s="15"/>
      <c r="O63" s="16"/>
      <c r="P63" s="13"/>
      <c r="Q63" s="13"/>
      <c r="R63" s="13"/>
      <c r="S63" s="13"/>
      <c r="T63" s="13"/>
      <c r="U63" s="13"/>
      <c r="V63" s="13"/>
      <c r="W63" s="13"/>
      <c r="X63" s="13"/>
      <c r="Y63" s="17"/>
    </row>
    <row r="64" spans="1:25" ht="18" customHeight="1" x14ac:dyDescent="0.3">
      <c r="A64" s="18" t="s">
        <v>47</v>
      </c>
      <c r="B64" s="19"/>
      <c r="C64" s="19"/>
      <c r="D64" s="19"/>
      <c r="E64" s="19"/>
      <c r="F64" s="19"/>
      <c r="G64" s="19"/>
      <c r="H64" s="19"/>
      <c r="I64" s="19"/>
      <c r="J64" s="19"/>
      <c r="K64" s="20"/>
      <c r="L64" s="21"/>
      <c r="M64" s="18" t="s">
        <v>48</v>
      </c>
      <c r="N64" s="19"/>
      <c r="O64" s="19"/>
      <c r="P64" s="19"/>
      <c r="Q64" s="22"/>
      <c r="R64" s="22"/>
      <c r="S64" s="22"/>
      <c r="T64" s="22"/>
      <c r="U64" s="22"/>
      <c r="V64" s="22"/>
      <c r="W64" s="22"/>
      <c r="X64" s="22"/>
      <c r="Y64" s="23"/>
    </row>
    <row r="65" spans="1:25" ht="50.25" customHeight="1" x14ac:dyDescent="0.25">
      <c r="A65" s="101" t="s">
        <v>49</v>
      </c>
      <c r="B65" s="101" t="s">
        <v>50</v>
      </c>
      <c r="C65" s="101" t="s">
        <v>51</v>
      </c>
      <c r="D65" s="77" t="s">
        <v>52</v>
      </c>
      <c r="E65" s="78"/>
      <c r="F65" s="77" t="s">
        <v>53</v>
      </c>
      <c r="G65" s="79"/>
      <c r="H65" s="79"/>
      <c r="I65" s="78"/>
      <c r="J65" s="101" t="s">
        <v>54</v>
      </c>
      <c r="K65" s="101" t="s">
        <v>55</v>
      </c>
      <c r="L65" s="24"/>
      <c r="M65" s="86" t="s">
        <v>56</v>
      </c>
      <c r="N65" s="88"/>
      <c r="O65" s="86" t="s">
        <v>57</v>
      </c>
      <c r="P65" s="88"/>
      <c r="Q65" s="86" t="s">
        <v>58</v>
      </c>
      <c r="R65" s="87"/>
      <c r="S65" s="87"/>
      <c r="T65" s="87"/>
      <c r="U65" s="87"/>
      <c r="V65" s="87"/>
      <c r="W65" s="87"/>
      <c r="X65" s="87"/>
      <c r="Y65" s="88"/>
    </row>
    <row r="66" spans="1:25" ht="26.25" customHeight="1" x14ac:dyDescent="0.25">
      <c r="A66" s="102"/>
      <c r="B66" s="102"/>
      <c r="C66" s="102"/>
      <c r="D66" s="25" t="s">
        <v>59</v>
      </c>
      <c r="E66" s="25" t="s">
        <v>60</v>
      </c>
      <c r="F66" s="26" t="s">
        <v>59</v>
      </c>
      <c r="G66" s="26" t="s">
        <v>60</v>
      </c>
      <c r="H66" s="26" t="s">
        <v>61</v>
      </c>
      <c r="I66" s="26" t="s">
        <v>62</v>
      </c>
      <c r="J66" s="102"/>
      <c r="K66" s="102"/>
      <c r="L66" s="24"/>
      <c r="M66" s="193">
        <f>MPR!M66+KARACHI!M66+SINDH!M66+'GILGIT -BALTISTAN'!M66:N66+'AZAD - KASHMIR'!M66:N66+KPK!M66</f>
        <v>150</v>
      </c>
      <c r="N66" s="92"/>
      <c r="O66" s="193">
        <f>MPR!O66+KARACHI!O66+SINDH!O66+'GILGIT -BALTISTAN'!O66:P66+'AZAD - KASHMIR'!O66:P66+KPK!O66</f>
        <v>0</v>
      </c>
      <c r="P66" s="92"/>
      <c r="Q66" s="194">
        <f>MPR!Q66+KARACHI!Q66+SINDH!Q66+'GILGIT -BALTISTAN'!Q66:Y66+'AZAD - KASHMIR'!Q66:Y66+KPK!Q66</f>
        <v>0</v>
      </c>
      <c r="R66" s="87"/>
      <c r="S66" s="87"/>
      <c r="T66" s="87"/>
      <c r="U66" s="87"/>
      <c r="V66" s="87"/>
      <c r="W66" s="87"/>
      <c r="X66" s="87"/>
      <c r="Y66" s="88"/>
    </row>
    <row r="67" spans="1:25" ht="45" customHeight="1" x14ac:dyDescent="0.25">
      <c r="A67" s="103">
        <f>MPR!A67+KARACHI!A67+SINDH!A67+'GILGIT -BALTISTAN'!A67:A71+'AZAD - KASHMIR'!A67:A71+KPK!A67</f>
        <v>567409</v>
      </c>
      <c r="B67" s="103">
        <f>MPR!B67+KARACHI!B67+SINDH!B67+'GILGIT -BALTISTAN'!B67:B71+'AZAD - KASHMIR'!B67:B71+KPK!B67</f>
        <v>13268</v>
      </c>
      <c r="C67" s="103">
        <f>MPR!C67+KARACHI!C67+SINDH!C67+'GILGIT -BALTISTAN'!C67:C71+'AZAD - KASHMIR'!C67:C71+KPK!C67</f>
        <v>1713</v>
      </c>
      <c r="D67" s="103">
        <f>MPR!D67+KARACHI!D67+SINDH!D67+'GILGIT -BALTISTAN'!D67:D71+'AZAD - KASHMIR'!D67:D71+KPK!D67</f>
        <v>7008</v>
      </c>
      <c r="E67" s="103">
        <f>MPR!E67+KARACHI!E67+SINDH!E67+'GILGIT -BALTISTAN'!E67:E71+'AZAD - KASHMIR'!E67:E71+KPK!E67</f>
        <v>6280</v>
      </c>
      <c r="F67" s="103">
        <f>MPR!F67+KARACHI!F67+SINDH!F67+'GILGIT -BALTISTAN'!F67:F71+'AZAD - KASHMIR'!F67:F71+KPK!F67</f>
        <v>107</v>
      </c>
      <c r="G67" s="103">
        <f>MPR!G67+KARACHI!G67+SINDH!G67+'GILGIT -BALTISTAN'!G67:G71+'AZAD - KASHMIR'!G67:G71+KPK!G67</f>
        <v>67</v>
      </c>
      <c r="H67" s="103">
        <f>MPR!H67+KARACHI!H67+SINDH!H67+'GILGIT -BALTISTAN'!H67:H71+'AZAD - KASHMIR'!H67:H71+KPK!H67</f>
        <v>1009</v>
      </c>
      <c r="I67" s="103">
        <f>SUM(F67:H71)</f>
        <v>1183</v>
      </c>
      <c r="J67" s="103">
        <f>MPR!J67+KARACHI!J67+SINDH!J67+'GILGIT -BALTISTAN'!J67:J71+'AZAD - KASHMIR'!J67:J71+KPK!J67</f>
        <v>1129</v>
      </c>
      <c r="K67" s="103">
        <f>MPR!K67+KARACHI!K67+SINDH!K67+'GILGIT -BALTISTAN'!K67:K71+'AZAD - KASHMIR'!K67:K71+KPK!K67</f>
        <v>1857</v>
      </c>
      <c r="L67" s="24"/>
      <c r="M67" s="91" t="s">
        <v>63</v>
      </c>
      <c r="N67" s="92"/>
      <c r="O67" s="91" t="s">
        <v>64</v>
      </c>
      <c r="P67" s="92"/>
      <c r="Q67" s="95" t="s">
        <v>65</v>
      </c>
      <c r="R67" s="99"/>
      <c r="S67" s="96"/>
      <c r="T67" s="95" t="s">
        <v>66</v>
      </c>
      <c r="U67" s="99"/>
      <c r="V67" s="99"/>
      <c r="W67" s="99"/>
      <c r="X67" s="99"/>
      <c r="Y67" s="96"/>
    </row>
    <row r="68" spans="1:25" ht="15" customHeight="1" x14ac:dyDescent="0.25">
      <c r="A68" s="189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27"/>
      <c r="M68" s="91">
        <f>MPR!M68+KARACHI!M68+SINDH!M68+'GILGIT -BALTISTAN'!M68:N71+'AZAD - KASHMIR'!M68:N71+KPK!M68</f>
        <v>0</v>
      </c>
      <c r="N68" s="92"/>
      <c r="O68" s="91">
        <f>MPR!O68+KARACHI!O68+SINDH!O68+'GILGIT -BALTISTAN'!O68:P71+'AZAD - KASHMIR'!O68:P71+KPK!O68</f>
        <v>0</v>
      </c>
      <c r="P68" s="92"/>
      <c r="Q68" s="91">
        <f>MPR!Q68+KARACHI!Q68+SINDH!Q68+'GILGIT -BALTISTAN'!Q68:S71+'AZAD - KASHMIR'!Q68:S71+KPK!Q68</f>
        <v>0</v>
      </c>
      <c r="R68" s="97"/>
      <c r="S68" s="92"/>
      <c r="T68" s="28"/>
      <c r="U68" s="86" t="s">
        <v>0</v>
      </c>
      <c r="V68" s="88"/>
      <c r="W68" s="29" t="s">
        <v>1</v>
      </c>
      <c r="X68" s="86" t="s">
        <v>67</v>
      </c>
      <c r="Y68" s="88"/>
    </row>
    <row r="69" spans="1:25" x14ac:dyDescent="0.25">
      <c r="A69" s="189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27"/>
      <c r="M69" s="93"/>
      <c r="N69" s="94"/>
      <c r="O69" s="93"/>
      <c r="P69" s="94"/>
      <c r="Q69" s="93"/>
      <c r="R69" s="98"/>
      <c r="S69" s="94"/>
      <c r="T69" s="30" t="s">
        <v>68</v>
      </c>
      <c r="U69" s="100">
        <f>MPR!U69+KARACHI!U69+SINDH!U69+'GILGIT -BALTISTAN'!U69:V69+'AZAD - KASHMIR'!U69:V69+KPK!U69</f>
        <v>0</v>
      </c>
      <c r="V69" s="100"/>
      <c r="W69" s="29">
        <f>MPR!W69+KARACHI!W69+SINDH!W69+'GILGIT -BALTISTAN'!W69+'AZAD - KASHMIR'!W69+KPK!W69</f>
        <v>0</v>
      </c>
      <c r="X69" s="100">
        <f>MPR!X69+KARACHI!X69+SINDH!X69+'GILGIT -BALTISTAN'!X69:Y69+'AZAD - KASHMIR'!X69:Y69+KPK!X69</f>
        <v>0</v>
      </c>
      <c r="Y69" s="100"/>
    </row>
    <row r="70" spans="1:25" x14ac:dyDescent="0.25">
      <c r="A70" s="189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27"/>
      <c r="M70" s="93"/>
      <c r="N70" s="94"/>
      <c r="O70" s="93"/>
      <c r="P70" s="94"/>
      <c r="Q70" s="93"/>
      <c r="R70" s="98"/>
      <c r="S70" s="94"/>
      <c r="T70" s="30" t="s">
        <v>69</v>
      </c>
      <c r="U70" s="100">
        <f>MPR!U70+KARACHI!U70+SINDH!U70+'GILGIT -BALTISTAN'!U70:V70+'AZAD - KASHMIR'!U70:V70+KPK!U70</f>
        <v>0</v>
      </c>
      <c r="V70" s="100"/>
      <c r="W70" s="29">
        <f>MPR!W70+KARACHI!W70+SINDH!W70+'GILGIT -BALTISTAN'!W70+'AZAD - KASHMIR'!W70+KPK!W70</f>
        <v>0</v>
      </c>
      <c r="X70" s="100">
        <f>MPR!X70+KARACHI!X70+SINDH!X70+'GILGIT -BALTISTAN'!X70:Y70+'AZAD - KASHMIR'!X70:Y70+KPK!X70</f>
        <v>0</v>
      </c>
      <c r="Y70" s="100"/>
    </row>
    <row r="71" spans="1:25" x14ac:dyDescent="0.25">
      <c r="A71" s="165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27"/>
      <c r="M71" s="95"/>
      <c r="N71" s="96"/>
      <c r="O71" s="95"/>
      <c r="P71" s="96"/>
      <c r="Q71" s="95"/>
      <c r="R71" s="99"/>
      <c r="S71" s="96"/>
      <c r="T71" s="30" t="s">
        <v>70</v>
      </c>
      <c r="U71" s="100">
        <f>MPR!U71+KARACHI!U71+SINDH!U71+'GILGIT -BALTISTAN'!U71:V71+'AZAD - KASHMIR'!U71:V71+KPK!U71</f>
        <v>0</v>
      </c>
      <c r="V71" s="100"/>
      <c r="W71" s="29">
        <f>MPR!W71+KARACHI!W71+SINDH!W71+'GILGIT -BALTISTAN'!W71+'AZAD - KASHMIR'!W71+KPK!W71</f>
        <v>0</v>
      </c>
      <c r="X71" s="100">
        <f>MPR!X71+KARACHI!X71+SINDH!X71+'GILGIT -BALTISTAN'!X71:Y71+'AZAD - KASHMIR'!X71:Y71+KPK!X71</f>
        <v>0</v>
      </c>
      <c r="Y71" s="100"/>
    </row>
    <row r="72" spans="1:25" ht="6" customHeight="1" x14ac:dyDescent="0.25">
      <c r="A72" s="31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3"/>
      <c r="M72" s="32"/>
      <c r="N72" s="32"/>
      <c r="O72" s="32"/>
      <c r="P72" s="32"/>
      <c r="Q72" s="32"/>
      <c r="R72" s="34"/>
      <c r="S72" s="34"/>
      <c r="T72" s="34"/>
      <c r="U72" s="34"/>
      <c r="V72" s="34"/>
      <c r="W72" s="32"/>
      <c r="X72" s="32"/>
      <c r="Y72" s="7"/>
    </row>
    <row r="73" spans="1:25" ht="15.6" x14ac:dyDescent="0.3">
      <c r="A73" s="18" t="s">
        <v>71</v>
      </c>
      <c r="B73" s="19"/>
      <c r="C73" s="19"/>
      <c r="D73" s="19"/>
      <c r="E73" s="19"/>
      <c r="F73" s="19"/>
      <c r="G73" s="19"/>
      <c r="H73" s="19"/>
      <c r="I73" s="19"/>
      <c r="J73" s="19"/>
      <c r="K73" s="20"/>
      <c r="L73" s="35"/>
      <c r="M73" s="18" t="s">
        <v>72</v>
      </c>
      <c r="N73" s="20"/>
      <c r="O73" s="36"/>
      <c r="P73" s="19"/>
      <c r="Q73" s="19"/>
      <c r="R73" s="19"/>
      <c r="S73" s="19"/>
      <c r="T73" s="19"/>
      <c r="U73" s="19"/>
      <c r="V73" s="19"/>
      <c r="W73" s="22"/>
      <c r="X73" s="22"/>
      <c r="Y73" s="37"/>
    </row>
    <row r="74" spans="1:25" ht="63" customHeight="1" x14ac:dyDescent="0.25">
      <c r="A74" s="71"/>
      <c r="B74" s="72"/>
      <c r="C74" s="72"/>
      <c r="D74" s="72"/>
      <c r="E74" s="73"/>
      <c r="F74" s="68" t="s">
        <v>12</v>
      </c>
      <c r="G74" s="70"/>
      <c r="H74" s="68" t="s">
        <v>13</v>
      </c>
      <c r="I74" s="70"/>
      <c r="J74" s="38" t="s">
        <v>73</v>
      </c>
      <c r="K74" s="39"/>
      <c r="L74" s="40"/>
      <c r="M74" s="77" t="s">
        <v>74</v>
      </c>
      <c r="N74" s="78"/>
      <c r="O74" s="77" t="s">
        <v>75</v>
      </c>
      <c r="P74" s="78"/>
      <c r="Q74" s="77" t="s">
        <v>76</v>
      </c>
      <c r="R74" s="78"/>
      <c r="S74" s="77" t="s">
        <v>77</v>
      </c>
      <c r="T74" s="79"/>
      <c r="U74" s="79"/>
      <c r="V74" s="78"/>
      <c r="W74" s="77" t="s">
        <v>78</v>
      </c>
      <c r="X74" s="79"/>
      <c r="Y74" s="78"/>
    </row>
    <row r="75" spans="1:25" x14ac:dyDescent="0.25">
      <c r="A75" s="74"/>
      <c r="B75" s="75"/>
      <c r="C75" s="75"/>
      <c r="D75" s="75"/>
      <c r="E75" s="76"/>
      <c r="F75" s="10" t="s">
        <v>79</v>
      </c>
      <c r="G75" s="10" t="s">
        <v>14</v>
      </c>
      <c r="H75" s="10" t="s">
        <v>79</v>
      </c>
      <c r="I75" s="10" t="s">
        <v>14</v>
      </c>
      <c r="J75" s="10" t="s">
        <v>79</v>
      </c>
      <c r="K75" s="10" t="s">
        <v>14</v>
      </c>
      <c r="L75" s="41"/>
      <c r="M75" s="42" t="s">
        <v>80</v>
      </c>
      <c r="N75" s="42" t="s">
        <v>81</v>
      </c>
      <c r="O75" s="42" t="s">
        <v>80</v>
      </c>
      <c r="P75" s="43" t="s">
        <v>81</v>
      </c>
      <c r="Q75" s="42" t="s">
        <v>80</v>
      </c>
      <c r="R75" s="42" t="s">
        <v>81</v>
      </c>
      <c r="S75" s="44"/>
      <c r="T75" s="42" t="s">
        <v>0</v>
      </c>
      <c r="U75" s="45" t="s">
        <v>1</v>
      </c>
      <c r="V75" s="46" t="s">
        <v>82</v>
      </c>
      <c r="W75" s="42" t="s">
        <v>0</v>
      </c>
      <c r="X75" s="45" t="s">
        <v>1</v>
      </c>
      <c r="Y75" s="46" t="s">
        <v>82</v>
      </c>
    </row>
    <row r="76" spans="1:25" ht="14.4" x14ac:dyDescent="0.3">
      <c r="A76" s="80" t="s">
        <v>83</v>
      </c>
      <c r="B76" s="81"/>
      <c r="C76" s="81"/>
      <c r="D76" s="81"/>
      <c r="E76" s="82"/>
      <c r="F76" s="57">
        <f>MPR!F76+KARACHI!F76+SINDH!F76+'GILGIT -BALTISTAN'!F76+'AZAD - KASHMIR'!F76+KPK!F76</f>
        <v>1014</v>
      </c>
      <c r="G76" s="57">
        <f>MPR!G76+KARACHI!G76+SINDH!G76+'GILGIT -BALTISTAN'!G76+'AZAD - KASHMIR'!G76+KPK!G76</f>
        <v>2</v>
      </c>
      <c r="H76" s="57">
        <f>MPR!H76+KARACHI!H76+SINDH!H76+'GILGIT -BALTISTAN'!H76+'AZAD - KASHMIR'!H76+KPK!H76</f>
        <v>0</v>
      </c>
      <c r="I76" s="57">
        <f>MPR!I76+KARACHI!I76+SINDH!I76+'GILGIT -BALTISTAN'!I76+'AZAD - KASHMIR'!I76+KPK!I76</f>
        <v>1</v>
      </c>
      <c r="J76" s="57">
        <f>MPR!J76+KARACHI!J76+SINDH!J76+'GILGIT -BALTISTAN'!J76+'AZAD - KASHMIR'!J76+KPK!J76</f>
        <v>0</v>
      </c>
      <c r="K76" s="57">
        <f>MPR!K76+KARACHI!K76+SINDH!K76+'GILGIT -BALTISTAN'!K76+'AZAD - KASHMIR'!K76+KPK!K76</f>
        <v>0</v>
      </c>
      <c r="L76" s="41"/>
      <c r="M76" s="201">
        <f>MPR!M76+KARACHI!M76+SINDH!M76+'GILGIT -BALTISTAN'!M76:M79+'AZAD - KASHMIR'!M76:M79+KPK!M76</f>
        <v>1167</v>
      </c>
      <c r="N76" s="201">
        <f>MPR!N76+KARACHI!N76+SINDH!N76+'GILGIT -BALTISTAN'!N76:N79+'AZAD - KASHMIR'!N76:N79+KPK!N76</f>
        <v>5504</v>
      </c>
      <c r="O76" s="201">
        <f>MPR!O76+KARACHI!O76+SINDH!O76+'GILGIT -BALTISTAN'!O76:O79+'AZAD - KASHMIR'!O76:O79+KPK!O76</f>
        <v>1070</v>
      </c>
      <c r="P76" s="201">
        <f>MPR!P76+KARACHI!P76+SINDH!P76+'GILGIT -BALTISTAN'!P76:P79+'AZAD - KASHMIR'!P76:P79+KPK!P76</f>
        <v>4747</v>
      </c>
      <c r="Q76" s="201">
        <f>MPR!Q76+KARACHI!Q76+SINDH!Q76+'GILGIT -BALTISTAN'!Q76:Q79+'AZAD - KASHMIR'!Q76:Q79+KPK!Q76</f>
        <v>27</v>
      </c>
      <c r="R76" s="201">
        <f>MPR!R76+KARACHI!R76+SINDH!R76+'GILGIT -BALTISTAN'!R76:R79+'AZAD - KASHMIR'!R76:R79+KPK!R76</f>
        <v>224</v>
      </c>
      <c r="S76" s="47" t="s">
        <v>68</v>
      </c>
      <c r="T76" s="66">
        <f>MPR!T76+KARACHI!T76+SINDH!T76+'GILGIT -BALTISTAN'!T76+'AZAD - KASHMIR'!T76+KPK!T76</f>
        <v>0</v>
      </c>
      <c r="U76" s="66">
        <f>MPR!U76+KARACHI!U76+SINDH!U76+'GILGIT -BALTISTAN'!U76+'AZAD - KASHMIR'!U76+KPK!U76</f>
        <v>0</v>
      </c>
      <c r="V76" s="66">
        <f>MPR!V76+KARACHI!V76+SINDH!V76+'GILGIT -BALTISTAN'!V76+'AZAD - KASHMIR'!V76+KPK!V76</f>
        <v>0</v>
      </c>
      <c r="W76" s="66">
        <f>MPR!W76+KARACHI!W76+SINDH!W76+'GILGIT -BALTISTAN'!W76+'AZAD - KASHMIR'!W76+KPK!W76</f>
        <v>0</v>
      </c>
      <c r="X76" s="66">
        <f>MPR!X76+KARACHI!X76+SINDH!X76+'GILGIT -BALTISTAN'!X76+'AZAD - KASHMIR'!X76+KPK!X76</f>
        <v>0</v>
      </c>
      <c r="Y76" s="66">
        <f>MPR!Y76+KARACHI!Y76+SINDH!Y76+'GILGIT -BALTISTAN'!Y76+'AZAD - KASHMIR'!Y76+KPK!Y76</f>
        <v>0</v>
      </c>
    </row>
    <row r="77" spans="1:25" ht="14.4" x14ac:dyDescent="0.3">
      <c r="A77" s="80" t="s">
        <v>8</v>
      </c>
      <c r="B77" s="81"/>
      <c r="C77" s="81"/>
      <c r="D77" s="81"/>
      <c r="E77" s="82"/>
      <c r="F77" s="57">
        <f>MPR!F77+KARACHI!F77+SINDH!F77+'GILGIT -BALTISTAN'!F77+'AZAD - KASHMIR'!F77+KPK!F77</f>
        <v>22</v>
      </c>
      <c r="G77" s="57">
        <f>MPR!G77+KARACHI!G77+SINDH!G77+'GILGIT -BALTISTAN'!G77+'AZAD - KASHMIR'!G77+KPK!G77</f>
        <v>1</v>
      </c>
      <c r="H77" s="57">
        <f>MPR!H77+KARACHI!H77+SINDH!H77+'GILGIT -BALTISTAN'!H77+'AZAD - KASHMIR'!H77+KPK!H77</f>
        <v>0</v>
      </c>
      <c r="I77" s="57">
        <f>MPR!I77+KARACHI!I77+SINDH!I77+'GILGIT -BALTISTAN'!I77+'AZAD - KASHMIR'!I77+KPK!I77</f>
        <v>0</v>
      </c>
      <c r="J77" s="57">
        <f>MPR!J77+KARACHI!J77+SINDH!J77+'GILGIT -BALTISTAN'!J77+'AZAD - KASHMIR'!J77+KPK!J77</f>
        <v>0</v>
      </c>
      <c r="K77" s="57">
        <f>MPR!K77+KARACHI!K77+SINDH!K77+'GILGIT -BALTISTAN'!K77+'AZAD - KASHMIR'!K77+KPK!K77</f>
        <v>1</v>
      </c>
      <c r="L77" s="41"/>
      <c r="M77" s="84"/>
      <c r="N77" s="84"/>
      <c r="O77" s="84"/>
      <c r="P77" s="84"/>
      <c r="Q77" s="84"/>
      <c r="R77" s="84"/>
      <c r="S77" s="47" t="s">
        <v>69</v>
      </c>
      <c r="T77" s="66">
        <f>MPR!T77+KARACHI!T77+SINDH!T77+'GILGIT -BALTISTAN'!T77+'AZAD - KASHMIR'!T77+KPK!T77</f>
        <v>0</v>
      </c>
      <c r="U77" s="66">
        <f>MPR!U77+KARACHI!U77+SINDH!U77+'GILGIT -BALTISTAN'!U77+'AZAD - KASHMIR'!U77+KPK!U77</f>
        <v>0</v>
      </c>
      <c r="V77" s="66">
        <f>MPR!V77+KARACHI!V77+SINDH!V77+'GILGIT -BALTISTAN'!V77+'AZAD - KASHMIR'!V77+KPK!V77</f>
        <v>0</v>
      </c>
      <c r="W77" s="66">
        <f>MPR!W77+KARACHI!W77+SINDH!W77+'GILGIT -BALTISTAN'!W77+'AZAD - KASHMIR'!W77+KPK!W77</f>
        <v>0</v>
      </c>
      <c r="X77" s="66">
        <f>MPR!X77+KARACHI!X77+SINDH!X77+'GILGIT -BALTISTAN'!X77+'AZAD - KASHMIR'!X77+KPK!X77</f>
        <v>0</v>
      </c>
      <c r="Y77" s="66">
        <f>MPR!Y77+KARACHI!Y77+SINDH!Y77+'GILGIT -BALTISTAN'!Y77+'AZAD - KASHMIR'!Y77+KPK!Y77</f>
        <v>0</v>
      </c>
    </row>
    <row r="78" spans="1:25" ht="15" customHeight="1" x14ac:dyDescent="0.25">
      <c r="A78" s="86" t="s">
        <v>84</v>
      </c>
      <c r="B78" s="87"/>
      <c r="C78" s="87"/>
      <c r="D78" s="87"/>
      <c r="E78" s="88"/>
      <c r="F78" s="57">
        <f>MPR!F78+KARACHI!F78+SINDH!F78+'GILGIT -BALTISTAN'!F78+'AZAD - KASHMIR'!F78+KPK!F78</f>
        <v>4</v>
      </c>
      <c r="G78" s="57">
        <f>MPR!G78+KARACHI!G78+SINDH!G78+'GILGIT -BALTISTAN'!G78+'AZAD - KASHMIR'!G78+KPK!G78</f>
        <v>0</v>
      </c>
      <c r="H78" s="57">
        <f>MPR!H78+KARACHI!H78+SINDH!H78+'GILGIT -BALTISTAN'!H78+'AZAD - KASHMIR'!H78+KPK!H78</f>
        <v>0</v>
      </c>
      <c r="I78" s="57">
        <f>MPR!I78+KARACHI!I78+SINDH!I78+'GILGIT -BALTISTAN'!I78+'AZAD - KASHMIR'!I78+KPK!I78</f>
        <v>0</v>
      </c>
      <c r="J78" s="57">
        <f>MPR!J78+KARACHI!J78+SINDH!J78+'GILGIT -BALTISTAN'!J78+'AZAD - KASHMIR'!J78+KPK!J78</f>
        <v>0</v>
      </c>
      <c r="K78" s="57">
        <f>MPR!K78+KARACHI!K78+SINDH!K78+'GILGIT -BALTISTAN'!K78+'AZAD - KASHMIR'!K78+KPK!K78</f>
        <v>0</v>
      </c>
      <c r="L78" s="41"/>
      <c r="M78" s="84"/>
      <c r="N78" s="84"/>
      <c r="O78" s="84"/>
      <c r="P78" s="84"/>
      <c r="Q78" s="84"/>
      <c r="R78" s="84"/>
      <c r="S78" s="89" t="s">
        <v>70</v>
      </c>
      <c r="T78" s="83">
        <f>MPR!T78+KARACHI!T78+SINDH!T78+'GILGIT -BALTISTAN'!T78:T79+'AZAD - KASHMIR'!T78:T79+KPK!T78</f>
        <v>0</v>
      </c>
      <c r="U78" s="83">
        <f>MPR!U78+KARACHI!U78+SINDH!U78+'GILGIT -BALTISTAN'!U78:U79+'AZAD - KASHMIR'!U78:U79+KPK!U78</f>
        <v>0</v>
      </c>
      <c r="V78" s="83">
        <f>MPR!V78+KARACHI!V78+SINDH!V78+'GILGIT -BALTISTAN'!V78:V79+'AZAD - KASHMIR'!V78:V79+KPK!V78</f>
        <v>66</v>
      </c>
      <c r="W78" s="83">
        <f>MPR!W78+KARACHI!W78+SINDH!W78+'GILGIT -BALTISTAN'!W78:W79+'AZAD - KASHMIR'!W78:W79+KPK!W78</f>
        <v>0</v>
      </c>
      <c r="X78" s="83">
        <f>MPR!X78+KARACHI!X78+SINDH!X78+'GILGIT -BALTISTAN'!X78:X79+'AZAD - KASHMIR'!X78:X79+KPK!X78</f>
        <v>0</v>
      </c>
      <c r="Y78" s="83">
        <f>MPR!Y78+KARACHI!Y78+SINDH!Y78+'GILGIT -BALTISTAN'!Y78:Y79+'AZAD - KASHMIR'!Y78:Y79+KPK!Y78</f>
        <v>0</v>
      </c>
    </row>
    <row r="79" spans="1:25" x14ac:dyDescent="0.25">
      <c r="A79" s="68" t="s">
        <v>7</v>
      </c>
      <c r="B79" s="69"/>
      <c r="C79" s="69"/>
      <c r="D79" s="69"/>
      <c r="E79" s="70"/>
      <c r="F79" s="10">
        <f>SUM(F76:F78)</f>
        <v>1040</v>
      </c>
      <c r="G79" s="10">
        <f t="shared" ref="G79:K79" si="7">SUM(G76:G78)</f>
        <v>3</v>
      </c>
      <c r="H79" s="10">
        <f t="shared" si="7"/>
        <v>0</v>
      </c>
      <c r="I79" s="10">
        <f t="shared" si="7"/>
        <v>1</v>
      </c>
      <c r="J79" s="10">
        <f t="shared" si="7"/>
        <v>0</v>
      </c>
      <c r="K79" s="10">
        <f t="shared" si="7"/>
        <v>1</v>
      </c>
      <c r="L79" s="41"/>
      <c r="M79" s="85"/>
      <c r="N79" s="85"/>
      <c r="O79" s="85"/>
      <c r="P79" s="85"/>
      <c r="Q79" s="85"/>
      <c r="R79" s="85"/>
      <c r="S79" s="90"/>
      <c r="T79" s="85"/>
      <c r="U79" s="85"/>
      <c r="V79" s="85"/>
      <c r="W79" s="85"/>
      <c r="X79" s="85"/>
      <c r="Y79" s="85"/>
    </row>
    <row r="80" spans="1:25" ht="23.4" x14ac:dyDescent="0.45">
      <c r="A80" s="120" t="s">
        <v>17</v>
      </c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</row>
    <row r="81" spans="1:25" ht="23.4" x14ac:dyDescent="0.25">
      <c r="A81" s="111" t="s">
        <v>18</v>
      </c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"/>
      <c r="U81" s="112" t="s">
        <v>19</v>
      </c>
      <c r="V81" s="112"/>
      <c r="W81" s="1"/>
      <c r="X81" s="1"/>
      <c r="Y81" s="1"/>
    </row>
    <row r="82" spans="1:25" ht="39.9" customHeight="1" x14ac:dyDescent="0.25">
      <c r="A82" s="113" t="s">
        <v>20</v>
      </c>
      <c r="B82" s="113"/>
      <c r="C82" s="113"/>
      <c r="D82" s="113"/>
      <c r="E82" s="205" t="str">
        <f>E4</f>
        <v>All Project Total</v>
      </c>
      <c r="F82" s="205"/>
      <c r="G82" s="205"/>
      <c r="H82" s="116" t="s">
        <v>22</v>
      </c>
      <c r="I82" s="116"/>
      <c r="J82" s="115">
        <f>J4</f>
        <v>0</v>
      </c>
      <c r="K82" s="115"/>
      <c r="L82" s="116" t="s">
        <v>23</v>
      </c>
      <c r="M82" s="116"/>
      <c r="N82" s="188" t="str">
        <f>N4</f>
        <v>CONSOLIDATED</v>
      </c>
      <c r="O82" s="188"/>
      <c r="P82" s="188"/>
      <c r="Q82" s="118" t="s">
        <v>24</v>
      </c>
      <c r="R82" s="118"/>
      <c r="S82" s="118"/>
      <c r="T82" s="118"/>
      <c r="U82" s="119" t="s">
        <v>86</v>
      </c>
      <c r="V82" s="119"/>
      <c r="W82" s="119"/>
      <c r="X82" s="147" t="str">
        <f>X43</f>
        <v>of Year 2023</v>
      </c>
      <c r="Y82" s="147"/>
    </row>
    <row r="83" spans="1:25" ht="5.25" customHeight="1" x14ac:dyDescent="0.25">
      <c r="Q83" s="118"/>
      <c r="R83" s="118"/>
      <c r="S83" s="118"/>
      <c r="T83" s="118"/>
      <c r="U83" s="119"/>
      <c r="V83" s="119"/>
      <c r="W83" s="119"/>
      <c r="X83" s="147"/>
      <c r="Y83" s="147"/>
    </row>
    <row r="84" spans="1:25" ht="15.6" x14ac:dyDescent="0.3">
      <c r="A84" s="166" t="s">
        <v>26</v>
      </c>
      <c r="B84" s="166"/>
      <c r="C84" s="166"/>
      <c r="D84" s="166"/>
      <c r="E84" s="166"/>
      <c r="F84" s="166"/>
      <c r="G84" s="167" t="s">
        <v>27</v>
      </c>
      <c r="H84" s="167"/>
      <c r="I84" s="167"/>
      <c r="J84" s="167"/>
      <c r="K84" s="167"/>
      <c r="L84" s="167"/>
      <c r="M84" s="167"/>
      <c r="N84" s="2"/>
      <c r="Q84" s="168" t="s">
        <v>28</v>
      </c>
      <c r="R84" s="168"/>
      <c r="S84" s="168"/>
      <c r="T84" s="168"/>
      <c r="U84" s="168"/>
      <c r="V84" s="148" t="s">
        <v>29</v>
      </c>
      <c r="W84" s="148"/>
      <c r="X84" s="148"/>
      <c r="Y84" s="148"/>
    </row>
    <row r="85" spans="1:2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" customHeight="1" x14ac:dyDescent="0.25">
      <c r="A86" s="149" t="s">
        <v>31</v>
      </c>
      <c r="B86" s="150"/>
      <c r="C86" s="150"/>
      <c r="D86" s="150"/>
      <c r="E86" s="150"/>
      <c r="F86" s="150"/>
      <c r="G86" s="150"/>
      <c r="H86" s="150"/>
      <c r="I86" s="151"/>
      <c r="J86" s="152" t="s">
        <v>32</v>
      </c>
      <c r="K86" s="153"/>
      <c r="L86" s="152" t="s">
        <v>33</v>
      </c>
      <c r="M86" s="153"/>
      <c r="N86" s="91" t="s">
        <v>34</v>
      </c>
      <c r="O86" s="92"/>
      <c r="P86" s="152" t="s">
        <v>35</v>
      </c>
      <c r="Q86" s="153"/>
      <c r="R86" s="68" t="s">
        <v>36</v>
      </c>
      <c r="S86" s="69"/>
      <c r="T86" s="69"/>
      <c r="U86" s="69"/>
      <c r="V86" s="69"/>
      <c r="W86" s="70"/>
      <c r="X86" s="152" t="s">
        <v>7</v>
      </c>
      <c r="Y86" s="153"/>
    </row>
    <row r="87" spans="1:25" ht="23.25" customHeight="1" x14ac:dyDescent="0.25">
      <c r="A87" s="158" t="s">
        <v>37</v>
      </c>
      <c r="B87" s="159"/>
      <c r="C87" s="159"/>
      <c r="D87" s="159"/>
      <c r="E87" s="159"/>
      <c r="F87" s="159"/>
      <c r="G87" s="159"/>
      <c r="H87" s="159"/>
      <c r="I87" s="160"/>
      <c r="J87" s="154"/>
      <c r="K87" s="155"/>
      <c r="L87" s="154"/>
      <c r="M87" s="155"/>
      <c r="N87" s="93"/>
      <c r="O87" s="94"/>
      <c r="P87" s="154"/>
      <c r="Q87" s="155"/>
      <c r="R87" s="164" t="s">
        <v>38</v>
      </c>
      <c r="S87" s="164"/>
      <c r="T87" s="164" t="s">
        <v>39</v>
      </c>
      <c r="U87" s="164"/>
      <c r="V87" s="164" t="s">
        <v>40</v>
      </c>
      <c r="W87" s="164"/>
      <c r="X87" s="154"/>
      <c r="Y87" s="155"/>
    </row>
    <row r="88" spans="1:25" x14ac:dyDescent="0.25">
      <c r="A88" s="161"/>
      <c r="B88" s="162"/>
      <c r="C88" s="162"/>
      <c r="D88" s="162"/>
      <c r="E88" s="162"/>
      <c r="F88" s="162"/>
      <c r="G88" s="162"/>
      <c r="H88" s="162"/>
      <c r="I88" s="163"/>
      <c r="J88" s="156"/>
      <c r="K88" s="157"/>
      <c r="L88" s="156"/>
      <c r="M88" s="157"/>
      <c r="N88" s="95"/>
      <c r="O88" s="96"/>
      <c r="P88" s="156"/>
      <c r="Q88" s="157"/>
      <c r="R88" s="165"/>
      <c r="S88" s="165"/>
      <c r="T88" s="165"/>
      <c r="U88" s="165"/>
      <c r="V88" s="165"/>
      <c r="W88" s="165"/>
      <c r="X88" s="156"/>
      <c r="Y88" s="157"/>
    </row>
    <row r="89" spans="1:25" ht="18" customHeight="1" x14ac:dyDescent="0.3">
      <c r="A89" s="106" t="s">
        <v>41</v>
      </c>
      <c r="B89" s="107"/>
      <c r="C89" s="107"/>
      <c r="D89" s="107"/>
      <c r="E89" s="107"/>
      <c r="F89" s="107"/>
      <c r="G89" s="107"/>
      <c r="H89" s="107"/>
      <c r="I89" s="108"/>
      <c r="J89" s="170">
        <f>MPR!J89+KARACHI!J89+SINDH!J89+'GILGIT -BALTISTAN'!J89+'AZAD - KASHMIR'!J89+KPK!J89</f>
        <v>1113</v>
      </c>
      <c r="K89" s="171"/>
      <c r="L89" s="170">
        <f>MPR!L89+KARACHI!L89+SINDH!L89+'GILGIT -BALTISTAN'!L89+'AZAD - KASHMIR'!L89+KPK!L89</f>
        <v>79</v>
      </c>
      <c r="M89" s="171"/>
      <c r="N89" s="170">
        <f>MPR!N89+KARACHI!N89+SINDH!N89+'GILGIT -BALTISTAN'!N89+'AZAD - KASHMIR'!N89+KPK!N89</f>
        <v>2</v>
      </c>
      <c r="O89" s="171"/>
      <c r="P89" s="170">
        <f>SUM(J89+L89+N89)</f>
        <v>1194</v>
      </c>
      <c r="Q89" s="171"/>
      <c r="R89" s="170">
        <f>MPR!R89+KARACHI!R89+SINDH!R89+'GILGIT -BALTISTAN'!R89+'AZAD - KASHMIR'!R89+KPK!R89</f>
        <v>2</v>
      </c>
      <c r="S89" s="171"/>
      <c r="T89" s="170">
        <f>MPR!T89+KARACHI!T89+SINDH!T89+'GILGIT -BALTISTAN'!T89+'AZAD - KASHMIR'!T89+KPK!T89</f>
        <v>1</v>
      </c>
      <c r="U89" s="171"/>
      <c r="V89" s="170">
        <f>MPR!V89+KARACHI!V89+SINDH!V89+'GILGIT -BALTISTAN'!V89+'AZAD - KASHMIR'!V89+KPK!V89</f>
        <v>3</v>
      </c>
      <c r="W89" s="171"/>
      <c r="X89" s="172">
        <f>SUM(J89+L89+N89+R89+T89+V89)</f>
        <v>1200</v>
      </c>
      <c r="Y89" s="173"/>
    </row>
    <row r="90" spans="1:25" ht="18" customHeight="1" x14ac:dyDescent="0.3">
      <c r="A90" s="106" t="s">
        <v>42</v>
      </c>
      <c r="B90" s="107"/>
      <c r="C90" s="107"/>
      <c r="D90" s="107"/>
      <c r="E90" s="107"/>
      <c r="F90" s="107"/>
      <c r="G90" s="107"/>
      <c r="H90" s="107"/>
      <c r="I90" s="108"/>
      <c r="J90" s="170">
        <f>MPR!J90+KARACHI!J90+SINDH!J90+'GILGIT -BALTISTAN'!J90+'AZAD - KASHMIR'!J90+KPK!J90</f>
        <v>1584</v>
      </c>
      <c r="K90" s="171"/>
      <c r="L90" s="170">
        <f>MPR!L90+KARACHI!L90+SINDH!L90+'GILGIT -BALTISTAN'!L90+'AZAD - KASHMIR'!L90+KPK!L90</f>
        <v>33</v>
      </c>
      <c r="M90" s="171"/>
      <c r="N90" s="170">
        <f>MPR!N90+KARACHI!N90+SINDH!N90+'GILGIT -BALTISTAN'!N90+'AZAD - KASHMIR'!N90+KPK!N90</f>
        <v>5</v>
      </c>
      <c r="O90" s="171"/>
      <c r="P90" s="170">
        <f>SUM(J90+L90+N90)</f>
        <v>1622</v>
      </c>
      <c r="Q90" s="171"/>
      <c r="R90" s="170">
        <f>MPR!R90+KARACHI!R90+SINDH!R90+'GILGIT -BALTISTAN'!R90+'AZAD - KASHMIR'!R90+KPK!R90</f>
        <v>0</v>
      </c>
      <c r="S90" s="171"/>
      <c r="T90" s="170">
        <f>MPR!T90+KARACHI!T90+SINDH!T90+'GILGIT -BALTISTAN'!T90+'AZAD - KASHMIR'!T90+KPK!T90</f>
        <v>1</v>
      </c>
      <c r="U90" s="171"/>
      <c r="V90" s="170">
        <f>MPR!V90+KARACHI!V90+SINDH!V90+'GILGIT -BALTISTAN'!V90+'AZAD - KASHMIR'!V90+KPK!V90</f>
        <v>10</v>
      </c>
      <c r="W90" s="171"/>
      <c r="X90" s="172">
        <f>SUM(J90+L90+N90+R90+T90+V90)</f>
        <v>1633</v>
      </c>
      <c r="Y90" s="173"/>
    </row>
    <row r="91" spans="1:25" ht="18" customHeight="1" x14ac:dyDescent="0.3">
      <c r="A91" s="106" t="s">
        <v>43</v>
      </c>
      <c r="B91" s="107"/>
      <c r="C91" s="107"/>
      <c r="D91" s="107"/>
      <c r="E91" s="107"/>
      <c r="F91" s="107"/>
      <c r="G91" s="107"/>
      <c r="H91" s="107"/>
      <c r="I91" s="108"/>
      <c r="J91" s="170">
        <f>MPR!J91+KARACHI!J91+SINDH!J91+'GILGIT -BALTISTAN'!J91+'AZAD - KASHMIR'!J91+KPK!J91</f>
        <v>10</v>
      </c>
      <c r="K91" s="171"/>
      <c r="L91" s="170">
        <f>MPR!L91+KARACHI!L91+SINDH!L91+'GILGIT -BALTISTAN'!L91+'AZAD - KASHMIR'!L91+KPK!L91</f>
        <v>1</v>
      </c>
      <c r="M91" s="171"/>
      <c r="N91" s="170">
        <f>MPR!N91+KARACHI!N91+SINDH!N91+'GILGIT -BALTISTAN'!N91+'AZAD - KASHMIR'!N91+KPK!N91</f>
        <v>0</v>
      </c>
      <c r="O91" s="171"/>
      <c r="P91" s="170">
        <f>SUM(J91+L91+N91)</f>
        <v>11</v>
      </c>
      <c r="Q91" s="171"/>
      <c r="R91" s="170">
        <f>MPR!R91+KARACHI!R91+SINDH!R91+'GILGIT -BALTISTAN'!R91+'AZAD - KASHMIR'!R91+KPK!R91</f>
        <v>0</v>
      </c>
      <c r="S91" s="171"/>
      <c r="T91" s="170">
        <f>MPR!T91+KARACHI!T91+SINDH!T91+'GILGIT -BALTISTAN'!T91+'AZAD - KASHMIR'!T91+KPK!T91</f>
        <v>0</v>
      </c>
      <c r="U91" s="171"/>
      <c r="V91" s="170">
        <f>MPR!V91+KARACHI!V91+SINDH!V91+'GILGIT -BALTISTAN'!V91+'AZAD - KASHMIR'!V91+KPK!V91</f>
        <v>0</v>
      </c>
      <c r="W91" s="171"/>
      <c r="X91" s="172">
        <f>SUM(J91+L91+N91+R91+T91+V91)</f>
        <v>11</v>
      </c>
      <c r="Y91" s="173"/>
    </row>
    <row r="92" spans="1:25" ht="18" customHeight="1" x14ac:dyDescent="0.3">
      <c r="A92" s="106" t="s">
        <v>44</v>
      </c>
      <c r="B92" s="107"/>
      <c r="C92" s="107"/>
      <c r="D92" s="107"/>
      <c r="E92" s="107"/>
      <c r="F92" s="107"/>
      <c r="G92" s="107"/>
      <c r="H92" s="107"/>
      <c r="I92" s="108"/>
      <c r="J92" s="170">
        <f>MPR!J92+KARACHI!J92+SINDH!J92+'GILGIT -BALTISTAN'!J92+'AZAD - KASHMIR'!J92+KPK!J92</f>
        <v>948</v>
      </c>
      <c r="K92" s="171"/>
      <c r="L92" s="170">
        <f>MPR!L92+KARACHI!L92+SINDH!L92+'GILGIT -BALTISTAN'!L92+'AZAD - KASHMIR'!L92+KPK!L92</f>
        <v>6</v>
      </c>
      <c r="M92" s="171"/>
      <c r="N92" s="170">
        <f>MPR!N92+KARACHI!N92+SINDH!N92+'GILGIT -BALTISTAN'!N92+'AZAD - KASHMIR'!N92+KPK!N92</f>
        <v>3</v>
      </c>
      <c r="O92" s="171"/>
      <c r="P92" s="170">
        <f>SUM(J92+L92+N92)</f>
        <v>957</v>
      </c>
      <c r="Q92" s="171"/>
      <c r="R92" s="170">
        <f>MPR!R92+KARACHI!R92+SINDH!R92+'GILGIT -BALTISTAN'!R92+'AZAD - KASHMIR'!R92+KPK!R92</f>
        <v>0</v>
      </c>
      <c r="S92" s="171"/>
      <c r="T92" s="170">
        <f>MPR!T92+KARACHI!T92+SINDH!T92+'GILGIT -BALTISTAN'!T92+'AZAD - KASHMIR'!T92+KPK!T92</f>
        <v>3</v>
      </c>
      <c r="U92" s="171"/>
      <c r="V92" s="170">
        <f>MPR!V92+KARACHI!V92+SINDH!V92+'GILGIT -BALTISTAN'!V92+'AZAD - KASHMIR'!V92+KPK!V92</f>
        <v>13</v>
      </c>
      <c r="W92" s="171"/>
      <c r="X92" s="172">
        <f>SUM(J92+L92+N92+R92+T92+V92)</f>
        <v>973</v>
      </c>
      <c r="Y92" s="173"/>
    </row>
    <row r="93" spans="1:25" ht="18" customHeight="1" x14ac:dyDescent="0.3">
      <c r="A93" s="106" t="s">
        <v>7</v>
      </c>
      <c r="B93" s="107"/>
      <c r="C93" s="107"/>
      <c r="D93" s="107"/>
      <c r="E93" s="107"/>
      <c r="F93" s="107"/>
      <c r="G93" s="107"/>
      <c r="H93" s="107"/>
      <c r="I93" s="108"/>
      <c r="J93" s="170">
        <f>SUM(J89:K92)</f>
        <v>3655</v>
      </c>
      <c r="K93" s="171"/>
      <c r="L93" s="170">
        <f>SUM(L89:M92)</f>
        <v>119</v>
      </c>
      <c r="M93" s="171"/>
      <c r="N93" s="170">
        <f>SUM(N89:O92)</f>
        <v>10</v>
      </c>
      <c r="O93" s="171"/>
      <c r="P93" s="170">
        <f>SUM(J93+L93+N93)</f>
        <v>3784</v>
      </c>
      <c r="Q93" s="171"/>
      <c r="R93" s="170">
        <f>SUM(R89:S92)</f>
        <v>2</v>
      </c>
      <c r="S93" s="171"/>
      <c r="T93" s="170">
        <f>SUM(T89:U92)</f>
        <v>5</v>
      </c>
      <c r="U93" s="171"/>
      <c r="V93" s="170">
        <f>SUM(V89:W92)</f>
        <v>26</v>
      </c>
      <c r="W93" s="171"/>
      <c r="X93" s="172">
        <f>SUM(J93+L93+N93+R93+T93+V93)</f>
        <v>3817</v>
      </c>
      <c r="Y93" s="173"/>
    </row>
    <row r="94" spans="1:25" ht="15.6" x14ac:dyDescent="0.3">
      <c r="A94" s="4" t="s">
        <v>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6"/>
      <c r="S94" s="6"/>
      <c r="T94" s="6"/>
      <c r="U94" s="6"/>
      <c r="V94" s="6"/>
      <c r="W94" s="6"/>
      <c r="X94" s="6"/>
      <c r="Y94" s="7"/>
    </row>
    <row r="95" spans="1:25" x14ac:dyDescent="0.25">
      <c r="A95" s="71"/>
      <c r="B95" s="72"/>
      <c r="C95" s="72"/>
      <c r="D95" s="72"/>
      <c r="E95" s="72"/>
      <c r="F95" s="72"/>
      <c r="G95" s="73"/>
      <c r="H95" s="68" t="s">
        <v>0</v>
      </c>
      <c r="I95" s="69"/>
      <c r="J95" s="136" t="s">
        <v>1</v>
      </c>
      <c r="K95" s="69"/>
      <c r="L95" s="134" t="s">
        <v>2</v>
      </c>
      <c r="M95" s="69"/>
      <c r="N95" s="134" t="s">
        <v>3</v>
      </c>
      <c r="O95" s="69"/>
      <c r="P95" s="134" t="s">
        <v>4</v>
      </c>
      <c r="Q95" s="135"/>
      <c r="R95" s="134" t="s">
        <v>5</v>
      </c>
      <c r="S95" s="69"/>
      <c r="T95" s="134" t="s">
        <v>6</v>
      </c>
      <c r="U95" s="69"/>
      <c r="V95" s="134" t="s">
        <v>46</v>
      </c>
      <c r="W95" s="69"/>
      <c r="X95" s="134" t="s">
        <v>7</v>
      </c>
      <c r="Y95" s="135"/>
    </row>
    <row r="96" spans="1:25" x14ac:dyDescent="0.25">
      <c r="A96" s="74"/>
      <c r="B96" s="75"/>
      <c r="C96" s="75"/>
      <c r="D96" s="75"/>
      <c r="E96" s="75"/>
      <c r="F96" s="75"/>
      <c r="G96" s="76"/>
      <c r="H96" s="10" t="s">
        <v>10</v>
      </c>
      <c r="I96" s="10" t="s">
        <v>11</v>
      </c>
      <c r="J96" s="10" t="s">
        <v>10</v>
      </c>
      <c r="K96" s="10" t="s">
        <v>11</v>
      </c>
      <c r="L96" s="10" t="s">
        <v>10</v>
      </c>
      <c r="M96" s="10" t="s">
        <v>11</v>
      </c>
      <c r="N96" s="10" t="s">
        <v>10</v>
      </c>
      <c r="O96" s="10" t="s">
        <v>11</v>
      </c>
      <c r="P96" s="10" t="s">
        <v>10</v>
      </c>
      <c r="Q96" s="10" t="s">
        <v>11</v>
      </c>
      <c r="R96" s="10" t="s">
        <v>10</v>
      </c>
      <c r="S96" s="10" t="s">
        <v>11</v>
      </c>
      <c r="T96" s="10" t="s">
        <v>10</v>
      </c>
      <c r="U96" s="10" t="s">
        <v>11</v>
      </c>
      <c r="V96" s="10" t="s">
        <v>10</v>
      </c>
      <c r="W96" s="10" t="s">
        <v>11</v>
      </c>
      <c r="X96" s="10" t="s">
        <v>10</v>
      </c>
      <c r="Y96" s="10" t="s">
        <v>11</v>
      </c>
    </row>
    <row r="97" spans="1:25" x14ac:dyDescent="0.25">
      <c r="A97" s="106" t="s">
        <v>41</v>
      </c>
      <c r="B97" s="107"/>
      <c r="C97" s="107"/>
      <c r="D97" s="107"/>
      <c r="E97" s="107"/>
      <c r="F97" s="107"/>
      <c r="G97" s="108"/>
      <c r="H97" s="51">
        <f>MPR!H97+KARACHI!H97+SINDH!H97+'GILGIT -BALTISTAN'!H97+'AZAD - KASHMIR'!H97+KPK!H97</f>
        <v>1</v>
      </c>
      <c r="I97" s="51">
        <f>MPR!I97+KARACHI!I97+SINDH!I97+'GILGIT -BALTISTAN'!I97+'AZAD - KASHMIR'!I97+KPK!I97</f>
        <v>2</v>
      </c>
      <c r="J97" s="51">
        <f>MPR!J97+KARACHI!J97+SINDH!J97+'GILGIT -BALTISTAN'!J97+'AZAD - KASHMIR'!J97+KPK!J97</f>
        <v>7</v>
      </c>
      <c r="K97" s="51">
        <f>MPR!K97+KARACHI!K97+SINDH!K97+'GILGIT -BALTISTAN'!K97+'AZAD - KASHMIR'!K97+KPK!K97</f>
        <v>32</v>
      </c>
      <c r="L97" s="51">
        <f>MPR!L97+KARACHI!L97+SINDH!L97+'GILGIT -BALTISTAN'!L97+'AZAD - KASHMIR'!L97+KPK!L97</f>
        <v>86</v>
      </c>
      <c r="M97" s="51">
        <f>MPR!M97+KARACHI!M97+SINDH!M97+'GILGIT -BALTISTAN'!M97+'AZAD - KASHMIR'!M97+KPK!M97</f>
        <v>156</v>
      </c>
      <c r="N97" s="51">
        <f>MPR!N97+KARACHI!N97+SINDH!N97+'GILGIT -BALTISTAN'!N97+'AZAD - KASHMIR'!N97+KPK!N97</f>
        <v>96</v>
      </c>
      <c r="O97" s="51">
        <f>MPR!O97+KARACHI!O97+SINDH!O97+'GILGIT -BALTISTAN'!O97+'AZAD - KASHMIR'!O97+KPK!O97</f>
        <v>92</v>
      </c>
      <c r="P97" s="51">
        <f>MPR!P97+KARACHI!P97+SINDH!P97+'GILGIT -BALTISTAN'!P97+'AZAD - KASHMIR'!P97+KPK!P97</f>
        <v>91</v>
      </c>
      <c r="Q97" s="51">
        <f>MPR!Q97+KARACHI!Q97+SINDH!Q97+'GILGIT -BALTISTAN'!Q97+'AZAD - KASHMIR'!Q97+KPK!Q97</f>
        <v>69</v>
      </c>
      <c r="R97" s="51">
        <f>MPR!R97+KARACHI!R97+SINDH!R97+'GILGIT -BALTISTAN'!R97+'AZAD - KASHMIR'!R97+KPK!R97</f>
        <v>76</v>
      </c>
      <c r="S97" s="51">
        <f>MPR!S97+KARACHI!S97+SINDH!S97+'GILGIT -BALTISTAN'!S97+'AZAD - KASHMIR'!S97+KPK!S97</f>
        <v>68</v>
      </c>
      <c r="T97" s="51">
        <f>MPR!T97+KARACHI!T97+SINDH!T97+'GILGIT -BALTISTAN'!T97+'AZAD - KASHMIR'!T97+KPK!T97</f>
        <v>74</v>
      </c>
      <c r="U97" s="51">
        <f>MPR!U97+KARACHI!U97+SINDH!U97+'GILGIT -BALTISTAN'!U97+'AZAD - KASHMIR'!U97+KPK!U97</f>
        <v>67</v>
      </c>
      <c r="V97" s="51">
        <f>MPR!V97+KARACHI!V97+SINDH!V97+'GILGIT -BALTISTAN'!V97+'AZAD - KASHMIR'!V97+KPK!V97</f>
        <v>148</v>
      </c>
      <c r="W97" s="51">
        <f>MPR!W97+KARACHI!W97+SINDH!W97+'GILGIT -BALTISTAN'!W97+'AZAD - KASHMIR'!W97+KPK!W97</f>
        <v>129</v>
      </c>
      <c r="X97" s="51">
        <f>SUM(H97+J97+L97+N97+P97+R97+T97+V97)</f>
        <v>579</v>
      </c>
      <c r="Y97" s="51">
        <f>SUM(I97+K97+M97+O97+Q97+S97+U97+W97)</f>
        <v>615</v>
      </c>
    </row>
    <row r="98" spans="1:25" x14ac:dyDescent="0.25">
      <c r="A98" s="106" t="s">
        <v>42</v>
      </c>
      <c r="B98" s="107"/>
      <c r="C98" s="107"/>
      <c r="D98" s="107"/>
      <c r="E98" s="107"/>
      <c r="F98" s="107"/>
      <c r="G98" s="108"/>
      <c r="H98" s="51">
        <f>MPR!H98+KARACHI!H98+SINDH!H98+'GILGIT -BALTISTAN'!H98+'AZAD - KASHMIR'!H98+KPK!H98</f>
        <v>346</v>
      </c>
      <c r="I98" s="51">
        <f>MPR!I98+KARACHI!I98+SINDH!I98+'GILGIT -BALTISTAN'!I98+'AZAD - KASHMIR'!I98+KPK!I98</f>
        <v>244</v>
      </c>
      <c r="J98" s="51">
        <f>MPR!J98+KARACHI!J98+SINDH!J98+'GILGIT -BALTISTAN'!J98+'AZAD - KASHMIR'!J98+KPK!J98</f>
        <v>82</v>
      </c>
      <c r="K98" s="51">
        <f>MPR!K98+KARACHI!K98+SINDH!K98+'GILGIT -BALTISTAN'!K98+'AZAD - KASHMIR'!K98+KPK!K98</f>
        <v>87</v>
      </c>
      <c r="L98" s="51">
        <f>MPR!L98+KARACHI!L98+SINDH!L98+'GILGIT -BALTISTAN'!L98+'AZAD - KASHMIR'!L98+KPK!L98</f>
        <v>61</v>
      </c>
      <c r="M98" s="51">
        <f>MPR!M98+KARACHI!M98+SINDH!M98+'GILGIT -BALTISTAN'!M98+'AZAD - KASHMIR'!M98+KPK!M98</f>
        <v>106</v>
      </c>
      <c r="N98" s="51">
        <f>MPR!N98+KARACHI!N98+SINDH!N98+'GILGIT -BALTISTAN'!N98+'AZAD - KASHMIR'!N98+KPK!N98</f>
        <v>84</v>
      </c>
      <c r="O98" s="51">
        <f>MPR!O98+KARACHI!O98+SINDH!O98+'GILGIT -BALTISTAN'!O98+'AZAD - KASHMIR'!O98+KPK!O98</f>
        <v>70</v>
      </c>
      <c r="P98" s="51">
        <f>MPR!P98+KARACHI!P98+SINDH!P98+'GILGIT -BALTISTAN'!P98+'AZAD - KASHMIR'!P98+KPK!P98</f>
        <v>56</v>
      </c>
      <c r="Q98" s="51">
        <f>MPR!Q98+KARACHI!Q98+SINDH!Q98+'GILGIT -BALTISTAN'!Q98+'AZAD - KASHMIR'!Q98+KPK!Q98</f>
        <v>53</v>
      </c>
      <c r="R98" s="51">
        <f>MPR!R98+KARACHI!R98+SINDH!R98+'GILGIT -BALTISTAN'!R98+'AZAD - KASHMIR'!R98+KPK!R98</f>
        <v>64</v>
      </c>
      <c r="S98" s="51">
        <f>MPR!S98+KARACHI!S98+SINDH!S98+'GILGIT -BALTISTAN'!S98+'AZAD - KASHMIR'!S98+KPK!S98</f>
        <v>65</v>
      </c>
      <c r="T98" s="51">
        <f>MPR!T98+KARACHI!T98+SINDH!T98+'GILGIT -BALTISTAN'!T98+'AZAD - KASHMIR'!T98+KPK!T98</f>
        <v>71</v>
      </c>
      <c r="U98" s="51">
        <f>MPR!U98+KARACHI!U98+SINDH!U98+'GILGIT -BALTISTAN'!U98+'AZAD - KASHMIR'!U98+KPK!U98</f>
        <v>57</v>
      </c>
      <c r="V98" s="51">
        <f>MPR!V98+KARACHI!V98+SINDH!V98+'GILGIT -BALTISTAN'!V98+'AZAD - KASHMIR'!V98+KPK!V98</f>
        <v>103</v>
      </c>
      <c r="W98" s="51">
        <f>MPR!W98+KARACHI!W98+SINDH!W98+'GILGIT -BALTISTAN'!W98+'AZAD - KASHMIR'!W98+KPK!W98</f>
        <v>74</v>
      </c>
      <c r="X98" s="51">
        <f t="shared" ref="X98:X100" si="8">SUM(H98+J98+L98+N98+P98+R98+T98+V98)</f>
        <v>867</v>
      </c>
      <c r="Y98" s="51">
        <f t="shared" ref="Y98:Y100" si="9">SUM(I98+K98+M98+O98+Q98+S98+U98+W98)</f>
        <v>756</v>
      </c>
    </row>
    <row r="99" spans="1:25" x14ac:dyDescent="0.25">
      <c r="A99" s="106" t="s">
        <v>43</v>
      </c>
      <c r="B99" s="107"/>
      <c r="C99" s="107"/>
      <c r="D99" s="107"/>
      <c r="E99" s="107"/>
      <c r="F99" s="107"/>
      <c r="G99" s="108"/>
      <c r="H99" s="51">
        <f>MPR!H99+KARACHI!H99+SINDH!H99+'GILGIT -BALTISTAN'!H99+'AZAD - KASHMIR'!H99+KPK!H99</f>
        <v>0</v>
      </c>
      <c r="I99" s="51">
        <f>MPR!I99+KARACHI!I99+SINDH!I99+'GILGIT -BALTISTAN'!I99+'AZAD - KASHMIR'!I99+KPK!I99</f>
        <v>0</v>
      </c>
      <c r="J99" s="51">
        <f>MPR!J99+KARACHI!J99+SINDH!J99+'GILGIT -BALTISTAN'!J99+'AZAD - KASHMIR'!J99+KPK!J99</f>
        <v>0</v>
      </c>
      <c r="K99" s="51">
        <f>MPR!K99+KARACHI!K99+SINDH!K99+'GILGIT -BALTISTAN'!K99+'AZAD - KASHMIR'!K99+KPK!K99</f>
        <v>0</v>
      </c>
      <c r="L99" s="51">
        <f>MPR!L99+KARACHI!L99+SINDH!L99+'GILGIT -BALTISTAN'!L99+'AZAD - KASHMIR'!L99+KPK!L99</f>
        <v>1</v>
      </c>
      <c r="M99" s="51">
        <f>MPR!M99+KARACHI!M99+SINDH!M99+'GILGIT -BALTISTAN'!M99+'AZAD - KASHMIR'!M99+KPK!M99</f>
        <v>1</v>
      </c>
      <c r="N99" s="51">
        <f>MPR!N99+KARACHI!N99+SINDH!N99+'GILGIT -BALTISTAN'!N99+'AZAD - KASHMIR'!N99+KPK!N99</f>
        <v>2</v>
      </c>
      <c r="O99" s="51">
        <f>MPR!O99+KARACHI!O99+SINDH!O99+'GILGIT -BALTISTAN'!O99+'AZAD - KASHMIR'!O99+KPK!O99</f>
        <v>1</v>
      </c>
      <c r="P99" s="51">
        <f>MPR!P99+KARACHI!P99+SINDH!P99+'GILGIT -BALTISTAN'!P99+'AZAD - KASHMIR'!P99+KPK!P99</f>
        <v>0</v>
      </c>
      <c r="Q99" s="51">
        <f>MPR!Q99+KARACHI!Q99+SINDH!Q99+'GILGIT -BALTISTAN'!Q99+'AZAD - KASHMIR'!Q99+KPK!Q99</f>
        <v>1</v>
      </c>
      <c r="R99" s="51">
        <f>MPR!R99+KARACHI!R99+SINDH!R99+'GILGIT -BALTISTAN'!R99+'AZAD - KASHMIR'!R99+KPK!R99</f>
        <v>1</v>
      </c>
      <c r="S99" s="51">
        <f>MPR!S99+KARACHI!S99+SINDH!S99+'GILGIT -BALTISTAN'!S99+'AZAD - KASHMIR'!S99+KPK!S99</f>
        <v>1</v>
      </c>
      <c r="T99" s="51">
        <f>MPR!T99+KARACHI!T99+SINDH!T99+'GILGIT -BALTISTAN'!T99+'AZAD - KASHMIR'!T99+KPK!T99</f>
        <v>1</v>
      </c>
      <c r="U99" s="51">
        <f>MPR!U99+KARACHI!U99+SINDH!U99+'GILGIT -BALTISTAN'!U99+'AZAD - KASHMIR'!U99+KPK!U99</f>
        <v>1</v>
      </c>
      <c r="V99" s="51">
        <f>MPR!V99+KARACHI!V99+SINDH!V99+'GILGIT -BALTISTAN'!V99+'AZAD - KASHMIR'!V99+KPK!V99</f>
        <v>0</v>
      </c>
      <c r="W99" s="51">
        <f>MPR!W99+KARACHI!W99+SINDH!W99+'GILGIT -BALTISTAN'!W99+'AZAD - KASHMIR'!W99+KPK!W99</f>
        <v>1</v>
      </c>
      <c r="X99" s="51">
        <f t="shared" si="8"/>
        <v>5</v>
      </c>
      <c r="Y99" s="51">
        <f t="shared" si="9"/>
        <v>6</v>
      </c>
    </row>
    <row r="100" spans="1:25" x14ac:dyDescent="0.25">
      <c r="A100" s="106" t="s">
        <v>44</v>
      </c>
      <c r="B100" s="107"/>
      <c r="C100" s="107"/>
      <c r="D100" s="107"/>
      <c r="E100" s="107"/>
      <c r="F100" s="107"/>
      <c r="G100" s="108"/>
      <c r="H100" s="51">
        <f>MPR!H100+KARACHI!H100+SINDH!H100+'GILGIT -BALTISTAN'!H100+'AZAD - KASHMIR'!H100+KPK!H100</f>
        <v>96</v>
      </c>
      <c r="I100" s="51">
        <f>MPR!I100+KARACHI!I100+SINDH!I100+'GILGIT -BALTISTAN'!I100+'AZAD - KASHMIR'!I100+KPK!I100</f>
        <v>81</v>
      </c>
      <c r="J100" s="51">
        <f>MPR!J100+KARACHI!J100+SINDH!J100+'GILGIT -BALTISTAN'!J100+'AZAD - KASHMIR'!J100+KPK!J100</f>
        <v>40</v>
      </c>
      <c r="K100" s="51">
        <f>MPR!K100+KARACHI!K100+SINDH!K100+'GILGIT -BALTISTAN'!K100+'AZAD - KASHMIR'!K100+KPK!K100</f>
        <v>39</v>
      </c>
      <c r="L100" s="51">
        <f>MPR!L100+KARACHI!L100+SINDH!L100+'GILGIT -BALTISTAN'!L100+'AZAD - KASHMIR'!L100+KPK!L100</f>
        <v>88</v>
      </c>
      <c r="M100" s="51">
        <f>MPR!M100+KARACHI!M100+SINDH!M100+'GILGIT -BALTISTAN'!M100+'AZAD - KASHMIR'!M100+KPK!M100</f>
        <v>110</v>
      </c>
      <c r="N100" s="51">
        <f>MPR!N100+KARACHI!N100+SINDH!N100+'GILGIT -BALTISTAN'!N100+'AZAD - KASHMIR'!N100+KPK!N100</f>
        <v>58</v>
      </c>
      <c r="O100" s="51">
        <f>MPR!O100+KARACHI!O100+SINDH!O100+'GILGIT -BALTISTAN'!O100+'AZAD - KASHMIR'!O100+KPK!O100</f>
        <v>63</v>
      </c>
      <c r="P100" s="51">
        <f>MPR!P100+KARACHI!P100+SINDH!P100+'GILGIT -BALTISTAN'!P100+'AZAD - KASHMIR'!P100+KPK!P100</f>
        <v>45</v>
      </c>
      <c r="Q100" s="51">
        <f>MPR!Q100+KARACHI!Q100+SINDH!Q100+'GILGIT -BALTISTAN'!Q100+'AZAD - KASHMIR'!Q100+KPK!Q100</f>
        <v>55</v>
      </c>
      <c r="R100" s="51">
        <f>MPR!R100+KARACHI!R100+SINDH!R100+'GILGIT -BALTISTAN'!R100+'AZAD - KASHMIR'!R100+KPK!R100</f>
        <v>51</v>
      </c>
      <c r="S100" s="51">
        <f>MPR!S100+KARACHI!S100+SINDH!S100+'GILGIT -BALTISTAN'!S100+'AZAD - KASHMIR'!S100+KPK!S100</f>
        <v>32</v>
      </c>
      <c r="T100" s="51">
        <f>MPR!T100+KARACHI!T100+SINDH!T100+'GILGIT -BALTISTAN'!T100+'AZAD - KASHMIR'!T100+KPK!T100</f>
        <v>56</v>
      </c>
      <c r="U100" s="51">
        <f>MPR!U100+KARACHI!U100+SINDH!U100+'GILGIT -BALTISTAN'!U100+'AZAD - KASHMIR'!U100+KPK!U100</f>
        <v>26</v>
      </c>
      <c r="V100" s="51">
        <f>MPR!V100+KARACHI!V100+SINDH!V100+'GILGIT -BALTISTAN'!V100+'AZAD - KASHMIR'!V100+KPK!V100</f>
        <v>82</v>
      </c>
      <c r="W100" s="51">
        <f>MPR!W100+KARACHI!W100+SINDH!W100+'GILGIT -BALTISTAN'!W100+'AZAD - KASHMIR'!W100+KPK!W100</f>
        <v>39</v>
      </c>
      <c r="X100" s="51">
        <f t="shared" si="8"/>
        <v>516</v>
      </c>
      <c r="Y100" s="51">
        <f t="shared" si="9"/>
        <v>445</v>
      </c>
    </row>
    <row r="101" spans="1:25" x14ac:dyDescent="0.25">
      <c r="A101" s="106" t="s">
        <v>7</v>
      </c>
      <c r="B101" s="107"/>
      <c r="C101" s="107"/>
      <c r="D101" s="107"/>
      <c r="E101" s="107"/>
      <c r="F101" s="107"/>
      <c r="G101" s="108"/>
      <c r="H101" s="51">
        <f>SUM(H97:H100)</f>
        <v>443</v>
      </c>
      <c r="I101" s="51">
        <f>SUM(I97:I100)</f>
        <v>327</v>
      </c>
      <c r="J101" s="51">
        <f>SUM(J97:J100)</f>
        <v>129</v>
      </c>
      <c r="K101" s="51">
        <f t="shared" ref="K101:Y101" si="10">SUM(K97:K100)</f>
        <v>158</v>
      </c>
      <c r="L101" s="51">
        <f t="shared" si="10"/>
        <v>236</v>
      </c>
      <c r="M101" s="51">
        <f t="shared" si="10"/>
        <v>373</v>
      </c>
      <c r="N101" s="51">
        <f t="shared" si="10"/>
        <v>240</v>
      </c>
      <c r="O101" s="51">
        <f t="shared" si="10"/>
        <v>226</v>
      </c>
      <c r="P101" s="51">
        <f t="shared" si="10"/>
        <v>192</v>
      </c>
      <c r="Q101" s="51">
        <f t="shared" si="10"/>
        <v>178</v>
      </c>
      <c r="R101" s="51">
        <f t="shared" si="10"/>
        <v>192</v>
      </c>
      <c r="S101" s="51">
        <f t="shared" si="10"/>
        <v>166</v>
      </c>
      <c r="T101" s="51">
        <f t="shared" si="10"/>
        <v>202</v>
      </c>
      <c r="U101" s="51">
        <f t="shared" si="10"/>
        <v>151</v>
      </c>
      <c r="V101" s="51">
        <f t="shared" si="10"/>
        <v>333</v>
      </c>
      <c r="W101" s="51">
        <f t="shared" si="10"/>
        <v>243</v>
      </c>
      <c r="X101" s="51">
        <f t="shared" si="10"/>
        <v>1967</v>
      </c>
      <c r="Y101" s="51">
        <f t="shared" si="10"/>
        <v>1822</v>
      </c>
    </row>
    <row r="102" spans="1:25" ht="6.75" customHeight="1" x14ac:dyDescent="0.25">
      <c r="A102" s="11"/>
      <c r="B102" s="12"/>
      <c r="C102" s="12"/>
      <c r="D102" s="12"/>
      <c r="E102" s="12"/>
      <c r="F102" s="13"/>
      <c r="G102" s="13"/>
      <c r="H102" s="13"/>
      <c r="I102" s="13"/>
      <c r="J102" s="13"/>
      <c r="K102" s="13"/>
      <c r="L102" s="14"/>
      <c r="M102" s="13"/>
      <c r="N102" s="15"/>
      <c r="O102" s="16"/>
      <c r="P102" s="13"/>
      <c r="Q102" s="13"/>
      <c r="R102" s="13"/>
      <c r="S102" s="13"/>
      <c r="T102" s="13"/>
      <c r="U102" s="13"/>
      <c r="V102" s="13"/>
      <c r="W102" s="13"/>
      <c r="X102" s="13"/>
      <c r="Y102" s="17"/>
    </row>
    <row r="103" spans="1:25" ht="15.6" x14ac:dyDescent="0.3">
      <c r="A103" s="18" t="s">
        <v>47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20"/>
      <c r="L103" s="21"/>
      <c r="M103" s="18" t="s">
        <v>48</v>
      </c>
      <c r="N103" s="19"/>
      <c r="O103" s="19"/>
      <c r="P103" s="19"/>
      <c r="Q103" s="22"/>
      <c r="R103" s="22"/>
      <c r="S103" s="22"/>
      <c r="T103" s="22"/>
      <c r="U103" s="22"/>
      <c r="V103" s="22"/>
      <c r="W103" s="22"/>
      <c r="X103" s="22"/>
      <c r="Y103" s="23"/>
    </row>
    <row r="104" spans="1:25" ht="48" customHeight="1" x14ac:dyDescent="0.25">
      <c r="A104" s="101" t="s">
        <v>49</v>
      </c>
      <c r="B104" s="101" t="s">
        <v>50</v>
      </c>
      <c r="C104" s="101" t="s">
        <v>51</v>
      </c>
      <c r="D104" s="77" t="s">
        <v>52</v>
      </c>
      <c r="E104" s="78"/>
      <c r="F104" s="77" t="s">
        <v>53</v>
      </c>
      <c r="G104" s="79"/>
      <c r="H104" s="79"/>
      <c r="I104" s="78"/>
      <c r="J104" s="101" t="s">
        <v>54</v>
      </c>
      <c r="K104" s="101" t="s">
        <v>55</v>
      </c>
      <c r="L104" s="24"/>
      <c r="M104" s="86" t="s">
        <v>56</v>
      </c>
      <c r="N104" s="88"/>
      <c r="O104" s="86" t="s">
        <v>57</v>
      </c>
      <c r="P104" s="88"/>
      <c r="Q104" s="86" t="s">
        <v>58</v>
      </c>
      <c r="R104" s="87"/>
      <c r="S104" s="87"/>
      <c r="T104" s="87"/>
      <c r="U104" s="87"/>
      <c r="V104" s="87"/>
      <c r="W104" s="87"/>
      <c r="X104" s="87"/>
      <c r="Y104" s="88"/>
    </row>
    <row r="105" spans="1:25" ht="30" customHeight="1" x14ac:dyDescent="0.25">
      <c r="A105" s="102"/>
      <c r="B105" s="102"/>
      <c r="C105" s="102"/>
      <c r="D105" s="25" t="s">
        <v>59</v>
      </c>
      <c r="E105" s="25" t="s">
        <v>60</v>
      </c>
      <c r="F105" s="26" t="s">
        <v>59</v>
      </c>
      <c r="G105" s="26" t="s">
        <v>60</v>
      </c>
      <c r="H105" s="26" t="s">
        <v>61</v>
      </c>
      <c r="I105" s="26" t="s">
        <v>62</v>
      </c>
      <c r="J105" s="102"/>
      <c r="K105" s="102"/>
      <c r="L105" s="24"/>
      <c r="M105" s="193">
        <f>MPR!M105+KARACHI!M105+SINDH!M105+'GILGIT -BALTISTAN'!M105:N105+'AZAD - KASHMIR'!M105:N105+KPK!M105</f>
        <v>213</v>
      </c>
      <c r="N105" s="92"/>
      <c r="O105" s="193">
        <f>MPR!O105+KARACHI!O105+SINDH!O105+'GILGIT -BALTISTAN'!O105:P105+'AZAD - KASHMIR'!O105:P105+KPK!O105</f>
        <v>0</v>
      </c>
      <c r="P105" s="92"/>
      <c r="Q105" s="194">
        <f>MPR!Q105+KARACHI!Q105+SINDH!Q105+'GILGIT -BALTISTAN'!Q105:Y105+'AZAD - KASHMIR'!Q105:Y105+KPK!Q105</f>
        <v>0</v>
      </c>
      <c r="R105" s="87"/>
      <c r="S105" s="87"/>
      <c r="T105" s="87"/>
      <c r="U105" s="87"/>
      <c r="V105" s="87"/>
      <c r="W105" s="87"/>
      <c r="X105" s="87"/>
      <c r="Y105" s="88"/>
    </row>
    <row r="106" spans="1:25" ht="44.25" customHeight="1" x14ac:dyDescent="0.25">
      <c r="A106" s="103">
        <f>MPR!A106+KARACHI!A106+SINDH!A106+'GILGIT -BALTISTAN'!A106:A110+'AZAD - KASHMIR'!A106:A110+KPK!A106</f>
        <v>533900</v>
      </c>
      <c r="B106" s="103">
        <f>MPR!B106+KARACHI!B106+SINDH!B106+'GILGIT -BALTISTAN'!B106:B110+'AZAD - KASHMIR'!B106:B110+KPK!B106</f>
        <v>14953</v>
      </c>
      <c r="C106" s="103">
        <f>MPR!C106+KARACHI!C106+SINDH!C106+'GILGIT -BALTISTAN'!C106:C110+'AZAD - KASHMIR'!C106:C110+KPK!C106</f>
        <v>1239</v>
      </c>
      <c r="D106" s="103">
        <f>MPR!D106+KARACHI!D106+SINDH!D106+'GILGIT -BALTISTAN'!D106:D110+'AZAD - KASHMIR'!D106:D110+KPK!D106</f>
        <v>9271</v>
      </c>
      <c r="E106" s="103">
        <f>MPR!E106+KARACHI!E106+SINDH!E106+'GILGIT -BALTISTAN'!E106:E110+'AZAD - KASHMIR'!E106:E110+KPK!E106</f>
        <v>5888</v>
      </c>
      <c r="F106" s="103">
        <f>MPR!F106+KARACHI!F106+SINDH!F106+'GILGIT -BALTISTAN'!F106:F110+'AZAD - KASHMIR'!F106:F110+KPK!F106</f>
        <v>133</v>
      </c>
      <c r="G106" s="103">
        <f>MPR!G106+KARACHI!G106+SINDH!G106+'GILGIT -BALTISTAN'!G106:G110+'AZAD - KASHMIR'!G106:G110+KPK!G106</f>
        <v>87</v>
      </c>
      <c r="H106" s="103">
        <f>MPR!H106+KARACHI!H106+SINDH!H106+'GILGIT -BALTISTAN'!H106:H110+'AZAD - KASHMIR'!H106:H110+KPK!H106</f>
        <v>905</v>
      </c>
      <c r="I106" s="103">
        <f>SUM(F106:H110)</f>
        <v>1125</v>
      </c>
      <c r="J106" s="103">
        <f>MPR!J106+KARACHI!J106+SINDH!J106+'GILGIT -BALTISTAN'!J106:J110+'AZAD - KASHMIR'!J106:J110+KPK!J106</f>
        <v>1152</v>
      </c>
      <c r="K106" s="103">
        <f>MPR!K106+KARACHI!K106+SINDH!K106+'GILGIT -BALTISTAN'!K106:K110+'AZAD - KASHMIR'!K106:K110+KPK!K106</f>
        <v>1707</v>
      </c>
      <c r="L106" s="24"/>
      <c r="M106" s="91" t="s">
        <v>63</v>
      </c>
      <c r="N106" s="92"/>
      <c r="O106" s="91" t="s">
        <v>64</v>
      </c>
      <c r="P106" s="92"/>
      <c r="Q106" s="95" t="s">
        <v>65</v>
      </c>
      <c r="R106" s="99"/>
      <c r="S106" s="96"/>
      <c r="T106" s="95" t="s">
        <v>66</v>
      </c>
      <c r="U106" s="99"/>
      <c r="V106" s="99"/>
      <c r="W106" s="99"/>
      <c r="X106" s="99"/>
      <c r="Y106" s="96"/>
    </row>
    <row r="107" spans="1:25" ht="15" customHeight="1" x14ac:dyDescent="0.25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27"/>
      <c r="M107" s="91">
        <f>MPR!M107+KARACHI!M107+SINDH!M107+'GILGIT -BALTISTAN'!M107:N110+'AZAD - KASHMIR'!M107:N110+KPK!M107</f>
        <v>0</v>
      </c>
      <c r="N107" s="92"/>
      <c r="O107" s="91">
        <f>MPR!O107+KARACHI!O107+SINDH!O107+'GILGIT -BALTISTAN'!O107:P110+'AZAD - KASHMIR'!O107:P110+KPK!O107</f>
        <v>0</v>
      </c>
      <c r="P107" s="92"/>
      <c r="Q107" s="91">
        <f>MPR!Q107+KARACHI!Q107+SINDH!Q107+'GILGIT -BALTISTAN'!Q107:S110+'AZAD - KASHMIR'!Q107:S110+KPK!Q107</f>
        <v>0</v>
      </c>
      <c r="R107" s="97"/>
      <c r="S107" s="92"/>
      <c r="T107" s="28"/>
      <c r="U107" s="86" t="s">
        <v>0</v>
      </c>
      <c r="V107" s="88"/>
      <c r="W107" s="29" t="s">
        <v>1</v>
      </c>
      <c r="X107" s="86" t="s">
        <v>67</v>
      </c>
      <c r="Y107" s="88"/>
    </row>
    <row r="108" spans="1:25" x14ac:dyDescent="0.25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27"/>
      <c r="M108" s="93"/>
      <c r="N108" s="94"/>
      <c r="O108" s="93"/>
      <c r="P108" s="94"/>
      <c r="Q108" s="93"/>
      <c r="R108" s="98"/>
      <c r="S108" s="94"/>
      <c r="T108" s="30" t="s">
        <v>68</v>
      </c>
      <c r="U108" s="100">
        <f>MPR!U108+KARACHI!U108+SINDH!U108+'GILGIT -BALTISTAN'!U108:V108+'AZAD - KASHMIR'!U108:V108+KPK!U108</f>
        <v>0</v>
      </c>
      <c r="V108" s="100"/>
      <c r="W108" s="29">
        <f>MPR!W108+KARACHI!W108+SINDH!W108+'GILGIT -BALTISTAN'!W108+'AZAD - KASHMIR'!W108+KPK!W108</f>
        <v>0</v>
      </c>
      <c r="X108" s="100">
        <f>MPR!X108+KARACHI!X108+SINDH!X108+'GILGIT -BALTISTAN'!X108:Y108+'AZAD - KASHMIR'!X108:Y108+KPK!X108</f>
        <v>0</v>
      </c>
      <c r="Y108" s="100"/>
    </row>
    <row r="109" spans="1:25" x14ac:dyDescent="0.25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27"/>
      <c r="M109" s="93"/>
      <c r="N109" s="94"/>
      <c r="O109" s="93"/>
      <c r="P109" s="94"/>
      <c r="Q109" s="93"/>
      <c r="R109" s="98"/>
      <c r="S109" s="94"/>
      <c r="T109" s="30" t="s">
        <v>69</v>
      </c>
      <c r="U109" s="100">
        <f>MPR!U109+KARACHI!U109+SINDH!U109+'GILGIT -BALTISTAN'!U109:V109+'AZAD - KASHMIR'!U109:V109+KPK!U109</f>
        <v>0</v>
      </c>
      <c r="V109" s="100"/>
      <c r="W109" s="29">
        <f>MPR!W109+KARACHI!W109+SINDH!W109+'GILGIT -BALTISTAN'!W109+'AZAD - KASHMIR'!W109+KPK!W109</f>
        <v>0</v>
      </c>
      <c r="X109" s="100">
        <f>MPR!X109+KARACHI!X109+SINDH!X109+'GILGIT -BALTISTAN'!X109:Y109+'AZAD - KASHMIR'!X109:Y109+KPK!X109</f>
        <v>0</v>
      </c>
      <c r="Y109" s="100"/>
    </row>
    <row r="110" spans="1:25" x14ac:dyDescent="0.25">
      <c r="A110" s="165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27"/>
      <c r="M110" s="95"/>
      <c r="N110" s="96"/>
      <c r="O110" s="95"/>
      <c r="P110" s="96"/>
      <c r="Q110" s="95"/>
      <c r="R110" s="99"/>
      <c r="S110" s="96"/>
      <c r="T110" s="30" t="s">
        <v>70</v>
      </c>
      <c r="U110" s="100">
        <f>MPR!U110+KARACHI!U110+SINDH!U110+'GILGIT -BALTISTAN'!U110:V110+'AZAD - KASHMIR'!U110:V110+KPK!U110</f>
        <v>0</v>
      </c>
      <c r="V110" s="100"/>
      <c r="W110" s="29">
        <f>MPR!W110+KARACHI!W110+SINDH!W110+'GILGIT -BALTISTAN'!W110+'AZAD - KASHMIR'!W110+KPK!W110</f>
        <v>0</v>
      </c>
      <c r="X110" s="100">
        <f>MPR!X110+KARACHI!X110+SINDH!X110+'GILGIT -BALTISTAN'!X110:Y110+'AZAD - KASHMIR'!X110:Y110+KPK!X110</f>
        <v>0</v>
      </c>
      <c r="Y110" s="100"/>
    </row>
    <row r="111" spans="1:25" ht="6.75" customHeight="1" x14ac:dyDescent="0.25">
      <c r="A111" s="31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3"/>
      <c r="M111" s="32"/>
      <c r="N111" s="32"/>
      <c r="O111" s="32"/>
      <c r="P111" s="32"/>
      <c r="Q111" s="32"/>
      <c r="R111" s="34"/>
      <c r="S111" s="34"/>
      <c r="T111" s="34"/>
      <c r="U111" s="34"/>
      <c r="V111" s="34"/>
      <c r="W111" s="32"/>
      <c r="X111" s="32"/>
      <c r="Y111" s="7"/>
    </row>
    <row r="112" spans="1:25" ht="15.6" x14ac:dyDescent="0.3">
      <c r="A112" s="18" t="s">
        <v>71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20"/>
      <c r="L112" s="35"/>
      <c r="M112" s="18" t="s">
        <v>72</v>
      </c>
      <c r="N112" s="20"/>
      <c r="O112" s="36"/>
      <c r="P112" s="19"/>
      <c r="Q112" s="19"/>
      <c r="R112" s="19"/>
      <c r="S112" s="19"/>
      <c r="T112" s="19"/>
      <c r="U112" s="19"/>
      <c r="V112" s="19"/>
      <c r="W112" s="22"/>
      <c r="X112" s="22"/>
      <c r="Y112" s="37"/>
    </row>
    <row r="113" spans="1:25" ht="55.5" customHeight="1" x14ac:dyDescent="0.25">
      <c r="A113" s="71"/>
      <c r="B113" s="72"/>
      <c r="C113" s="72"/>
      <c r="D113" s="72"/>
      <c r="E113" s="73"/>
      <c r="F113" s="68" t="s">
        <v>12</v>
      </c>
      <c r="G113" s="70"/>
      <c r="H113" s="68" t="s">
        <v>13</v>
      </c>
      <c r="I113" s="70"/>
      <c r="J113" s="38" t="s">
        <v>73</v>
      </c>
      <c r="K113" s="39"/>
      <c r="L113" s="40"/>
      <c r="M113" s="77" t="s">
        <v>74</v>
      </c>
      <c r="N113" s="78"/>
      <c r="O113" s="77" t="s">
        <v>75</v>
      </c>
      <c r="P113" s="78"/>
      <c r="Q113" s="77" t="s">
        <v>76</v>
      </c>
      <c r="R113" s="78"/>
      <c r="S113" s="77" t="s">
        <v>77</v>
      </c>
      <c r="T113" s="79"/>
      <c r="U113" s="79"/>
      <c r="V113" s="78"/>
      <c r="W113" s="77" t="s">
        <v>78</v>
      </c>
      <c r="X113" s="79"/>
      <c r="Y113" s="78"/>
    </row>
    <row r="114" spans="1:25" ht="22.5" customHeight="1" x14ac:dyDescent="0.25">
      <c r="A114" s="74"/>
      <c r="B114" s="75"/>
      <c r="C114" s="75"/>
      <c r="D114" s="75"/>
      <c r="E114" s="76"/>
      <c r="F114" s="10" t="s">
        <v>79</v>
      </c>
      <c r="G114" s="10" t="s">
        <v>14</v>
      </c>
      <c r="H114" s="10" t="s">
        <v>79</v>
      </c>
      <c r="I114" s="10" t="s">
        <v>14</v>
      </c>
      <c r="J114" s="10" t="s">
        <v>79</v>
      </c>
      <c r="K114" s="10" t="s">
        <v>14</v>
      </c>
      <c r="L114" s="41"/>
      <c r="M114" s="42" t="s">
        <v>80</v>
      </c>
      <c r="N114" s="42" t="s">
        <v>81</v>
      </c>
      <c r="O114" s="42" t="s">
        <v>80</v>
      </c>
      <c r="P114" s="43" t="s">
        <v>81</v>
      </c>
      <c r="Q114" s="42" t="s">
        <v>80</v>
      </c>
      <c r="R114" s="42" t="s">
        <v>81</v>
      </c>
      <c r="S114" s="44"/>
      <c r="T114" s="42" t="s">
        <v>0</v>
      </c>
      <c r="U114" s="45" t="s">
        <v>1</v>
      </c>
      <c r="V114" s="46" t="s">
        <v>82</v>
      </c>
      <c r="W114" s="42" t="s">
        <v>0</v>
      </c>
      <c r="X114" s="45" t="s">
        <v>1</v>
      </c>
      <c r="Y114" s="46" t="s">
        <v>82</v>
      </c>
    </row>
    <row r="115" spans="1:25" ht="14.4" x14ac:dyDescent="0.3">
      <c r="A115" s="80" t="s">
        <v>83</v>
      </c>
      <c r="B115" s="81"/>
      <c r="C115" s="81"/>
      <c r="D115" s="81"/>
      <c r="E115" s="82"/>
      <c r="F115" s="57">
        <f>MPR!F115+KARACHI!F115+SINDH!F115+'GILGIT -BALTISTAN'!F115+'AZAD - KASHMIR'!F115+KPK!F115</f>
        <v>982</v>
      </c>
      <c r="G115" s="57">
        <f>MPR!G115+KARACHI!G115+SINDH!G115+'GILGIT -BALTISTAN'!G115+'AZAD - KASHMIR'!G115+KPK!G115</f>
        <v>6</v>
      </c>
      <c r="H115" s="57">
        <f>MPR!H115+KARACHI!H115+SINDH!H115+'GILGIT -BALTISTAN'!H115+'AZAD - KASHMIR'!H115+KPK!H115</f>
        <v>0</v>
      </c>
      <c r="I115" s="57">
        <f>MPR!I115+KARACHI!I115+SINDH!I115+'GILGIT -BALTISTAN'!I115+'AZAD - KASHMIR'!I115+KPK!I115</f>
        <v>0</v>
      </c>
      <c r="J115" s="57">
        <f>MPR!J115+KARACHI!J115+SINDH!J115+'GILGIT -BALTISTAN'!J115+'AZAD - KASHMIR'!J115+KPK!J115</f>
        <v>0</v>
      </c>
      <c r="K115" s="57">
        <f>MPR!K115+KARACHI!K115+SINDH!K115+'GILGIT -BALTISTAN'!K115+'AZAD - KASHMIR'!K115+KPK!K115</f>
        <v>1</v>
      </c>
      <c r="L115" s="41"/>
      <c r="M115" s="201">
        <f>MPR!M115+KARACHI!M115+SINDH!M115+'GILGIT -BALTISTAN'!M115:M118+'AZAD - KASHMIR'!M115:M118+KPK!M115</f>
        <v>1254</v>
      </c>
      <c r="N115" s="201">
        <f>MPR!N115+KARACHI!N115+SINDH!N115+'GILGIT -BALTISTAN'!N115:N118+'AZAD - KASHMIR'!N115:N118+KPK!N115</f>
        <v>5841</v>
      </c>
      <c r="O115" s="201">
        <f>MPR!O115+KARACHI!O115+SINDH!O115+'GILGIT -BALTISTAN'!O115:O118+'AZAD - KASHMIR'!O115:O118+KPK!O115</f>
        <v>1006</v>
      </c>
      <c r="P115" s="201">
        <f>MPR!P115+KARACHI!P115+SINDH!P115+'GILGIT -BALTISTAN'!P115:P118+'AZAD - KASHMIR'!P115:P118+KPK!P115</f>
        <v>4678</v>
      </c>
      <c r="Q115" s="201">
        <f>MPR!Q115+KARACHI!Q115+SINDH!Q115+'GILGIT -BALTISTAN'!Q115:Q118+'AZAD - KASHMIR'!Q115:Q118+KPK!Q115</f>
        <v>19</v>
      </c>
      <c r="R115" s="201">
        <f>MPR!R115+KARACHI!R115+SINDH!R115+'GILGIT -BALTISTAN'!R115:R118+'AZAD - KASHMIR'!R115:R118+KPK!R115</f>
        <v>193</v>
      </c>
      <c r="S115" s="47" t="s">
        <v>68</v>
      </c>
      <c r="T115" s="66">
        <f>MPR!T115+KARACHI!T115+SINDH!T115+'GILGIT -BALTISTAN'!T115+'AZAD - KASHMIR'!T115+KPK!T115</f>
        <v>1</v>
      </c>
      <c r="U115" s="66">
        <f>MPR!U115+KARACHI!U115+SINDH!U115+'GILGIT -BALTISTAN'!U115+'AZAD - KASHMIR'!U115+KPK!U115</f>
        <v>4</v>
      </c>
      <c r="V115" s="66">
        <f>MPR!V115+KARACHI!V115+SINDH!V115+'GILGIT -BALTISTAN'!V115+'AZAD - KASHMIR'!V115+KPK!V115</f>
        <v>0</v>
      </c>
      <c r="W115" s="66">
        <f>MPR!W115+KARACHI!W115+SINDH!W115+'GILGIT -BALTISTAN'!W115+'AZAD - KASHMIR'!W115+KPK!W115</f>
        <v>0</v>
      </c>
      <c r="X115" s="66">
        <f>MPR!X115+KARACHI!X115+SINDH!X115+'GILGIT -BALTISTAN'!X115+'AZAD - KASHMIR'!X115+KPK!X115</f>
        <v>0</v>
      </c>
      <c r="Y115" s="66">
        <f>MPR!Y115+KARACHI!Y115+SINDH!Y115+'GILGIT -BALTISTAN'!Y115+'AZAD - KASHMIR'!Y115+KPK!Y115</f>
        <v>0</v>
      </c>
    </row>
    <row r="116" spans="1:25" ht="14.4" x14ac:dyDescent="0.3">
      <c r="A116" s="80" t="s">
        <v>8</v>
      </c>
      <c r="B116" s="81"/>
      <c r="C116" s="81"/>
      <c r="D116" s="81"/>
      <c r="E116" s="82"/>
      <c r="F116" s="57">
        <f>MPR!F116+KARACHI!F116+SINDH!F116+'GILGIT -BALTISTAN'!F116+'AZAD - KASHMIR'!F116+KPK!F116</f>
        <v>20</v>
      </c>
      <c r="G116" s="57">
        <f>MPR!G116+KARACHI!G116+SINDH!G116+'GILGIT -BALTISTAN'!G116+'AZAD - KASHMIR'!G116+KPK!G116</f>
        <v>1</v>
      </c>
      <c r="H116" s="57">
        <f>MPR!H116+KARACHI!H116+SINDH!H116+'GILGIT -BALTISTAN'!H116+'AZAD - KASHMIR'!H116+KPK!H116</f>
        <v>0</v>
      </c>
      <c r="I116" s="57">
        <f>MPR!I116+KARACHI!I116+SINDH!I116+'GILGIT -BALTISTAN'!I116+'AZAD - KASHMIR'!I116+KPK!I116</f>
        <v>0</v>
      </c>
      <c r="J116" s="57">
        <f>MPR!J116+KARACHI!J116+SINDH!J116+'GILGIT -BALTISTAN'!J116+'AZAD - KASHMIR'!J116+KPK!J116</f>
        <v>0</v>
      </c>
      <c r="K116" s="57">
        <f>MPR!K116+KARACHI!K116+SINDH!K116+'GILGIT -BALTISTAN'!K116+'AZAD - KASHMIR'!K116+KPK!K116</f>
        <v>0</v>
      </c>
      <c r="L116" s="41"/>
      <c r="M116" s="84"/>
      <c r="N116" s="84"/>
      <c r="O116" s="84"/>
      <c r="P116" s="84"/>
      <c r="Q116" s="84"/>
      <c r="R116" s="84"/>
      <c r="S116" s="47" t="s">
        <v>69</v>
      </c>
      <c r="T116" s="66">
        <f>MPR!T116+KARACHI!T116+SINDH!T116+'GILGIT -BALTISTAN'!T116+'AZAD - KASHMIR'!T116+KPK!T116</f>
        <v>0</v>
      </c>
      <c r="U116" s="66">
        <f>MPR!U116+KARACHI!U116+SINDH!U116+'GILGIT -BALTISTAN'!U116+'AZAD - KASHMIR'!U116+KPK!U116</f>
        <v>0</v>
      </c>
      <c r="V116" s="66">
        <f>MPR!V116+KARACHI!V116+SINDH!V116+'GILGIT -BALTISTAN'!V116+'AZAD - KASHMIR'!V116+KPK!V116</f>
        <v>0</v>
      </c>
      <c r="W116" s="66">
        <f>MPR!W116+KARACHI!W116+SINDH!W116+'GILGIT -BALTISTAN'!W116+'AZAD - KASHMIR'!W116+KPK!W116</f>
        <v>0</v>
      </c>
      <c r="X116" s="66">
        <f>MPR!X116+KARACHI!X116+SINDH!X116+'GILGIT -BALTISTAN'!X116+'AZAD - KASHMIR'!X116+KPK!X116</f>
        <v>0</v>
      </c>
      <c r="Y116" s="66">
        <f>MPR!Y116+KARACHI!Y116+SINDH!Y116+'GILGIT -BALTISTAN'!Y116+'AZAD - KASHMIR'!Y116+KPK!Y116</f>
        <v>0</v>
      </c>
    </row>
    <row r="117" spans="1:25" ht="15" customHeight="1" x14ac:dyDescent="0.25">
      <c r="A117" s="86" t="s">
        <v>84</v>
      </c>
      <c r="B117" s="87"/>
      <c r="C117" s="87"/>
      <c r="D117" s="87"/>
      <c r="E117" s="88"/>
      <c r="F117" s="57">
        <f>MPR!F117+KARACHI!F117+SINDH!F117+'GILGIT -BALTISTAN'!F117+'AZAD - KASHMIR'!F117+KPK!F117</f>
        <v>11</v>
      </c>
      <c r="G117" s="57">
        <f>MPR!G117+KARACHI!G117+SINDH!G117+'GILGIT -BALTISTAN'!G117+'AZAD - KASHMIR'!G117+KPK!G117</f>
        <v>0</v>
      </c>
      <c r="H117" s="57">
        <f>MPR!H117+KARACHI!H117+SINDH!H117+'GILGIT -BALTISTAN'!H117+'AZAD - KASHMIR'!H117+KPK!H117</f>
        <v>0</v>
      </c>
      <c r="I117" s="57">
        <f>MPR!I117+KARACHI!I117+SINDH!I117+'GILGIT -BALTISTAN'!I117+'AZAD - KASHMIR'!I117+KPK!I117</f>
        <v>0</v>
      </c>
      <c r="J117" s="57">
        <f>MPR!J117+KARACHI!J117+SINDH!J117+'GILGIT -BALTISTAN'!J117+'AZAD - KASHMIR'!J117+KPK!J117</f>
        <v>0</v>
      </c>
      <c r="K117" s="57">
        <f>MPR!K117+KARACHI!K117+SINDH!K117+'GILGIT -BALTISTAN'!K117+'AZAD - KASHMIR'!K117+KPK!K117</f>
        <v>0</v>
      </c>
      <c r="L117" s="41"/>
      <c r="M117" s="84"/>
      <c r="N117" s="84"/>
      <c r="O117" s="84"/>
      <c r="P117" s="84"/>
      <c r="Q117" s="84"/>
      <c r="R117" s="84"/>
      <c r="S117" s="89" t="s">
        <v>70</v>
      </c>
      <c r="T117" s="83">
        <f>MPR!T117+KARACHI!T117+SINDH!T117+'GILGIT -BALTISTAN'!T117:T118+'AZAD - KASHMIR'!T117:T118+KPK!T117</f>
        <v>0</v>
      </c>
      <c r="U117" s="83">
        <f>MPR!U117+KARACHI!U117+SINDH!U117+'GILGIT -BALTISTAN'!U117:U118+'AZAD - KASHMIR'!U117:U118+KPK!U117</f>
        <v>0</v>
      </c>
      <c r="V117" s="83">
        <f>MPR!V117+KARACHI!V117+SINDH!V117+'GILGIT -BALTISTAN'!V117:V118+'AZAD - KASHMIR'!V117:V118+KPK!V117</f>
        <v>0</v>
      </c>
      <c r="W117" s="83">
        <f>MPR!W117+KARACHI!W117+SINDH!W117+'GILGIT -BALTISTAN'!W117:W118+'AZAD - KASHMIR'!W117:W118+KPK!W117</f>
        <v>0</v>
      </c>
      <c r="X117" s="83">
        <f>MPR!X117+KARACHI!X117+SINDH!X117+'GILGIT -BALTISTAN'!X117:X118+'AZAD - KASHMIR'!X117:X118+KPK!X117</f>
        <v>0</v>
      </c>
      <c r="Y117" s="83">
        <f>MPR!Y117+KARACHI!Y117+SINDH!Y117+'GILGIT -BALTISTAN'!Y117:Y118+'AZAD - KASHMIR'!Y117:Y118+KPK!Y117</f>
        <v>0</v>
      </c>
    </row>
    <row r="118" spans="1:25" x14ac:dyDescent="0.25">
      <c r="A118" s="68" t="s">
        <v>7</v>
      </c>
      <c r="B118" s="69"/>
      <c r="C118" s="69"/>
      <c r="D118" s="69"/>
      <c r="E118" s="70"/>
      <c r="F118" s="10">
        <f>SUM(F115:F117)</f>
        <v>1013</v>
      </c>
      <c r="G118" s="10">
        <f t="shared" ref="G118:K118" si="11">SUM(G115:G117)</f>
        <v>7</v>
      </c>
      <c r="H118" s="10">
        <f t="shared" si="11"/>
        <v>0</v>
      </c>
      <c r="I118" s="10">
        <f t="shared" si="11"/>
        <v>0</v>
      </c>
      <c r="J118" s="10">
        <f t="shared" si="11"/>
        <v>0</v>
      </c>
      <c r="K118" s="10">
        <f t="shared" si="11"/>
        <v>1</v>
      </c>
      <c r="L118" s="41"/>
      <c r="M118" s="85"/>
      <c r="N118" s="85"/>
      <c r="O118" s="85"/>
      <c r="P118" s="85"/>
      <c r="Q118" s="85"/>
      <c r="R118" s="85"/>
      <c r="S118" s="90"/>
      <c r="T118" s="85"/>
      <c r="U118" s="85"/>
      <c r="V118" s="85"/>
      <c r="W118" s="85"/>
      <c r="X118" s="85"/>
      <c r="Y118" s="85"/>
    </row>
    <row r="119" spans="1:25" ht="23.4" x14ac:dyDescent="0.45">
      <c r="A119" s="120" t="s">
        <v>17</v>
      </c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</row>
    <row r="120" spans="1:25" ht="23.4" x14ac:dyDescent="0.25">
      <c r="A120" s="111" t="s">
        <v>18</v>
      </c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"/>
      <c r="U120" s="112" t="s">
        <v>19</v>
      </c>
      <c r="V120" s="112"/>
      <c r="W120" s="1"/>
      <c r="X120" s="1"/>
      <c r="Y120" s="1"/>
    </row>
    <row r="121" spans="1:25" ht="25.8" x14ac:dyDescent="0.25">
      <c r="A121" s="113" t="s">
        <v>20</v>
      </c>
      <c r="B121" s="113"/>
      <c r="C121" s="113"/>
      <c r="D121" s="113"/>
      <c r="E121" s="196" t="str">
        <f>E4</f>
        <v>All Project Total</v>
      </c>
      <c r="F121" s="196"/>
      <c r="G121" s="196"/>
      <c r="H121" s="116" t="s">
        <v>22</v>
      </c>
      <c r="I121" s="116"/>
      <c r="J121" s="115">
        <f>J4</f>
        <v>0</v>
      </c>
      <c r="K121" s="115"/>
      <c r="L121" s="116" t="s">
        <v>23</v>
      </c>
      <c r="M121" s="116"/>
      <c r="N121" s="188" t="str">
        <f>N4</f>
        <v>CONSOLIDATED</v>
      </c>
      <c r="O121" s="188"/>
      <c r="P121" s="188"/>
      <c r="Q121" s="118" t="s">
        <v>24</v>
      </c>
      <c r="R121" s="118"/>
      <c r="S121" s="118"/>
      <c r="T121" s="118"/>
      <c r="U121" s="119" t="s">
        <v>87</v>
      </c>
      <c r="V121" s="119"/>
      <c r="W121" s="119"/>
      <c r="X121" s="147" t="str">
        <f>X82</f>
        <v>of Year 2023</v>
      </c>
      <c r="Y121" s="147"/>
    </row>
    <row r="122" spans="1:25" x14ac:dyDescent="0.25">
      <c r="Q122" s="118"/>
      <c r="R122" s="118"/>
      <c r="S122" s="118"/>
      <c r="T122" s="118"/>
      <c r="U122" s="119"/>
      <c r="V122" s="119"/>
      <c r="W122" s="119"/>
      <c r="X122" s="147"/>
      <c r="Y122" s="147"/>
    </row>
    <row r="123" spans="1:25" ht="15.6" x14ac:dyDescent="0.3">
      <c r="A123" s="166" t="s">
        <v>26</v>
      </c>
      <c r="B123" s="166"/>
      <c r="C123" s="166"/>
      <c r="D123" s="166"/>
      <c r="E123" s="166"/>
      <c r="F123" s="166"/>
      <c r="G123" s="167" t="s">
        <v>27</v>
      </c>
      <c r="H123" s="167"/>
      <c r="I123" s="167"/>
      <c r="J123" s="167"/>
      <c r="K123" s="167"/>
      <c r="L123" s="167"/>
      <c r="M123" s="167"/>
      <c r="N123" s="2"/>
      <c r="Q123" s="168" t="s">
        <v>28</v>
      </c>
      <c r="R123" s="168"/>
      <c r="S123" s="168"/>
      <c r="T123" s="168"/>
      <c r="U123" s="168"/>
      <c r="V123" s="148" t="s">
        <v>29</v>
      </c>
      <c r="W123" s="148"/>
      <c r="X123" s="148"/>
      <c r="Y123" s="148"/>
    </row>
    <row r="124" spans="1:25" ht="4.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4.4" x14ac:dyDescent="0.25">
      <c r="A125" s="149" t="s">
        <v>31</v>
      </c>
      <c r="B125" s="150"/>
      <c r="C125" s="150"/>
      <c r="D125" s="150"/>
      <c r="E125" s="150"/>
      <c r="F125" s="150"/>
      <c r="G125" s="150"/>
      <c r="H125" s="150"/>
      <c r="I125" s="151"/>
      <c r="J125" s="152" t="s">
        <v>32</v>
      </c>
      <c r="K125" s="153"/>
      <c r="L125" s="152" t="s">
        <v>33</v>
      </c>
      <c r="M125" s="153"/>
      <c r="N125" s="91" t="s">
        <v>34</v>
      </c>
      <c r="O125" s="92"/>
      <c r="P125" s="152" t="s">
        <v>35</v>
      </c>
      <c r="Q125" s="153"/>
      <c r="R125" s="68" t="s">
        <v>36</v>
      </c>
      <c r="S125" s="69"/>
      <c r="T125" s="69"/>
      <c r="U125" s="69"/>
      <c r="V125" s="69"/>
      <c r="W125" s="70"/>
      <c r="X125" s="152" t="s">
        <v>7</v>
      </c>
      <c r="Y125" s="153"/>
    </row>
    <row r="126" spans="1:25" x14ac:dyDescent="0.25">
      <c r="A126" s="158" t="s">
        <v>37</v>
      </c>
      <c r="B126" s="159"/>
      <c r="C126" s="159"/>
      <c r="D126" s="159"/>
      <c r="E126" s="159"/>
      <c r="F126" s="159"/>
      <c r="G126" s="159"/>
      <c r="H126" s="159"/>
      <c r="I126" s="160"/>
      <c r="J126" s="154"/>
      <c r="K126" s="155"/>
      <c r="L126" s="154"/>
      <c r="M126" s="155"/>
      <c r="N126" s="93"/>
      <c r="O126" s="94"/>
      <c r="P126" s="154"/>
      <c r="Q126" s="155"/>
      <c r="R126" s="164" t="s">
        <v>38</v>
      </c>
      <c r="S126" s="164"/>
      <c r="T126" s="164" t="s">
        <v>39</v>
      </c>
      <c r="U126" s="164"/>
      <c r="V126" s="164" t="s">
        <v>40</v>
      </c>
      <c r="W126" s="164"/>
      <c r="X126" s="154"/>
      <c r="Y126" s="155"/>
    </row>
    <row r="127" spans="1:25" x14ac:dyDescent="0.25">
      <c r="A127" s="161"/>
      <c r="B127" s="162"/>
      <c r="C127" s="162"/>
      <c r="D127" s="162"/>
      <c r="E127" s="162"/>
      <c r="F127" s="162"/>
      <c r="G127" s="162"/>
      <c r="H127" s="162"/>
      <c r="I127" s="163"/>
      <c r="J127" s="156"/>
      <c r="K127" s="157"/>
      <c r="L127" s="156"/>
      <c r="M127" s="157"/>
      <c r="N127" s="95"/>
      <c r="O127" s="96"/>
      <c r="P127" s="156"/>
      <c r="Q127" s="157"/>
      <c r="R127" s="165"/>
      <c r="S127" s="165"/>
      <c r="T127" s="165"/>
      <c r="U127" s="165"/>
      <c r="V127" s="165"/>
      <c r="W127" s="165"/>
      <c r="X127" s="156"/>
      <c r="Y127" s="157"/>
    </row>
    <row r="128" spans="1:25" ht="14.4" x14ac:dyDescent="0.3">
      <c r="A128" s="106" t="s">
        <v>41</v>
      </c>
      <c r="B128" s="107"/>
      <c r="C128" s="107"/>
      <c r="D128" s="107"/>
      <c r="E128" s="107"/>
      <c r="F128" s="107"/>
      <c r="G128" s="107"/>
      <c r="H128" s="107"/>
      <c r="I128" s="108"/>
      <c r="J128" s="170">
        <f>MPR!J128+KARACHI!J128+SINDH!J128+'GILGIT -BALTISTAN'!J128+'AZAD - KASHMIR'!J128+KPK!J128</f>
        <v>969</v>
      </c>
      <c r="K128" s="171"/>
      <c r="L128" s="170">
        <f>MPR!L128+KARACHI!L128+SINDH!L128+'GILGIT -BALTISTAN'!L128+'AZAD - KASHMIR'!L128+KPK!L128</f>
        <v>76</v>
      </c>
      <c r="M128" s="171"/>
      <c r="N128" s="170">
        <f>MPR!N128+KARACHI!N128+SINDH!N128+'GILGIT -BALTISTAN'!N128+'AZAD - KASHMIR'!N128+KPK!N128</f>
        <v>0</v>
      </c>
      <c r="O128" s="171"/>
      <c r="P128" s="170">
        <f>SUM(J128+L128+N128)</f>
        <v>1045</v>
      </c>
      <c r="Q128" s="171"/>
      <c r="R128" s="170">
        <f>MPR!R128+KARACHI!R128+SINDH!R128+'GILGIT -BALTISTAN'!R128+'AZAD - KASHMIR'!R128+KPK!R128</f>
        <v>1</v>
      </c>
      <c r="S128" s="171"/>
      <c r="T128" s="170">
        <f>MPR!T128+KARACHI!T128+SINDH!T128+'GILGIT -BALTISTAN'!T128+'AZAD - KASHMIR'!T128+KPK!T128</f>
        <v>1</v>
      </c>
      <c r="U128" s="171"/>
      <c r="V128" s="170">
        <f>MPR!V128+KARACHI!V128+SINDH!V128+'GILGIT -BALTISTAN'!V128+'AZAD - KASHMIR'!V128+KPK!V128</f>
        <v>2</v>
      </c>
      <c r="W128" s="171"/>
      <c r="X128" s="172">
        <f>SUM(J128+L128+N128+R128+T128+V128)</f>
        <v>1049</v>
      </c>
      <c r="Y128" s="173"/>
    </row>
    <row r="129" spans="1:25" ht="18" customHeight="1" x14ac:dyDescent="0.3">
      <c r="A129" s="106" t="s">
        <v>42</v>
      </c>
      <c r="B129" s="107"/>
      <c r="C129" s="107"/>
      <c r="D129" s="107"/>
      <c r="E129" s="107"/>
      <c r="F129" s="107"/>
      <c r="G129" s="107"/>
      <c r="H129" s="107"/>
      <c r="I129" s="108"/>
      <c r="J129" s="170">
        <f>MPR!J129+KARACHI!J129+SINDH!J129+'GILGIT -BALTISTAN'!J129+'AZAD - KASHMIR'!J129+KPK!J129</f>
        <v>1265</v>
      </c>
      <c r="K129" s="171"/>
      <c r="L129" s="170">
        <f>MPR!L129+KARACHI!L129+SINDH!L129+'GILGIT -BALTISTAN'!L129+'AZAD - KASHMIR'!L129+KPK!L129</f>
        <v>31</v>
      </c>
      <c r="M129" s="171"/>
      <c r="N129" s="170">
        <f>MPR!N129+KARACHI!N129+SINDH!N129+'GILGIT -BALTISTAN'!N129+'AZAD - KASHMIR'!N129+KPK!N129</f>
        <v>3</v>
      </c>
      <c r="O129" s="171"/>
      <c r="P129" s="170">
        <f>SUM(J129+L129+N129)</f>
        <v>1299</v>
      </c>
      <c r="Q129" s="171"/>
      <c r="R129" s="170">
        <f>MPR!R129+KARACHI!R129+SINDH!R129+'GILGIT -BALTISTAN'!R129+'AZAD - KASHMIR'!R129+KPK!R129</f>
        <v>1</v>
      </c>
      <c r="S129" s="171"/>
      <c r="T129" s="170">
        <f>MPR!T129+KARACHI!T129+SINDH!T129+'GILGIT -BALTISTAN'!T129+'AZAD - KASHMIR'!T129+KPK!T129</f>
        <v>0</v>
      </c>
      <c r="U129" s="171"/>
      <c r="V129" s="170">
        <f>MPR!V129+KARACHI!V129+SINDH!V129+'GILGIT -BALTISTAN'!V129+'AZAD - KASHMIR'!V129+KPK!V129</f>
        <v>3</v>
      </c>
      <c r="W129" s="171"/>
      <c r="X129" s="172">
        <f>SUM(J129+L129+N129+R129+T129+V129)</f>
        <v>1303</v>
      </c>
      <c r="Y129" s="173"/>
    </row>
    <row r="130" spans="1:25" ht="18" customHeight="1" x14ac:dyDescent="0.3">
      <c r="A130" s="106" t="s">
        <v>43</v>
      </c>
      <c r="B130" s="107"/>
      <c r="C130" s="107"/>
      <c r="D130" s="107"/>
      <c r="E130" s="107"/>
      <c r="F130" s="107"/>
      <c r="G130" s="107"/>
      <c r="H130" s="107"/>
      <c r="I130" s="108"/>
      <c r="J130" s="170">
        <f>MPR!J130+KARACHI!J130+SINDH!J130+'GILGIT -BALTISTAN'!J130+'AZAD - KASHMIR'!J130+KPK!J130</f>
        <v>2</v>
      </c>
      <c r="K130" s="171"/>
      <c r="L130" s="170">
        <f>MPR!L130+KARACHI!L130+SINDH!L130+'GILGIT -BALTISTAN'!L130+'AZAD - KASHMIR'!L130+KPK!L130</f>
        <v>0</v>
      </c>
      <c r="M130" s="171"/>
      <c r="N130" s="170">
        <f>MPR!N130+KARACHI!N130+SINDH!N130+'GILGIT -BALTISTAN'!N130+'AZAD - KASHMIR'!N130+KPK!N130</f>
        <v>0</v>
      </c>
      <c r="O130" s="171"/>
      <c r="P130" s="170">
        <f>SUM(J130+L130+N130)</f>
        <v>2</v>
      </c>
      <c r="Q130" s="171"/>
      <c r="R130" s="170">
        <f>MPR!R130+KARACHI!R130+SINDH!R130+'GILGIT -BALTISTAN'!R130+'AZAD - KASHMIR'!R130+KPK!R130</f>
        <v>0</v>
      </c>
      <c r="S130" s="171"/>
      <c r="T130" s="170">
        <f>MPR!T130+KARACHI!T130+SINDH!T130+'GILGIT -BALTISTAN'!T130+'AZAD - KASHMIR'!T130+KPK!T130</f>
        <v>0</v>
      </c>
      <c r="U130" s="171"/>
      <c r="V130" s="170">
        <f>MPR!V130+KARACHI!V130+SINDH!V130+'GILGIT -BALTISTAN'!V130+'AZAD - KASHMIR'!V130+KPK!V130</f>
        <v>0</v>
      </c>
      <c r="W130" s="171"/>
      <c r="X130" s="172">
        <f>SUM(J130+L130+N130+R130+T130+V130)</f>
        <v>2</v>
      </c>
      <c r="Y130" s="173"/>
    </row>
    <row r="131" spans="1:25" ht="18" customHeight="1" x14ac:dyDescent="0.3">
      <c r="A131" s="106" t="s">
        <v>44</v>
      </c>
      <c r="B131" s="107"/>
      <c r="C131" s="107"/>
      <c r="D131" s="107"/>
      <c r="E131" s="107"/>
      <c r="F131" s="107"/>
      <c r="G131" s="107"/>
      <c r="H131" s="107"/>
      <c r="I131" s="108"/>
      <c r="J131" s="170">
        <f>MPR!J131+KARACHI!J131+SINDH!J131+'GILGIT -BALTISTAN'!J131+'AZAD - KASHMIR'!J131+KPK!J131</f>
        <v>800</v>
      </c>
      <c r="K131" s="171"/>
      <c r="L131" s="170">
        <f>MPR!L131+KARACHI!L131+SINDH!L131+'GILGIT -BALTISTAN'!L131+'AZAD - KASHMIR'!L131+KPK!L131</f>
        <v>8</v>
      </c>
      <c r="M131" s="171"/>
      <c r="N131" s="170">
        <f>MPR!N131+KARACHI!N131+SINDH!N131+'GILGIT -BALTISTAN'!N131+'AZAD - KASHMIR'!N131+KPK!N131</f>
        <v>0</v>
      </c>
      <c r="O131" s="171"/>
      <c r="P131" s="170">
        <f>SUM(J131+L131+N131)</f>
        <v>808</v>
      </c>
      <c r="Q131" s="171"/>
      <c r="R131" s="170">
        <f>MPR!R131+KARACHI!R131+SINDH!R131+'GILGIT -BALTISTAN'!R131+'AZAD - KASHMIR'!R131+KPK!R131</f>
        <v>0</v>
      </c>
      <c r="S131" s="171"/>
      <c r="T131" s="170">
        <f>MPR!T131+KARACHI!T131+SINDH!T131+'GILGIT -BALTISTAN'!T131+'AZAD - KASHMIR'!T131+KPK!T131</f>
        <v>0</v>
      </c>
      <c r="U131" s="171"/>
      <c r="V131" s="170">
        <f>MPR!V131+KARACHI!V131+SINDH!V131+'GILGIT -BALTISTAN'!V131+'AZAD - KASHMIR'!V131+KPK!V131</f>
        <v>16</v>
      </c>
      <c r="W131" s="171"/>
      <c r="X131" s="172">
        <f>SUM(J131+L131+N131+R131+T131+V131)</f>
        <v>824</v>
      </c>
      <c r="Y131" s="173"/>
    </row>
    <row r="132" spans="1:25" ht="18" customHeight="1" x14ac:dyDescent="0.3">
      <c r="A132" s="106" t="s">
        <v>7</v>
      </c>
      <c r="B132" s="107"/>
      <c r="C132" s="107"/>
      <c r="D132" s="107"/>
      <c r="E132" s="107"/>
      <c r="F132" s="107"/>
      <c r="G132" s="107"/>
      <c r="H132" s="107"/>
      <c r="I132" s="108"/>
      <c r="J132" s="170">
        <f>SUM(J128:K131)</f>
        <v>3036</v>
      </c>
      <c r="K132" s="171"/>
      <c r="L132" s="170">
        <f>SUM(L128:M131)</f>
        <v>115</v>
      </c>
      <c r="M132" s="171"/>
      <c r="N132" s="170">
        <f>SUM(N128:O131)</f>
        <v>3</v>
      </c>
      <c r="O132" s="171"/>
      <c r="P132" s="170">
        <f>SUM(J132+L132+N132)</f>
        <v>3154</v>
      </c>
      <c r="Q132" s="171"/>
      <c r="R132" s="170">
        <f>SUM(R128:S131)</f>
        <v>2</v>
      </c>
      <c r="S132" s="171"/>
      <c r="T132" s="170">
        <f>SUM(T128:U131)</f>
        <v>1</v>
      </c>
      <c r="U132" s="171"/>
      <c r="V132" s="170">
        <f>SUM(V128:W131)</f>
        <v>21</v>
      </c>
      <c r="W132" s="171"/>
      <c r="X132" s="172">
        <f>SUM(J132+L132+N132+R132+T132+V132)</f>
        <v>3178</v>
      </c>
      <c r="Y132" s="173"/>
    </row>
    <row r="133" spans="1:25" ht="15.6" x14ac:dyDescent="0.3">
      <c r="A133" s="4" t="s">
        <v>45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6"/>
      <c r="S133" s="6"/>
      <c r="T133" s="6"/>
      <c r="U133" s="6"/>
      <c r="V133" s="6"/>
      <c r="W133" s="6"/>
      <c r="X133" s="6"/>
      <c r="Y133" s="7"/>
    </row>
    <row r="134" spans="1:25" x14ac:dyDescent="0.25">
      <c r="A134" s="71"/>
      <c r="B134" s="72"/>
      <c r="C134" s="72"/>
      <c r="D134" s="72"/>
      <c r="E134" s="72"/>
      <c r="F134" s="72"/>
      <c r="G134" s="73"/>
      <c r="H134" s="68" t="s">
        <v>0</v>
      </c>
      <c r="I134" s="69"/>
      <c r="J134" s="136" t="s">
        <v>1</v>
      </c>
      <c r="K134" s="69"/>
      <c r="L134" s="134" t="s">
        <v>2</v>
      </c>
      <c r="M134" s="69"/>
      <c r="N134" s="134" t="s">
        <v>3</v>
      </c>
      <c r="O134" s="69"/>
      <c r="P134" s="134" t="s">
        <v>4</v>
      </c>
      <c r="Q134" s="135"/>
      <c r="R134" s="134" t="s">
        <v>5</v>
      </c>
      <c r="S134" s="69"/>
      <c r="T134" s="134" t="s">
        <v>6</v>
      </c>
      <c r="U134" s="69"/>
      <c r="V134" s="134" t="s">
        <v>46</v>
      </c>
      <c r="W134" s="69"/>
      <c r="X134" s="134" t="s">
        <v>7</v>
      </c>
      <c r="Y134" s="135"/>
    </row>
    <row r="135" spans="1:25" x14ac:dyDescent="0.25">
      <c r="A135" s="74"/>
      <c r="B135" s="75"/>
      <c r="C135" s="75"/>
      <c r="D135" s="75"/>
      <c r="E135" s="75"/>
      <c r="F135" s="75"/>
      <c r="G135" s="76"/>
      <c r="H135" s="10" t="s">
        <v>10</v>
      </c>
      <c r="I135" s="10" t="s">
        <v>11</v>
      </c>
      <c r="J135" s="10" t="s">
        <v>10</v>
      </c>
      <c r="K135" s="10" t="s">
        <v>11</v>
      </c>
      <c r="L135" s="10" t="s">
        <v>10</v>
      </c>
      <c r="M135" s="10" t="s">
        <v>11</v>
      </c>
      <c r="N135" s="10" t="s">
        <v>10</v>
      </c>
      <c r="O135" s="10" t="s">
        <v>11</v>
      </c>
      <c r="P135" s="10" t="s">
        <v>10</v>
      </c>
      <c r="Q135" s="10" t="s">
        <v>11</v>
      </c>
      <c r="R135" s="10" t="s">
        <v>10</v>
      </c>
      <c r="S135" s="10" t="s">
        <v>11</v>
      </c>
      <c r="T135" s="10" t="s">
        <v>10</v>
      </c>
      <c r="U135" s="10" t="s">
        <v>11</v>
      </c>
      <c r="V135" s="10" t="s">
        <v>10</v>
      </c>
      <c r="W135" s="10" t="s">
        <v>11</v>
      </c>
      <c r="X135" s="10" t="s">
        <v>10</v>
      </c>
      <c r="Y135" s="10" t="s">
        <v>11</v>
      </c>
    </row>
    <row r="136" spans="1:25" ht="18" customHeight="1" x14ac:dyDescent="0.25">
      <c r="A136" s="106" t="s">
        <v>41</v>
      </c>
      <c r="B136" s="107"/>
      <c r="C136" s="107"/>
      <c r="D136" s="107"/>
      <c r="E136" s="107"/>
      <c r="F136" s="107"/>
      <c r="G136" s="108"/>
      <c r="H136" s="51">
        <f>MPR!H136+KARACHI!H136+SINDH!H136+'GILGIT -BALTISTAN'!H136+'AZAD - KASHMIR'!H136+KPK!H136</f>
        <v>2</v>
      </c>
      <c r="I136" s="51">
        <f>MPR!I136+KARACHI!I136+SINDH!I136+'GILGIT -BALTISTAN'!I136+'AZAD - KASHMIR'!I136+KPK!I136</f>
        <v>0</v>
      </c>
      <c r="J136" s="51">
        <f>MPR!J136+KARACHI!J136+SINDH!J136+'GILGIT -BALTISTAN'!J136+'AZAD - KASHMIR'!J136+KPK!J136</f>
        <v>9</v>
      </c>
      <c r="K136" s="51">
        <f>MPR!K136+KARACHI!K136+SINDH!K136+'GILGIT -BALTISTAN'!K136+'AZAD - KASHMIR'!K136+KPK!K136</f>
        <v>15</v>
      </c>
      <c r="L136" s="51">
        <f>MPR!L136+KARACHI!L136+SINDH!L136+'GILGIT -BALTISTAN'!L136+'AZAD - KASHMIR'!L136+KPK!L136</f>
        <v>74</v>
      </c>
      <c r="M136" s="51">
        <f>MPR!M136+KARACHI!M136+SINDH!M136+'GILGIT -BALTISTAN'!M136+'AZAD - KASHMIR'!M136+KPK!M136</f>
        <v>130</v>
      </c>
      <c r="N136" s="51">
        <f>MPR!N136+KARACHI!N136+SINDH!N136+'GILGIT -BALTISTAN'!N136+'AZAD - KASHMIR'!N136+KPK!N136</f>
        <v>93</v>
      </c>
      <c r="O136" s="51">
        <f>MPR!O136+KARACHI!O136+SINDH!O136+'GILGIT -BALTISTAN'!O136+'AZAD - KASHMIR'!O136+KPK!O136</f>
        <v>74</v>
      </c>
      <c r="P136" s="51">
        <f>MPR!P136+KARACHI!P136+SINDH!P136+'GILGIT -BALTISTAN'!P136+'AZAD - KASHMIR'!P136+KPK!P136</f>
        <v>62</v>
      </c>
      <c r="Q136" s="51">
        <f>MPR!Q136+KARACHI!Q136+SINDH!Q136+'GILGIT -BALTISTAN'!Q136+'AZAD - KASHMIR'!Q136+KPK!Q136</f>
        <v>65</v>
      </c>
      <c r="R136" s="51">
        <f>MPR!R136+KARACHI!R136+SINDH!R136+'GILGIT -BALTISTAN'!R136+'AZAD - KASHMIR'!R136+KPK!R136</f>
        <v>84</v>
      </c>
      <c r="S136" s="51">
        <f>MPR!S136+KARACHI!S136+SINDH!S136+'GILGIT -BALTISTAN'!S136+'AZAD - KASHMIR'!S136+KPK!S136</f>
        <v>56</v>
      </c>
      <c r="T136" s="51">
        <f>MPR!T136+KARACHI!T136+SINDH!T136+'GILGIT -BALTISTAN'!T136+'AZAD - KASHMIR'!T136+KPK!T136</f>
        <v>97</v>
      </c>
      <c r="U136" s="51">
        <f>MPR!U136+KARACHI!U136+SINDH!U136+'GILGIT -BALTISTAN'!U136+'AZAD - KASHMIR'!U136+KPK!U136</f>
        <v>81</v>
      </c>
      <c r="V136" s="51">
        <f>MPR!V136+KARACHI!V136+SINDH!V136+'GILGIT -BALTISTAN'!V136+'AZAD - KASHMIR'!V136+KPK!V136</f>
        <v>123</v>
      </c>
      <c r="W136" s="51">
        <f>MPR!W136+KARACHI!W136+SINDH!W136+'GILGIT -BALTISTAN'!W136+'AZAD - KASHMIR'!W136+KPK!W136</f>
        <v>79</v>
      </c>
      <c r="X136" s="51">
        <f>SUM(H136+J136+L136+N136+P136+R136+T136+V136)</f>
        <v>544</v>
      </c>
      <c r="Y136" s="51">
        <f>SUM(I136+K136+M136+O136+Q136+S136+U136+W136)</f>
        <v>500</v>
      </c>
    </row>
    <row r="137" spans="1:25" ht="18" customHeight="1" x14ac:dyDescent="0.25">
      <c r="A137" s="106" t="s">
        <v>42</v>
      </c>
      <c r="B137" s="107"/>
      <c r="C137" s="107"/>
      <c r="D137" s="107"/>
      <c r="E137" s="107"/>
      <c r="F137" s="107"/>
      <c r="G137" s="108"/>
      <c r="H137" s="51">
        <f>MPR!H137+KARACHI!H137+SINDH!H137+'GILGIT -BALTISTAN'!H137+'AZAD - KASHMIR'!H137+KPK!H137</f>
        <v>240</v>
      </c>
      <c r="I137" s="51">
        <f>MPR!I137+KARACHI!I137+SINDH!I137+'GILGIT -BALTISTAN'!I137+'AZAD - KASHMIR'!I137+KPK!I137</f>
        <v>165</v>
      </c>
      <c r="J137" s="51">
        <f>MPR!J137+KARACHI!J137+SINDH!J137+'GILGIT -BALTISTAN'!J137+'AZAD - KASHMIR'!J137+KPK!J137</f>
        <v>71</v>
      </c>
      <c r="K137" s="51">
        <f>MPR!K137+KARACHI!K137+SINDH!K137+'GILGIT -BALTISTAN'!K137+'AZAD - KASHMIR'!K137+KPK!K137</f>
        <v>67</v>
      </c>
      <c r="L137" s="51">
        <f>MPR!L137+KARACHI!L137+SINDH!L137+'GILGIT -BALTISTAN'!L137+'AZAD - KASHMIR'!L137+KPK!L137</f>
        <v>62</v>
      </c>
      <c r="M137" s="51">
        <f>MPR!M137+KARACHI!M137+SINDH!M137+'GILGIT -BALTISTAN'!M137+'AZAD - KASHMIR'!M137+KPK!M137</f>
        <v>76</v>
      </c>
      <c r="N137" s="51">
        <f>MPR!N137+KARACHI!N137+SINDH!N137+'GILGIT -BALTISTAN'!N137+'AZAD - KASHMIR'!N137+KPK!N137</f>
        <v>54</v>
      </c>
      <c r="O137" s="51">
        <f>MPR!O137+KARACHI!O137+SINDH!O137+'GILGIT -BALTISTAN'!O137+'AZAD - KASHMIR'!O137+KPK!O137</f>
        <v>66</v>
      </c>
      <c r="P137" s="51">
        <f>MPR!P137+KARACHI!P137+SINDH!P137+'GILGIT -BALTISTAN'!P137+'AZAD - KASHMIR'!P137+KPK!P137</f>
        <v>61</v>
      </c>
      <c r="Q137" s="51">
        <f>MPR!Q137+KARACHI!Q137+SINDH!Q137+'GILGIT -BALTISTAN'!Q137+'AZAD - KASHMIR'!Q137+KPK!Q137</f>
        <v>60</v>
      </c>
      <c r="R137" s="51">
        <f>MPR!R137+KARACHI!R137+SINDH!R137+'GILGIT -BALTISTAN'!R137+'AZAD - KASHMIR'!R137+KPK!R137</f>
        <v>54</v>
      </c>
      <c r="S137" s="51">
        <f>MPR!S137+KARACHI!S137+SINDH!S137+'GILGIT -BALTISTAN'!S137+'AZAD - KASHMIR'!S137+KPK!S137</f>
        <v>49</v>
      </c>
      <c r="T137" s="51">
        <f>MPR!T137+KARACHI!T137+SINDH!T137+'GILGIT -BALTISTAN'!T137+'AZAD - KASHMIR'!T137+KPK!T137</f>
        <v>70</v>
      </c>
      <c r="U137" s="51">
        <f>MPR!U137+KARACHI!U137+SINDH!U137+'GILGIT -BALTISTAN'!U137+'AZAD - KASHMIR'!U137+KPK!U137</f>
        <v>70</v>
      </c>
      <c r="V137" s="51">
        <f>MPR!V137+KARACHI!V137+SINDH!V137+'GILGIT -BALTISTAN'!V137+'AZAD - KASHMIR'!V137+KPK!V137</f>
        <v>84</v>
      </c>
      <c r="W137" s="51">
        <f>MPR!W137+KARACHI!W137+SINDH!W137+'GILGIT -BALTISTAN'!W137+'AZAD - KASHMIR'!W137+KPK!W137</f>
        <v>50</v>
      </c>
      <c r="X137" s="51">
        <f t="shared" ref="X137:X139" si="12">SUM(H137+J137+L137+N137+P137+R137+T137+V137)</f>
        <v>696</v>
      </c>
      <c r="Y137" s="51">
        <f t="shared" ref="Y137:Y139" si="13">SUM(I137+K137+M137+O137+Q137+S137+U137+W137)</f>
        <v>603</v>
      </c>
    </row>
    <row r="138" spans="1:25" ht="18" customHeight="1" x14ac:dyDescent="0.25">
      <c r="A138" s="106" t="s">
        <v>43</v>
      </c>
      <c r="B138" s="107"/>
      <c r="C138" s="107"/>
      <c r="D138" s="107"/>
      <c r="E138" s="107"/>
      <c r="F138" s="107"/>
      <c r="G138" s="108"/>
      <c r="H138" s="51">
        <f>MPR!H138+KARACHI!H138+SINDH!H138+'GILGIT -BALTISTAN'!H138+'AZAD - KASHMIR'!H138+KPK!H138</f>
        <v>0</v>
      </c>
      <c r="I138" s="51">
        <f>MPR!I138+KARACHI!I138+SINDH!I138+'GILGIT -BALTISTAN'!I138+'AZAD - KASHMIR'!I138+KPK!I138</f>
        <v>0</v>
      </c>
      <c r="J138" s="51">
        <f>MPR!J138+KARACHI!J138+SINDH!J138+'GILGIT -BALTISTAN'!J138+'AZAD - KASHMIR'!J138+KPK!J138</f>
        <v>0</v>
      </c>
      <c r="K138" s="51">
        <f>MPR!K138+KARACHI!K138+SINDH!K138+'GILGIT -BALTISTAN'!K138+'AZAD - KASHMIR'!K138+KPK!K138</f>
        <v>0</v>
      </c>
      <c r="L138" s="51">
        <f>MPR!L138+KARACHI!L138+SINDH!L138+'GILGIT -BALTISTAN'!L138+'AZAD - KASHMIR'!L138+KPK!L138</f>
        <v>0</v>
      </c>
      <c r="M138" s="51">
        <f>MPR!M138+KARACHI!M138+SINDH!M138+'GILGIT -BALTISTAN'!M138+'AZAD - KASHMIR'!M138+KPK!M138</f>
        <v>0</v>
      </c>
      <c r="N138" s="51">
        <f>MPR!N138+KARACHI!N138+SINDH!N138+'GILGIT -BALTISTAN'!N138+'AZAD - KASHMIR'!N138+KPK!N138</f>
        <v>0</v>
      </c>
      <c r="O138" s="51">
        <f>MPR!O138+KARACHI!O138+SINDH!O138+'GILGIT -BALTISTAN'!O138+'AZAD - KASHMIR'!O138+KPK!O138</f>
        <v>0</v>
      </c>
      <c r="P138" s="51">
        <f>MPR!P138+KARACHI!P138+SINDH!P138+'GILGIT -BALTISTAN'!P138+'AZAD - KASHMIR'!P138+KPK!P138</f>
        <v>1</v>
      </c>
      <c r="Q138" s="51">
        <f>MPR!Q138+KARACHI!Q138+SINDH!Q138+'GILGIT -BALTISTAN'!Q138+'AZAD - KASHMIR'!Q138+KPK!Q138</f>
        <v>0</v>
      </c>
      <c r="R138" s="51">
        <f>MPR!R138+KARACHI!R138+SINDH!R138+'GILGIT -BALTISTAN'!R138+'AZAD - KASHMIR'!R138+KPK!R138</f>
        <v>0</v>
      </c>
      <c r="S138" s="51">
        <f>MPR!S138+KARACHI!S138+SINDH!S138+'GILGIT -BALTISTAN'!S138+'AZAD - KASHMIR'!S138+KPK!S138</f>
        <v>0</v>
      </c>
      <c r="T138" s="51">
        <f>MPR!T138+KARACHI!T138+SINDH!T138+'GILGIT -BALTISTAN'!T138+'AZAD - KASHMIR'!T138+KPK!T138</f>
        <v>1</v>
      </c>
      <c r="U138" s="51">
        <f>MPR!U138+KARACHI!U138+SINDH!U138+'GILGIT -BALTISTAN'!U138+'AZAD - KASHMIR'!U138+KPK!U138</f>
        <v>0</v>
      </c>
      <c r="V138" s="51">
        <f>MPR!V138+KARACHI!V138+SINDH!V138+'GILGIT -BALTISTAN'!V138+'AZAD - KASHMIR'!V138+KPK!V138</f>
        <v>0</v>
      </c>
      <c r="W138" s="51">
        <f>MPR!W138+KARACHI!W138+SINDH!W138+'GILGIT -BALTISTAN'!W138+'AZAD - KASHMIR'!W138+KPK!W138</f>
        <v>0</v>
      </c>
      <c r="X138" s="51">
        <f t="shared" si="12"/>
        <v>2</v>
      </c>
      <c r="Y138" s="51">
        <f t="shared" si="13"/>
        <v>0</v>
      </c>
    </row>
    <row r="139" spans="1:25" ht="18" customHeight="1" x14ac:dyDescent="0.25">
      <c r="A139" s="106" t="s">
        <v>44</v>
      </c>
      <c r="B139" s="107"/>
      <c r="C139" s="107"/>
      <c r="D139" s="107"/>
      <c r="E139" s="107"/>
      <c r="F139" s="107"/>
      <c r="G139" s="108"/>
      <c r="H139" s="51">
        <f>MPR!H139+KARACHI!H139+SINDH!H139+'GILGIT -BALTISTAN'!H139+'AZAD - KASHMIR'!H139+KPK!H139</f>
        <v>74</v>
      </c>
      <c r="I139" s="51">
        <f>MPR!I139+KARACHI!I139+SINDH!I139+'GILGIT -BALTISTAN'!I139+'AZAD - KASHMIR'!I139+KPK!I139</f>
        <v>47</v>
      </c>
      <c r="J139" s="51">
        <f>MPR!J139+KARACHI!J139+SINDH!J139+'GILGIT -BALTISTAN'!J139+'AZAD - KASHMIR'!J139+KPK!J139</f>
        <v>39</v>
      </c>
      <c r="K139" s="51">
        <f>MPR!K139+KARACHI!K139+SINDH!K139+'GILGIT -BALTISTAN'!K139+'AZAD - KASHMIR'!K139+KPK!K139</f>
        <v>35</v>
      </c>
      <c r="L139" s="51">
        <f>MPR!L139+KARACHI!L139+SINDH!L139+'GILGIT -BALTISTAN'!L139+'AZAD - KASHMIR'!L139+KPK!L139</f>
        <v>85</v>
      </c>
      <c r="M139" s="51">
        <f>MPR!M139+KARACHI!M139+SINDH!M139+'GILGIT -BALTISTAN'!M139+'AZAD - KASHMIR'!M139+KPK!M139</f>
        <v>69</v>
      </c>
      <c r="N139" s="51">
        <f>MPR!N139+KARACHI!N139+SINDH!N139+'GILGIT -BALTISTAN'!N139+'AZAD - KASHMIR'!N139+KPK!N139</f>
        <v>52</v>
      </c>
      <c r="O139" s="51">
        <f>MPR!O139+KARACHI!O139+SINDH!O139+'GILGIT -BALTISTAN'!O139+'AZAD - KASHMIR'!O139+KPK!O139</f>
        <v>70</v>
      </c>
      <c r="P139" s="51">
        <f>MPR!P139+KARACHI!P139+SINDH!P139+'GILGIT -BALTISTAN'!P139+'AZAD - KASHMIR'!P139+KPK!P139</f>
        <v>38</v>
      </c>
      <c r="Q139" s="51">
        <f>MPR!Q139+KARACHI!Q139+SINDH!Q139+'GILGIT -BALTISTAN'!Q139+'AZAD - KASHMIR'!Q139+KPK!Q139</f>
        <v>57</v>
      </c>
      <c r="R139" s="51">
        <f>MPR!R139+KARACHI!R139+SINDH!R139+'GILGIT -BALTISTAN'!R139+'AZAD - KASHMIR'!R139+KPK!R139</f>
        <v>34</v>
      </c>
      <c r="S139" s="51">
        <f>MPR!S139+KARACHI!S139+SINDH!S139+'GILGIT -BALTISTAN'!S139+'AZAD - KASHMIR'!S139+KPK!S139</f>
        <v>32</v>
      </c>
      <c r="T139" s="51">
        <f>MPR!T139+KARACHI!T139+SINDH!T139+'GILGIT -BALTISTAN'!T139+'AZAD - KASHMIR'!T139+KPK!T139</f>
        <v>47</v>
      </c>
      <c r="U139" s="51">
        <f>MPR!U139+KARACHI!U139+SINDH!U139+'GILGIT -BALTISTAN'!U139+'AZAD - KASHMIR'!U139+KPK!U139</f>
        <v>35</v>
      </c>
      <c r="V139" s="51">
        <f>MPR!V139+KARACHI!V139+SINDH!V139+'GILGIT -BALTISTAN'!V139+'AZAD - KASHMIR'!V139+KPK!V139</f>
        <v>58</v>
      </c>
      <c r="W139" s="51">
        <f>MPR!W139+KARACHI!W139+SINDH!W139+'GILGIT -BALTISTAN'!W139+'AZAD - KASHMIR'!W139+KPK!W139</f>
        <v>36</v>
      </c>
      <c r="X139" s="51">
        <f t="shared" si="12"/>
        <v>427</v>
      </c>
      <c r="Y139" s="51">
        <f t="shared" si="13"/>
        <v>381</v>
      </c>
    </row>
    <row r="140" spans="1:25" ht="18" customHeight="1" x14ac:dyDescent="0.25">
      <c r="A140" s="106" t="s">
        <v>7</v>
      </c>
      <c r="B140" s="107"/>
      <c r="C140" s="107"/>
      <c r="D140" s="107"/>
      <c r="E140" s="107"/>
      <c r="F140" s="107"/>
      <c r="G140" s="108"/>
      <c r="H140" s="51">
        <f>SUM(H136:H139)</f>
        <v>316</v>
      </c>
      <c r="I140" s="51">
        <f>SUM(I136:I139)</f>
        <v>212</v>
      </c>
      <c r="J140" s="51">
        <f>SUM(J136:J139)</f>
        <v>119</v>
      </c>
      <c r="K140" s="51">
        <f t="shared" ref="K140:Y140" si="14">SUM(K136:K139)</f>
        <v>117</v>
      </c>
      <c r="L140" s="51">
        <f t="shared" si="14"/>
        <v>221</v>
      </c>
      <c r="M140" s="51">
        <f t="shared" si="14"/>
        <v>275</v>
      </c>
      <c r="N140" s="51">
        <f t="shared" si="14"/>
        <v>199</v>
      </c>
      <c r="O140" s="51">
        <f t="shared" si="14"/>
        <v>210</v>
      </c>
      <c r="P140" s="51">
        <f t="shared" si="14"/>
        <v>162</v>
      </c>
      <c r="Q140" s="51">
        <f t="shared" si="14"/>
        <v>182</v>
      </c>
      <c r="R140" s="51">
        <f t="shared" si="14"/>
        <v>172</v>
      </c>
      <c r="S140" s="51">
        <f t="shared" si="14"/>
        <v>137</v>
      </c>
      <c r="T140" s="51">
        <f t="shared" si="14"/>
        <v>215</v>
      </c>
      <c r="U140" s="51">
        <f t="shared" si="14"/>
        <v>186</v>
      </c>
      <c r="V140" s="51">
        <f t="shared" si="14"/>
        <v>265</v>
      </c>
      <c r="W140" s="51">
        <f t="shared" si="14"/>
        <v>165</v>
      </c>
      <c r="X140" s="51">
        <f t="shared" si="14"/>
        <v>1669</v>
      </c>
      <c r="Y140" s="51">
        <f t="shared" si="14"/>
        <v>1484</v>
      </c>
    </row>
    <row r="141" spans="1:25" ht="6.75" customHeight="1" x14ac:dyDescent="0.25">
      <c r="A141" s="11"/>
      <c r="B141" s="12"/>
      <c r="C141" s="12"/>
      <c r="D141" s="12"/>
      <c r="E141" s="12"/>
      <c r="F141" s="13"/>
      <c r="G141" s="13"/>
      <c r="H141" s="13"/>
      <c r="I141" s="13"/>
      <c r="J141" s="13"/>
      <c r="K141" s="13"/>
      <c r="L141" s="14"/>
      <c r="M141" s="13"/>
      <c r="N141" s="15"/>
      <c r="O141" s="16"/>
      <c r="P141" s="13"/>
      <c r="Q141" s="13"/>
      <c r="R141" s="13"/>
      <c r="S141" s="13"/>
      <c r="T141" s="13"/>
      <c r="U141" s="13"/>
      <c r="V141" s="13"/>
      <c r="W141" s="13"/>
      <c r="X141" s="13"/>
      <c r="Y141" s="17"/>
    </row>
    <row r="142" spans="1:25" ht="18" customHeight="1" x14ac:dyDescent="0.3">
      <c r="A142" s="18" t="s">
        <v>47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20"/>
      <c r="L142" s="21"/>
      <c r="M142" s="18" t="s">
        <v>48</v>
      </c>
      <c r="N142" s="19"/>
      <c r="O142" s="19"/>
      <c r="P142" s="19"/>
      <c r="Q142" s="22"/>
      <c r="R142" s="22"/>
      <c r="S142" s="22"/>
      <c r="T142" s="22"/>
      <c r="U142" s="22"/>
      <c r="V142" s="22"/>
      <c r="W142" s="22"/>
      <c r="X142" s="22"/>
      <c r="Y142" s="23"/>
    </row>
    <row r="143" spans="1:25" ht="57.75" customHeight="1" x14ac:dyDescent="0.25">
      <c r="A143" s="101" t="s">
        <v>49</v>
      </c>
      <c r="B143" s="101" t="s">
        <v>50</v>
      </c>
      <c r="C143" s="101" t="s">
        <v>51</v>
      </c>
      <c r="D143" s="77" t="s">
        <v>52</v>
      </c>
      <c r="E143" s="78"/>
      <c r="F143" s="77" t="s">
        <v>53</v>
      </c>
      <c r="G143" s="79"/>
      <c r="H143" s="79"/>
      <c r="I143" s="78"/>
      <c r="J143" s="101" t="s">
        <v>54</v>
      </c>
      <c r="K143" s="101" t="s">
        <v>55</v>
      </c>
      <c r="L143" s="24"/>
      <c r="M143" s="86" t="s">
        <v>56</v>
      </c>
      <c r="N143" s="88"/>
      <c r="O143" s="86" t="s">
        <v>57</v>
      </c>
      <c r="P143" s="88"/>
      <c r="Q143" s="86" t="s">
        <v>58</v>
      </c>
      <c r="R143" s="87"/>
      <c r="S143" s="87"/>
      <c r="T143" s="87"/>
      <c r="U143" s="87"/>
      <c r="V143" s="87"/>
      <c r="W143" s="87"/>
      <c r="X143" s="87"/>
      <c r="Y143" s="88"/>
    </row>
    <row r="144" spans="1:25" ht="38.25" customHeight="1" x14ac:dyDescent="0.25">
      <c r="A144" s="102"/>
      <c r="B144" s="102"/>
      <c r="C144" s="102"/>
      <c r="D144" s="25" t="s">
        <v>59</v>
      </c>
      <c r="E144" s="25" t="s">
        <v>60</v>
      </c>
      <c r="F144" s="26" t="s">
        <v>59</v>
      </c>
      <c r="G144" s="26" t="s">
        <v>60</v>
      </c>
      <c r="H144" s="26" t="s">
        <v>61</v>
      </c>
      <c r="I144" s="26" t="s">
        <v>62</v>
      </c>
      <c r="J144" s="102"/>
      <c r="K144" s="102"/>
      <c r="L144" s="24"/>
      <c r="M144" s="193">
        <f>MPR!M144+KARACHI!M144+SINDH!M144+'GILGIT -BALTISTAN'!M144:N144+'AZAD - KASHMIR'!M144:N144+KPK!M144</f>
        <v>215</v>
      </c>
      <c r="N144" s="92"/>
      <c r="O144" s="193">
        <f>MPR!O144+KARACHI!O144+SINDH!O144+'GILGIT -BALTISTAN'!O144:P144+'AZAD - KASHMIR'!O144:P144+KPK!O144</f>
        <v>0</v>
      </c>
      <c r="P144" s="92"/>
      <c r="Q144" s="194">
        <f>MPR!Q144+KARACHI!Q144+SINDH!Q144+'GILGIT -BALTISTAN'!Q144:Y144+'AZAD - KASHMIR'!Q144:Y144+KPK!Q144</f>
        <v>0</v>
      </c>
      <c r="R144" s="87"/>
      <c r="S144" s="87"/>
      <c r="T144" s="87"/>
      <c r="U144" s="87"/>
      <c r="V144" s="87"/>
      <c r="W144" s="87"/>
      <c r="X144" s="87"/>
      <c r="Y144" s="88"/>
    </row>
    <row r="145" spans="1:25" ht="42" customHeight="1" x14ac:dyDescent="0.25">
      <c r="A145" s="103">
        <f>MPR!A145+KARACHI!A145+SINDH!A145+'GILGIT -BALTISTAN'!A145:A149+'AZAD - KASHMIR'!A145:A149+KPK!A145</f>
        <v>479453</v>
      </c>
      <c r="B145" s="103">
        <f>MPR!B145+KARACHI!B145+SINDH!B145+'GILGIT -BALTISTAN'!B145:B149+'AZAD - KASHMIR'!B145:B149+KPK!B145</f>
        <v>13324</v>
      </c>
      <c r="C145" s="103">
        <f>MPR!C145+KARACHI!C145+SINDH!C145+'GILGIT -BALTISTAN'!C145:C149+'AZAD - KASHMIR'!C145:C149+KPK!C145</f>
        <v>1927</v>
      </c>
      <c r="D145" s="103">
        <f>MPR!D145+KARACHI!D145+SINDH!D145+'GILGIT -BALTISTAN'!D145:D149+'AZAD - KASHMIR'!D145:D149+KPK!D145</f>
        <v>8723</v>
      </c>
      <c r="E145" s="103">
        <f>MPR!E145+KARACHI!E145+SINDH!E145+'GILGIT -BALTISTAN'!E145:E149+'AZAD - KASHMIR'!E145:E149+KPK!E145</f>
        <v>6943</v>
      </c>
      <c r="F145" s="103">
        <f>MPR!F145+KARACHI!F145+SINDH!F145+'GILGIT -BALTISTAN'!F145:F149+'AZAD - KASHMIR'!F145:F149+KPK!F145</f>
        <v>152</v>
      </c>
      <c r="G145" s="103">
        <f>MPR!G145+KARACHI!G145+SINDH!G145+'GILGIT -BALTISTAN'!G145:G149+'AZAD - KASHMIR'!G145:G149+KPK!G145</f>
        <v>72</v>
      </c>
      <c r="H145" s="103">
        <f>MPR!H145+KARACHI!H145+SINDH!H145+'GILGIT -BALTISTAN'!H145:H149+'AZAD - KASHMIR'!H145:H149+KPK!H145</f>
        <v>652</v>
      </c>
      <c r="I145" s="103">
        <f>SUM(F145:H149)</f>
        <v>876</v>
      </c>
      <c r="J145" s="103">
        <f>MPR!J145+KARACHI!J145+SINDH!J145+'GILGIT -BALTISTAN'!J145:J149+'AZAD - KASHMIR'!J145:J149+KPK!J145</f>
        <v>1609</v>
      </c>
      <c r="K145" s="103">
        <f>MPR!K145+KARACHI!K145+SINDH!K145+'GILGIT -BALTISTAN'!K145:K149+'AZAD - KASHMIR'!K145:K149+KPK!K145</f>
        <v>1319</v>
      </c>
      <c r="L145" s="24"/>
      <c r="M145" s="91" t="s">
        <v>63</v>
      </c>
      <c r="N145" s="92"/>
      <c r="O145" s="91" t="s">
        <v>64</v>
      </c>
      <c r="P145" s="92"/>
      <c r="Q145" s="95" t="s">
        <v>65</v>
      </c>
      <c r="R145" s="99"/>
      <c r="S145" s="96"/>
      <c r="T145" s="95" t="s">
        <v>66</v>
      </c>
      <c r="U145" s="99"/>
      <c r="V145" s="99"/>
      <c r="W145" s="99"/>
      <c r="X145" s="99"/>
      <c r="Y145" s="96"/>
    </row>
    <row r="146" spans="1:25" ht="15" customHeight="1" x14ac:dyDescent="0.25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27"/>
      <c r="M146" s="91">
        <f>MPR!M146+KARACHI!M146+SINDH!M146+'GILGIT -BALTISTAN'!M146:N149+'AZAD - KASHMIR'!M146:N149+KPK!M146</f>
        <v>4</v>
      </c>
      <c r="N146" s="92"/>
      <c r="O146" s="91">
        <f>MPR!O146+KARACHI!O146+SINDH!O146+'GILGIT -BALTISTAN'!O146:P149+'AZAD - KASHMIR'!O146:P149+KPK!O146</f>
        <v>0</v>
      </c>
      <c r="P146" s="92"/>
      <c r="Q146" s="91">
        <f>MPR!Q146+KARACHI!Q146+SINDH!Q146+'GILGIT -BALTISTAN'!Q146:S149+'AZAD - KASHMIR'!Q146:S149+KPK!Q146</f>
        <v>0</v>
      </c>
      <c r="R146" s="97"/>
      <c r="S146" s="92"/>
      <c r="T146" s="28"/>
      <c r="U146" s="86" t="s">
        <v>0</v>
      </c>
      <c r="V146" s="88"/>
      <c r="W146" s="29" t="s">
        <v>1</v>
      </c>
      <c r="X146" s="86" t="s">
        <v>67</v>
      </c>
      <c r="Y146" s="88"/>
    </row>
    <row r="147" spans="1:25" x14ac:dyDescent="0.25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27"/>
      <c r="M147" s="93"/>
      <c r="N147" s="94"/>
      <c r="O147" s="93"/>
      <c r="P147" s="94"/>
      <c r="Q147" s="93"/>
      <c r="R147" s="98"/>
      <c r="S147" s="94"/>
      <c r="T147" s="30" t="s">
        <v>68</v>
      </c>
      <c r="U147" s="100">
        <f>MPR!U147+KARACHI!U147+SINDH!U147+'GILGIT -BALTISTAN'!U147:V147+'AZAD - KASHMIR'!U147:V147+KPK!U147</f>
        <v>0</v>
      </c>
      <c r="V147" s="100"/>
      <c r="W147" s="29">
        <f>MPR!W147+KARACHI!W147+SINDH!W147+'GILGIT -BALTISTAN'!W147+'AZAD - KASHMIR'!W147+KPK!W147</f>
        <v>0</v>
      </c>
      <c r="X147" s="100">
        <f>MPR!X147+KARACHI!X147+SINDH!X147+'GILGIT -BALTISTAN'!X147:Y147+'AZAD - KASHMIR'!X147:Y147+KPK!X147</f>
        <v>0</v>
      </c>
      <c r="Y147" s="100"/>
    </row>
    <row r="148" spans="1:25" x14ac:dyDescent="0.25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27"/>
      <c r="M148" s="93"/>
      <c r="N148" s="94"/>
      <c r="O148" s="93"/>
      <c r="P148" s="94"/>
      <c r="Q148" s="93"/>
      <c r="R148" s="98"/>
      <c r="S148" s="94"/>
      <c r="T148" s="30" t="s">
        <v>69</v>
      </c>
      <c r="U148" s="100">
        <f>MPR!U148+KARACHI!U148+SINDH!U148+'GILGIT -BALTISTAN'!U148:V148+'AZAD - KASHMIR'!U148:V148+KPK!U148</f>
        <v>0</v>
      </c>
      <c r="V148" s="100"/>
      <c r="W148" s="29">
        <f>MPR!W148+KARACHI!W148+SINDH!W148+'GILGIT -BALTISTAN'!W148+'AZAD - KASHMIR'!W148+KPK!W148</f>
        <v>0</v>
      </c>
      <c r="X148" s="100">
        <f>MPR!X148+KARACHI!X148+SINDH!X148+'GILGIT -BALTISTAN'!X148:Y148+'AZAD - KASHMIR'!X148:Y148+KPK!X148</f>
        <v>0</v>
      </c>
      <c r="Y148" s="100"/>
    </row>
    <row r="149" spans="1:25" x14ac:dyDescent="0.25">
      <c r="A149" s="165"/>
      <c r="B149" s="165"/>
      <c r="C149" s="165"/>
      <c r="D149" s="165"/>
      <c r="E149" s="165"/>
      <c r="F149" s="165"/>
      <c r="G149" s="165"/>
      <c r="H149" s="165"/>
      <c r="I149" s="165"/>
      <c r="J149" s="165"/>
      <c r="K149" s="165"/>
      <c r="L149" s="27"/>
      <c r="M149" s="95"/>
      <c r="N149" s="96"/>
      <c r="O149" s="95"/>
      <c r="P149" s="96"/>
      <c r="Q149" s="95"/>
      <c r="R149" s="99"/>
      <c r="S149" s="96"/>
      <c r="T149" s="30" t="s">
        <v>70</v>
      </c>
      <c r="U149" s="100">
        <f>MPR!U149+KARACHI!U149+SINDH!U149+'GILGIT -BALTISTAN'!U149:V149+'AZAD - KASHMIR'!U149:V149+KPK!U149</f>
        <v>0</v>
      </c>
      <c r="V149" s="100"/>
      <c r="W149" s="29">
        <f>MPR!W149+KARACHI!W149+SINDH!W149+'GILGIT -BALTISTAN'!W149+'AZAD - KASHMIR'!W149+KPK!W149</f>
        <v>0</v>
      </c>
      <c r="X149" s="100">
        <f>MPR!X149+KARACHI!X149+SINDH!X149+'GILGIT -BALTISTAN'!X149:Y149+'AZAD - KASHMIR'!X149:Y149+KPK!X149</f>
        <v>0</v>
      </c>
      <c r="Y149" s="100"/>
    </row>
    <row r="150" spans="1:25" x14ac:dyDescent="0.25">
      <c r="A150" s="31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3"/>
      <c r="M150" s="32"/>
      <c r="N150" s="32"/>
      <c r="O150" s="32"/>
      <c r="P150" s="32"/>
      <c r="Q150" s="32"/>
      <c r="R150" s="34"/>
      <c r="S150" s="34"/>
      <c r="T150" s="34"/>
      <c r="U150" s="34"/>
      <c r="V150" s="34"/>
      <c r="W150" s="32"/>
      <c r="X150" s="32"/>
      <c r="Y150" s="7"/>
    </row>
    <row r="151" spans="1:25" ht="15.6" x14ac:dyDescent="0.3">
      <c r="A151" s="18" t="s">
        <v>71</v>
      </c>
      <c r="B151" s="19"/>
      <c r="C151" s="19"/>
      <c r="D151" s="19"/>
      <c r="E151" s="19"/>
      <c r="F151" s="19"/>
      <c r="G151" s="19"/>
      <c r="H151" s="19"/>
      <c r="I151" s="19"/>
      <c r="J151" s="19"/>
      <c r="K151" s="20"/>
      <c r="L151" s="35"/>
      <c r="M151" s="18" t="s">
        <v>72</v>
      </c>
      <c r="N151" s="20"/>
      <c r="O151" s="36"/>
      <c r="P151" s="19"/>
      <c r="Q151" s="19"/>
      <c r="R151" s="19"/>
      <c r="S151" s="19"/>
      <c r="T151" s="19"/>
      <c r="U151" s="19"/>
      <c r="V151" s="19"/>
      <c r="W151" s="22"/>
      <c r="X151" s="22"/>
      <c r="Y151" s="37"/>
    </row>
    <row r="152" spans="1:25" ht="55.5" customHeight="1" x14ac:dyDescent="0.25">
      <c r="A152" s="71"/>
      <c r="B152" s="72"/>
      <c r="C152" s="72"/>
      <c r="D152" s="72"/>
      <c r="E152" s="73"/>
      <c r="F152" s="68" t="s">
        <v>12</v>
      </c>
      <c r="G152" s="70"/>
      <c r="H152" s="68" t="s">
        <v>13</v>
      </c>
      <c r="I152" s="70"/>
      <c r="J152" s="38" t="s">
        <v>73</v>
      </c>
      <c r="K152" s="39"/>
      <c r="L152" s="40"/>
      <c r="M152" s="77" t="s">
        <v>74</v>
      </c>
      <c r="N152" s="78"/>
      <c r="O152" s="77" t="s">
        <v>75</v>
      </c>
      <c r="P152" s="78"/>
      <c r="Q152" s="77" t="s">
        <v>76</v>
      </c>
      <c r="R152" s="78"/>
      <c r="S152" s="77" t="s">
        <v>77</v>
      </c>
      <c r="T152" s="79"/>
      <c r="U152" s="79"/>
      <c r="V152" s="78"/>
      <c r="W152" s="77" t="s">
        <v>78</v>
      </c>
      <c r="X152" s="79"/>
      <c r="Y152" s="78"/>
    </row>
    <row r="153" spans="1:25" x14ac:dyDescent="0.25">
      <c r="A153" s="74"/>
      <c r="B153" s="75"/>
      <c r="C153" s="75"/>
      <c r="D153" s="75"/>
      <c r="E153" s="76"/>
      <c r="F153" s="10" t="s">
        <v>79</v>
      </c>
      <c r="G153" s="10" t="s">
        <v>14</v>
      </c>
      <c r="H153" s="10" t="s">
        <v>79</v>
      </c>
      <c r="I153" s="10" t="s">
        <v>14</v>
      </c>
      <c r="J153" s="10" t="s">
        <v>79</v>
      </c>
      <c r="K153" s="10" t="s">
        <v>14</v>
      </c>
      <c r="L153" s="41"/>
      <c r="M153" s="42" t="s">
        <v>80</v>
      </c>
      <c r="N153" s="42" t="s">
        <v>81</v>
      </c>
      <c r="O153" s="42" t="s">
        <v>80</v>
      </c>
      <c r="P153" s="43" t="s">
        <v>81</v>
      </c>
      <c r="Q153" s="42" t="s">
        <v>80</v>
      </c>
      <c r="R153" s="42" t="s">
        <v>81</v>
      </c>
      <c r="S153" s="44"/>
      <c r="T153" s="42" t="s">
        <v>0</v>
      </c>
      <c r="U153" s="45" t="s">
        <v>1</v>
      </c>
      <c r="V153" s="46" t="s">
        <v>82</v>
      </c>
      <c r="W153" s="42" t="s">
        <v>0</v>
      </c>
      <c r="X153" s="45" t="s">
        <v>1</v>
      </c>
      <c r="Y153" s="46" t="s">
        <v>82</v>
      </c>
    </row>
    <row r="154" spans="1:25" ht="14.4" x14ac:dyDescent="0.3">
      <c r="A154" s="80" t="s">
        <v>83</v>
      </c>
      <c r="B154" s="81"/>
      <c r="C154" s="81"/>
      <c r="D154" s="81"/>
      <c r="E154" s="82"/>
      <c r="F154" s="57">
        <f>MPR!F154+KARACHI!F154+SINDH!F154+'GILGIT -BALTISTAN'!F154+'AZAD - KASHMIR'!F154+KPK!F154</f>
        <v>941</v>
      </c>
      <c r="G154" s="57">
        <f>MPR!G154+KARACHI!G154+SINDH!G154+'GILGIT -BALTISTAN'!G154+'AZAD - KASHMIR'!G154+KPK!G154</f>
        <v>2</v>
      </c>
      <c r="H154" s="57">
        <f>MPR!H154+KARACHI!H154+SINDH!H154+'GILGIT -BALTISTAN'!H154+'AZAD - KASHMIR'!H154+KPK!H154</f>
        <v>0</v>
      </c>
      <c r="I154" s="57">
        <f>MPR!I154+KARACHI!I154+SINDH!I154+'GILGIT -BALTISTAN'!I154+'AZAD - KASHMIR'!I154+KPK!I154</f>
        <v>0</v>
      </c>
      <c r="J154" s="57">
        <f>MPR!J154+KARACHI!J154+SINDH!J154+'GILGIT -BALTISTAN'!J154+'AZAD - KASHMIR'!J154+KPK!J154</f>
        <v>0</v>
      </c>
      <c r="K154" s="57">
        <f>MPR!K154+KARACHI!K154+SINDH!K154+'GILGIT -BALTISTAN'!K154+'AZAD - KASHMIR'!K154+KPK!K154</f>
        <v>0</v>
      </c>
      <c r="L154" s="41"/>
      <c r="M154" s="201">
        <f>MPR!M154+KARACHI!M154+SINDH!M154+'GILGIT -BALTISTAN'!M154:M157+'AZAD - KASHMIR'!M154:M157+KPK!M154</f>
        <v>816</v>
      </c>
      <c r="N154" s="201">
        <f>MPR!N154+KARACHI!N154+SINDH!N154+'GILGIT -BALTISTAN'!N154:N157+'AZAD - KASHMIR'!N154:N157+KPK!N154</f>
        <v>5320</v>
      </c>
      <c r="O154" s="201">
        <f>MPR!O154+KARACHI!O154+SINDH!O154+'GILGIT -BALTISTAN'!O154:O157+'AZAD - KASHMIR'!O154:O157+KPK!O154</f>
        <v>681</v>
      </c>
      <c r="P154" s="201">
        <f>MPR!P154+KARACHI!P154+SINDH!P154+'GILGIT -BALTISTAN'!P154:P157+'AZAD - KASHMIR'!P154:P157+KPK!P154</f>
        <v>4247</v>
      </c>
      <c r="Q154" s="201">
        <f>MPR!Q154+KARACHI!Q154+SINDH!Q154+'GILGIT -BALTISTAN'!Q154:Q157+'AZAD - KASHMIR'!Q154:Q157+KPK!Q154</f>
        <v>8</v>
      </c>
      <c r="R154" s="201">
        <f>MPR!R154+KARACHI!R154+SINDH!R154+'GILGIT -BALTISTAN'!R154:R157+'AZAD - KASHMIR'!R154:R157+KPK!R154</f>
        <v>239</v>
      </c>
      <c r="S154" s="47" t="s">
        <v>68</v>
      </c>
      <c r="T154" s="66">
        <f>MPR!T154+KARACHI!T154+SINDH!T154+'GILGIT -BALTISTAN'!T154+'AZAD - KASHMIR'!T154+KPK!T154</f>
        <v>0</v>
      </c>
      <c r="U154" s="66">
        <f>MPR!U154+KARACHI!U154+SINDH!U154+'GILGIT -BALTISTAN'!U154+'AZAD - KASHMIR'!U154+KPK!U154</f>
        <v>1</v>
      </c>
      <c r="V154" s="66">
        <f>MPR!V154+KARACHI!V154+SINDH!V154+'GILGIT -BALTISTAN'!V154+'AZAD - KASHMIR'!V154+KPK!V154</f>
        <v>0</v>
      </c>
      <c r="W154" s="66">
        <f>MPR!W154+KARACHI!W154+SINDH!W154+'GILGIT -BALTISTAN'!W154+'AZAD - KASHMIR'!W154+KPK!W154</f>
        <v>0</v>
      </c>
      <c r="X154" s="66">
        <f>MPR!X154+KARACHI!X154+SINDH!X154+'GILGIT -BALTISTAN'!X154+'AZAD - KASHMIR'!X154+KPK!X154</f>
        <v>0</v>
      </c>
      <c r="Y154" s="66">
        <f>MPR!Y154+KARACHI!Y154+SINDH!Y154+'GILGIT -BALTISTAN'!Y154+'AZAD - KASHMIR'!Y154+KPK!Y154</f>
        <v>0</v>
      </c>
    </row>
    <row r="155" spans="1:25" ht="14.4" x14ac:dyDescent="0.3">
      <c r="A155" s="80" t="s">
        <v>8</v>
      </c>
      <c r="B155" s="81"/>
      <c r="C155" s="81"/>
      <c r="D155" s="81"/>
      <c r="E155" s="82"/>
      <c r="F155" s="57">
        <f>MPR!F155+KARACHI!F155+SINDH!F155+'GILGIT -BALTISTAN'!F155+'AZAD - KASHMIR'!F155+KPK!F155</f>
        <v>35</v>
      </c>
      <c r="G155" s="57">
        <f>MPR!G155+KARACHI!G155+SINDH!G155+'GILGIT -BALTISTAN'!G155+'AZAD - KASHMIR'!G155+KPK!G155</f>
        <v>0</v>
      </c>
      <c r="H155" s="57">
        <f>MPR!H155+KARACHI!H155+SINDH!H155+'GILGIT -BALTISTAN'!H155+'AZAD - KASHMIR'!H155+KPK!H155</f>
        <v>0</v>
      </c>
      <c r="I155" s="57">
        <f>MPR!I155+KARACHI!I155+SINDH!I155+'GILGIT -BALTISTAN'!I155+'AZAD - KASHMIR'!I155+KPK!I155</f>
        <v>0</v>
      </c>
      <c r="J155" s="57">
        <f>MPR!J155+KARACHI!J155+SINDH!J155+'GILGIT -BALTISTAN'!J155+'AZAD - KASHMIR'!J155+KPK!J155</f>
        <v>0</v>
      </c>
      <c r="K155" s="57">
        <f>MPR!K155+KARACHI!K155+SINDH!K155+'GILGIT -BALTISTAN'!K155+'AZAD - KASHMIR'!K155+KPK!K155</f>
        <v>0</v>
      </c>
      <c r="L155" s="41"/>
      <c r="M155" s="84"/>
      <c r="N155" s="84"/>
      <c r="O155" s="84"/>
      <c r="P155" s="84"/>
      <c r="Q155" s="84"/>
      <c r="R155" s="84"/>
      <c r="S155" s="47" t="s">
        <v>69</v>
      </c>
      <c r="T155" s="66">
        <f>MPR!T155+KARACHI!T155+SINDH!T155+'GILGIT -BALTISTAN'!T155+'AZAD - KASHMIR'!T155+KPK!T155</f>
        <v>0</v>
      </c>
      <c r="U155" s="66">
        <f>MPR!U155+KARACHI!U155+SINDH!U155+'GILGIT -BALTISTAN'!U155+'AZAD - KASHMIR'!U155+KPK!U155</f>
        <v>0</v>
      </c>
      <c r="V155" s="66">
        <f>MPR!V155+KARACHI!V155+SINDH!V155+'GILGIT -BALTISTAN'!V155+'AZAD - KASHMIR'!V155+KPK!V155</f>
        <v>0</v>
      </c>
      <c r="W155" s="66">
        <f>MPR!W155+KARACHI!W155+SINDH!W155+'GILGIT -BALTISTAN'!W155+'AZAD - KASHMIR'!W155+KPK!W155</f>
        <v>0</v>
      </c>
      <c r="X155" s="66">
        <f>MPR!X155+KARACHI!X155+SINDH!X155+'GILGIT -BALTISTAN'!X155+'AZAD - KASHMIR'!X155+KPK!X155</f>
        <v>0</v>
      </c>
      <c r="Y155" s="66">
        <f>MPR!Y155+KARACHI!Y155+SINDH!Y155+'GILGIT -BALTISTAN'!Y155+'AZAD - KASHMIR'!Y155+KPK!Y155</f>
        <v>0</v>
      </c>
    </row>
    <row r="156" spans="1:25" ht="15" customHeight="1" x14ac:dyDescent="0.25">
      <c r="A156" s="86" t="s">
        <v>84</v>
      </c>
      <c r="B156" s="87"/>
      <c r="C156" s="87"/>
      <c r="D156" s="87"/>
      <c r="E156" s="88"/>
      <c r="F156" s="57">
        <f>MPR!F156+KARACHI!F156+SINDH!F156+'GILGIT -BALTISTAN'!F156+'AZAD - KASHMIR'!F156+KPK!F156</f>
        <v>5</v>
      </c>
      <c r="G156" s="57">
        <f>MPR!G156+KARACHI!G156+SINDH!G156+'GILGIT -BALTISTAN'!G156+'AZAD - KASHMIR'!G156+KPK!G156</f>
        <v>0</v>
      </c>
      <c r="H156" s="57">
        <f>MPR!H156+KARACHI!H156+SINDH!H156+'GILGIT -BALTISTAN'!H156+'AZAD - KASHMIR'!H156+KPK!H156</f>
        <v>0</v>
      </c>
      <c r="I156" s="57">
        <f>MPR!I156+KARACHI!I156+SINDH!I156+'GILGIT -BALTISTAN'!I156+'AZAD - KASHMIR'!I156+KPK!I156</f>
        <v>0</v>
      </c>
      <c r="J156" s="57">
        <f>MPR!J156+KARACHI!J156+SINDH!J156+'GILGIT -BALTISTAN'!J156+'AZAD - KASHMIR'!J156+KPK!J156</f>
        <v>0</v>
      </c>
      <c r="K156" s="57">
        <f>MPR!K156+KARACHI!K156+SINDH!K156+'GILGIT -BALTISTAN'!K156+'AZAD - KASHMIR'!K156+KPK!K156</f>
        <v>0</v>
      </c>
      <c r="L156" s="41"/>
      <c r="M156" s="84"/>
      <c r="N156" s="84"/>
      <c r="O156" s="84"/>
      <c r="P156" s="84"/>
      <c r="Q156" s="84"/>
      <c r="R156" s="84"/>
      <c r="S156" s="89" t="s">
        <v>70</v>
      </c>
      <c r="T156" s="83">
        <f>MPR!T156+KARACHI!T156+SINDH!T156+'GILGIT -BALTISTAN'!T156:T157+'AZAD - KASHMIR'!T156:T157+KPK!T156</f>
        <v>0</v>
      </c>
      <c r="U156" s="83">
        <f>MPR!U156+KARACHI!U156+SINDH!U156+'GILGIT -BALTISTAN'!U156:U157+'AZAD - KASHMIR'!U156:U157+KPK!U156</f>
        <v>5</v>
      </c>
      <c r="V156" s="83">
        <f>MPR!V156+KARACHI!V156+SINDH!V156+'GILGIT -BALTISTAN'!V156:V157+'AZAD - KASHMIR'!V156:V157+KPK!V156</f>
        <v>0</v>
      </c>
      <c r="W156" s="83">
        <f>MPR!W156+KARACHI!W156+SINDH!W156+'GILGIT -BALTISTAN'!W156:W157+'AZAD - KASHMIR'!W156:W157+KPK!W156</f>
        <v>0</v>
      </c>
      <c r="X156" s="83">
        <f>MPR!X156+KARACHI!X156+SINDH!X156+'GILGIT -BALTISTAN'!X156:X157+'AZAD - KASHMIR'!X156:X157+KPK!X156</f>
        <v>0</v>
      </c>
      <c r="Y156" s="83">
        <f>MPR!Y156+KARACHI!Y156+SINDH!Y156+'GILGIT -BALTISTAN'!Y156:Y157+'AZAD - KASHMIR'!Y156:Y157+KPK!Y156</f>
        <v>0</v>
      </c>
    </row>
    <row r="157" spans="1:25" x14ac:dyDescent="0.25">
      <c r="A157" s="68" t="s">
        <v>7</v>
      </c>
      <c r="B157" s="69"/>
      <c r="C157" s="69"/>
      <c r="D157" s="69"/>
      <c r="E157" s="70"/>
      <c r="F157" s="10">
        <f>SUM(F154:F156)</f>
        <v>981</v>
      </c>
      <c r="G157" s="10">
        <f t="shared" ref="G157:K157" si="15">SUM(G154:G156)</f>
        <v>2</v>
      </c>
      <c r="H157" s="10">
        <f t="shared" si="15"/>
        <v>0</v>
      </c>
      <c r="I157" s="10">
        <f t="shared" si="15"/>
        <v>0</v>
      </c>
      <c r="J157" s="10">
        <f t="shared" si="15"/>
        <v>0</v>
      </c>
      <c r="K157" s="10">
        <f t="shared" si="15"/>
        <v>0</v>
      </c>
      <c r="L157" s="41"/>
      <c r="M157" s="85"/>
      <c r="N157" s="85"/>
      <c r="O157" s="85"/>
      <c r="P157" s="85"/>
      <c r="Q157" s="85"/>
      <c r="R157" s="85"/>
      <c r="S157" s="90"/>
      <c r="T157" s="85"/>
      <c r="U157" s="85"/>
      <c r="V157" s="85"/>
      <c r="W157" s="85"/>
      <c r="X157" s="85"/>
      <c r="Y157" s="85"/>
    </row>
    <row r="158" spans="1:25" ht="23.4" x14ac:dyDescent="0.45">
      <c r="A158" s="120" t="s">
        <v>17</v>
      </c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</row>
    <row r="159" spans="1:25" ht="23.4" x14ac:dyDescent="0.25">
      <c r="A159" s="111" t="s">
        <v>18</v>
      </c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"/>
      <c r="U159" s="112" t="s">
        <v>19</v>
      </c>
      <c r="V159" s="112"/>
      <c r="W159" s="1"/>
      <c r="X159" s="1"/>
      <c r="Y159" s="1"/>
    </row>
    <row r="160" spans="1:25" ht="49.5" customHeight="1" x14ac:dyDescent="0.25">
      <c r="A160" s="113" t="s">
        <v>20</v>
      </c>
      <c r="B160" s="113"/>
      <c r="C160" s="113"/>
      <c r="D160" s="113"/>
      <c r="E160" s="196" t="str">
        <f>E4</f>
        <v>All Project Total</v>
      </c>
      <c r="F160" s="196"/>
      <c r="G160" s="196"/>
      <c r="H160" s="116" t="s">
        <v>22</v>
      </c>
      <c r="I160" s="116"/>
      <c r="J160" s="115">
        <f>J4</f>
        <v>0</v>
      </c>
      <c r="K160" s="115"/>
      <c r="L160" s="116" t="s">
        <v>23</v>
      </c>
      <c r="M160" s="116"/>
      <c r="N160" s="190" t="str">
        <f>N4</f>
        <v>CONSOLIDATED</v>
      </c>
      <c r="O160" s="190"/>
      <c r="P160" s="190"/>
      <c r="Q160" s="118" t="s">
        <v>24</v>
      </c>
      <c r="R160" s="118"/>
      <c r="S160" s="118"/>
      <c r="T160" s="118"/>
      <c r="U160" s="119" t="s">
        <v>88</v>
      </c>
      <c r="V160" s="119"/>
      <c r="W160" s="119"/>
      <c r="X160" s="147" t="str">
        <f>X121</f>
        <v>of Year 2023</v>
      </c>
      <c r="Y160" s="147"/>
    </row>
    <row r="161" spans="1:25" ht="6.75" customHeight="1" x14ac:dyDescent="0.25">
      <c r="Q161" s="118"/>
      <c r="R161" s="118"/>
      <c r="S161" s="118"/>
      <c r="T161" s="118"/>
      <c r="U161" s="119"/>
      <c r="V161" s="119"/>
      <c r="W161" s="119"/>
      <c r="X161" s="147"/>
      <c r="Y161" s="147"/>
    </row>
    <row r="162" spans="1:25" ht="15.6" x14ac:dyDescent="0.3">
      <c r="A162" s="166" t="s">
        <v>26</v>
      </c>
      <c r="B162" s="166"/>
      <c r="C162" s="166"/>
      <c r="D162" s="166"/>
      <c r="E162" s="166"/>
      <c r="F162" s="166"/>
      <c r="G162" s="167" t="s">
        <v>27</v>
      </c>
      <c r="H162" s="167"/>
      <c r="I162" s="167"/>
      <c r="J162" s="167"/>
      <c r="K162" s="167"/>
      <c r="L162" s="167"/>
      <c r="M162" s="167"/>
      <c r="N162" s="2"/>
      <c r="Q162" s="168" t="s">
        <v>28</v>
      </c>
      <c r="R162" s="168"/>
      <c r="S162" s="168"/>
      <c r="T162" s="168"/>
      <c r="U162" s="168"/>
      <c r="V162" s="148" t="s">
        <v>29</v>
      </c>
      <c r="W162" s="148"/>
      <c r="X162" s="148"/>
      <c r="Y162" s="148"/>
    </row>
    <row r="163" spans="1:25" ht="6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" customHeight="1" x14ac:dyDescent="0.25">
      <c r="A164" s="149" t="s">
        <v>31</v>
      </c>
      <c r="B164" s="150"/>
      <c r="C164" s="150"/>
      <c r="D164" s="150"/>
      <c r="E164" s="150"/>
      <c r="F164" s="150"/>
      <c r="G164" s="150"/>
      <c r="H164" s="150"/>
      <c r="I164" s="151"/>
      <c r="J164" s="152" t="s">
        <v>32</v>
      </c>
      <c r="K164" s="153"/>
      <c r="L164" s="152" t="s">
        <v>33</v>
      </c>
      <c r="M164" s="153"/>
      <c r="N164" s="91" t="s">
        <v>34</v>
      </c>
      <c r="O164" s="92"/>
      <c r="P164" s="152" t="s">
        <v>35</v>
      </c>
      <c r="Q164" s="153"/>
      <c r="R164" s="68" t="s">
        <v>36</v>
      </c>
      <c r="S164" s="69"/>
      <c r="T164" s="69"/>
      <c r="U164" s="69"/>
      <c r="V164" s="69"/>
      <c r="W164" s="70"/>
      <c r="X164" s="152" t="s">
        <v>7</v>
      </c>
      <c r="Y164" s="153"/>
    </row>
    <row r="165" spans="1:25" ht="23.25" customHeight="1" x14ac:dyDescent="0.25">
      <c r="A165" s="158" t="s">
        <v>37</v>
      </c>
      <c r="B165" s="159"/>
      <c r="C165" s="159"/>
      <c r="D165" s="159"/>
      <c r="E165" s="159"/>
      <c r="F165" s="159"/>
      <c r="G165" s="159"/>
      <c r="H165" s="159"/>
      <c r="I165" s="160"/>
      <c r="J165" s="154"/>
      <c r="K165" s="155"/>
      <c r="L165" s="154"/>
      <c r="M165" s="155"/>
      <c r="N165" s="93"/>
      <c r="O165" s="94"/>
      <c r="P165" s="154"/>
      <c r="Q165" s="155"/>
      <c r="R165" s="164" t="s">
        <v>38</v>
      </c>
      <c r="S165" s="164"/>
      <c r="T165" s="164" t="s">
        <v>39</v>
      </c>
      <c r="U165" s="164"/>
      <c r="V165" s="164" t="s">
        <v>40</v>
      </c>
      <c r="W165" s="164"/>
      <c r="X165" s="154"/>
      <c r="Y165" s="155"/>
    </row>
    <row r="166" spans="1:25" x14ac:dyDescent="0.25">
      <c r="A166" s="161"/>
      <c r="B166" s="162"/>
      <c r="C166" s="162"/>
      <c r="D166" s="162"/>
      <c r="E166" s="162"/>
      <c r="F166" s="162"/>
      <c r="G166" s="162"/>
      <c r="H166" s="162"/>
      <c r="I166" s="163"/>
      <c r="J166" s="156"/>
      <c r="K166" s="157"/>
      <c r="L166" s="156"/>
      <c r="M166" s="157"/>
      <c r="N166" s="95"/>
      <c r="O166" s="96"/>
      <c r="P166" s="156"/>
      <c r="Q166" s="157"/>
      <c r="R166" s="165"/>
      <c r="S166" s="165"/>
      <c r="T166" s="165"/>
      <c r="U166" s="165"/>
      <c r="V166" s="165"/>
      <c r="W166" s="165"/>
      <c r="X166" s="156"/>
      <c r="Y166" s="157"/>
    </row>
    <row r="167" spans="1:25" ht="18" customHeight="1" x14ac:dyDescent="0.3">
      <c r="A167" s="106" t="s">
        <v>41</v>
      </c>
      <c r="B167" s="107"/>
      <c r="C167" s="107"/>
      <c r="D167" s="107"/>
      <c r="E167" s="107"/>
      <c r="F167" s="107"/>
      <c r="G167" s="107"/>
      <c r="H167" s="107"/>
      <c r="I167" s="108"/>
      <c r="J167" s="170">
        <f>SUM(J11+J50+J89+J128)</f>
        <v>4164</v>
      </c>
      <c r="K167" s="171"/>
      <c r="L167" s="170">
        <f>SUM(L11+L50+L89+L128)</f>
        <v>291</v>
      </c>
      <c r="M167" s="171"/>
      <c r="N167" s="170">
        <f>SUM(N11+N50+N89+N128)</f>
        <v>2</v>
      </c>
      <c r="O167" s="171"/>
      <c r="P167" s="170">
        <f>SUM(J167+L167+N167)</f>
        <v>4457</v>
      </c>
      <c r="Q167" s="171"/>
      <c r="R167" s="170">
        <f>SUM(R11+R50+R89+R128)</f>
        <v>4</v>
      </c>
      <c r="S167" s="171"/>
      <c r="T167" s="170">
        <f>SUM(T11+T50+T89+T128)</f>
        <v>5</v>
      </c>
      <c r="U167" s="171"/>
      <c r="V167" s="170">
        <f>SUM(V11+V50+V89+V128)</f>
        <v>14</v>
      </c>
      <c r="W167" s="171"/>
      <c r="X167" s="172">
        <f>SUM(J167+L167+N167+R167+T167+V167)</f>
        <v>4480</v>
      </c>
      <c r="Y167" s="173"/>
    </row>
    <row r="168" spans="1:25" ht="18" customHeight="1" x14ac:dyDescent="0.3">
      <c r="A168" s="106" t="s">
        <v>42</v>
      </c>
      <c r="B168" s="107"/>
      <c r="C168" s="107"/>
      <c r="D168" s="107"/>
      <c r="E168" s="107"/>
      <c r="F168" s="107"/>
      <c r="G168" s="107"/>
      <c r="H168" s="107"/>
      <c r="I168" s="108"/>
      <c r="J168" s="170">
        <f>SUM(J12+J51+J90+J129)</f>
        <v>4959</v>
      </c>
      <c r="K168" s="171"/>
      <c r="L168" s="170">
        <f>SUM(L12+L51+L90+L129)</f>
        <v>107</v>
      </c>
      <c r="M168" s="171"/>
      <c r="N168" s="170">
        <f>SUM(N12+N51+N90+N129)</f>
        <v>12</v>
      </c>
      <c r="O168" s="171"/>
      <c r="P168" s="170">
        <f>SUM(J168+L168+N168)</f>
        <v>5078</v>
      </c>
      <c r="Q168" s="171"/>
      <c r="R168" s="170">
        <f>SUM(R12+R51+R90+R129)</f>
        <v>2</v>
      </c>
      <c r="S168" s="171"/>
      <c r="T168" s="170">
        <f>SUM(T12+T51+T90+T129)</f>
        <v>3</v>
      </c>
      <c r="U168" s="171"/>
      <c r="V168" s="170">
        <f>SUM(V12+V51+V90+V129)</f>
        <v>25</v>
      </c>
      <c r="W168" s="171"/>
      <c r="X168" s="172">
        <f>SUM(J168+L168+N168+R168+T168+V168)</f>
        <v>5108</v>
      </c>
      <c r="Y168" s="173"/>
    </row>
    <row r="169" spans="1:25" ht="18" customHeight="1" x14ac:dyDescent="0.3">
      <c r="A169" s="106" t="s">
        <v>43</v>
      </c>
      <c r="B169" s="107"/>
      <c r="C169" s="107"/>
      <c r="D169" s="107"/>
      <c r="E169" s="107"/>
      <c r="F169" s="107"/>
      <c r="G169" s="107"/>
      <c r="H169" s="107"/>
      <c r="I169" s="108"/>
      <c r="J169" s="170">
        <f>SUM(J13+J52+J91+J130)</f>
        <v>16</v>
      </c>
      <c r="K169" s="171"/>
      <c r="L169" s="170">
        <f>SUM(L13+L52+L91+L130)</f>
        <v>1</v>
      </c>
      <c r="M169" s="171"/>
      <c r="N169" s="170">
        <f>SUM(N13+N52+N91+N130)</f>
        <v>0</v>
      </c>
      <c r="O169" s="171"/>
      <c r="P169" s="170">
        <f>SUM(J169+L169+N169)</f>
        <v>17</v>
      </c>
      <c r="Q169" s="171"/>
      <c r="R169" s="170">
        <f>SUM(R13+R52+R91+R130)</f>
        <v>0</v>
      </c>
      <c r="S169" s="171"/>
      <c r="T169" s="170">
        <f>SUM(T13+T52+T91+T130)</f>
        <v>0</v>
      </c>
      <c r="U169" s="171"/>
      <c r="V169" s="170">
        <f>SUM(V13+V52+V91+V130)</f>
        <v>0</v>
      </c>
      <c r="W169" s="171"/>
      <c r="X169" s="172">
        <f>SUM(J169+L169+N169+R169+T169+V169)</f>
        <v>17</v>
      </c>
      <c r="Y169" s="173"/>
    </row>
    <row r="170" spans="1:25" ht="18" customHeight="1" x14ac:dyDescent="0.3">
      <c r="A170" s="106" t="s">
        <v>44</v>
      </c>
      <c r="B170" s="107"/>
      <c r="C170" s="107"/>
      <c r="D170" s="107"/>
      <c r="E170" s="107"/>
      <c r="F170" s="107"/>
      <c r="G170" s="107"/>
      <c r="H170" s="107"/>
      <c r="I170" s="108"/>
      <c r="J170" s="170">
        <f>SUM(J14+J53+J92+J131)</f>
        <v>3160</v>
      </c>
      <c r="K170" s="171"/>
      <c r="L170" s="170">
        <f>SUM(L14+L53+L92+L131)</f>
        <v>24</v>
      </c>
      <c r="M170" s="171"/>
      <c r="N170" s="170">
        <f>SUM(N14+N53+N92+N131)</f>
        <v>7</v>
      </c>
      <c r="O170" s="171"/>
      <c r="P170" s="170">
        <f>SUM(J170+L170+N170)</f>
        <v>3191</v>
      </c>
      <c r="Q170" s="171"/>
      <c r="R170" s="170">
        <f>SUM(R14+R53+R92+R131)</f>
        <v>0</v>
      </c>
      <c r="S170" s="171"/>
      <c r="T170" s="170">
        <f>SUM(T14+T53+T92+T131)</f>
        <v>3</v>
      </c>
      <c r="U170" s="171"/>
      <c r="V170" s="170">
        <f>SUM(V14+V53+V92+V131)</f>
        <v>42</v>
      </c>
      <c r="W170" s="171"/>
      <c r="X170" s="172">
        <f>SUM(J170+L170+N170+R170+T170+V170)</f>
        <v>3236</v>
      </c>
      <c r="Y170" s="173"/>
    </row>
    <row r="171" spans="1:25" ht="18" customHeight="1" x14ac:dyDescent="0.3">
      <c r="A171" s="106" t="s">
        <v>7</v>
      </c>
      <c r="B171" s="107"/>
      <c r="C171" s="107"/>
      <c r="D171" s="107"/>
      <c r="E171" s="107"/>
      <c r="F171" s="107"/>
      <c r="G171" s="107"/>
      <c r="H171" s="107"/>
      <c r="I171" s="108"/>
      <c r="J171" s="170">
        <f>SUM(J167:K170)</f>
        <v>12299</v>
      </c>
      <c r="K171" s="171"/>
      <c r="L171" s="170">
        <f>SUM(L167:M170)</f>
        <v>423</v>
      </c>
      <c r="M171" s="171"/>
      <c r="N171" s="170">
        <f>SUM(N167:O170)</f>
        <v>21</v>
      </c>
      <c r="O171" s="171"/>
      <c r="P171" s="170">
        <f>SUM(J171+L171+N171)</f>
        <v>12743</v>
      </c>
      <c r="Q171" s="171"/>
      <c r="R171" s="170">
        <f>SUM(R167:S170)</f>
        <v>6</v>
      </c>
      <c r="S171" s="171"/>
      <c r="T171" s="170">
        <f>SUM(T167:U170)</f>
        <v>11</v>
      </c>
      <c r="U171" s="171"/>
      <c r="V171" s="170">
        <f>SUM(V167:W170)</f>
        <v>81</v>
      </c>
      <c r="W171" s="171"/>
      <c r="X171" s="206">
        <f>SUM(J171+L171+N171+R171+T171+V171)</f>
        <v>12841</v>
      </c>
      <c r="Y171" s="207"/>
    </row>
    <row r="172" spans="1:25" ht="15.6" x14ac:dyDescent="0.3">
      <c r="A172" s="4" t="s">
        <v>45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6"/>
      <c r="S172" s="6"/>
      <c r="T172" s="6"/>
      <c r="U172" s="6"/>
      <c r="V172" s="6"/>
      <c r="W172" s="6"/>
      <c r="X172" s="6"/>
      <c r="Y172" s="7"/>
    </row>
    <row r="173" spans="1:25" x14ac:dyDescent="0.25">
      <c r="A173" s="71"/>
      <c r="B173" s="72"/>
      <c r="C173" s="72"/>
      <c r="D173" s="72"/>
      <c r="E173" s="72"/>
      <c r="F173" s="72"/>
      <c r="G173" s="73"/>
      <c r="H173" s="68" t="s">
        <v>0</v>
      </c>
      <c r="I173" s="69"/>
      <c r="J173" s="136" t="s">
        <v>1</v>
      </c>
      <c r="K173" s="69"/>
      <c r="L173" s="134" t="s">
        <v>2</v>
      </c>
      <c r="M173" s="69"/>
      <c r="N173" s="134" t="s">
        <v>3</v>
      </c>
      <c r="O173" s="69"/>
      <c r="P173" s="134" t="s">
        <v>4</v>
      </c>
      <c r="Q173" s="135"/>
      <c r="R173" s="134" t="s">
        <v>5</v>
      </c>
      <c r="S173" s="69"/>
      <c r="T173" s="134" t="s">
        <v>6</v>
      </c>
      <c r="U173" s="69"/>
      <c r="V173" s="134" t="s">
        <v>46</v>
      </c>
      <c r="W173" s="69"/>
      <c r="X173" s="134" t="s">
        <v>7</v>
      </c>
      <c r="Y173" s="135"/>
    </row>
    <row r="174" spans="1:25" x14ac:dyDescent="0.25">
      <c r="A174" s="74"/>
      <c r="B174" s="75"/>
      <c r="C174" s="75"/>
      <c r="D174" s="75"/>
      <c r="E174" s="75"/>
      <c r="F174" s="75"/>
      <c r="G174" s="76"/>
      <c r="H174" s="10" t="s">
        <v>10</v>
      </c>
      <c r="I174" s="10" t="s">
        <v>11</v>
      </c>
      <c r="J174" s="10" t="s">
        <v>10</v>
      </c>
      <c r="K174" s="10" t="s">
        <v>11</v>
      </c>
      <c r="L174" s="10" t="s">
        <v>10</v>
      </c>
      <c r="M174" s="10" t="s">
        <v>11</v>
      </c>
      <c r="N174" s="10" t="s">
        <v>10</v>
      </c>
      <c r="O174" s="10" t="s">
        <v>11</v>
      </c>
      <c r="P174" s="10" t="s">
        <v>10</v>
      </c>
      <c r="Q174" s="10" t="s">
        <v>11</v>
      </c>
      <c r="R174" s="10" t="s">
        <v>10</v>
      </c>
      <c r="S174" s="10" t="s">
        <v>11</v>
      </c>
      <c r="T174" s="10" t="s">
        <v>10</v>
      </c>
      <c r="U174" s="10" t="s">
        <v>11</v>
      </c>
      <c r="V174" s="10" t="s">
        <v>10</v>
      </c>
      <c r="W174" s="10" t="s">
        <v>11</v>
      </c>
      <c r="X174" s="10" t="s">
        <v>10</v>
      </c>
      <c r="Y174" s="10" t="s">
        <v>11</v>
      </c>
    </row>
    <row r="175" spans="1:25" ht="18" customHeight="1" x14ac:dyDescent="0.25">
      <c r="A175" s="106" t="s">
        <v>41</v>
      </c>
      <c r="B175" s="107"/>
      <c r="C175" s="107"/>
      <c r="D175" s="107"/>
      <c r="E175" s="107"/>
      <c r="F175" s="107"/>
      <c r="G175" s="108"/>
      <c r="H175" s="51">
        <f t="shared" ref="H175:W178" si="16">SUM(H19+H58+H97+H136)</f>
        <v>8</v>
      </c>
      <c r="I175" s="51">
        <f t="shared" si="16"/>
        <v>2</v>
      </c>
      <c r="J175" s="51">
        <f t="shared" si="16"/>
        <v>28</v>
      </c>
      <c r="K175" s="51">
        <f t="shared" si="16"/>
        <v>104</v>
      </c>
      <c r="L175" s="51">
        <f t="shared" si="16"/>
        <v>379</v>
      </c>
      <c r="M175" s="51">
        <f t="shared" si="16"/>
        <v>547</v>
      </c>
      <c r="N175" s="51">
        <f t="shared" si="16"/>
        <v>369</v>
      </c>
      <c r="O175" s="51">
        <f t="shared" si="16"/>
        <v>362</v>
      </c>
      <c r="P175" s="51">
        <f t="shared" si="16"/>
        <v>304</v>
      </c>
      <c r="Q175" s="51">
        <f t="shared" si="16"/>
        <v>253</v>
      </c>
      <c r="R175" s="51">
        <f t="shared" si="16"/>
        <v>311</v>
      </c>
      <c r="S175" s="51">
        <f t="shared" si="16"/>
        <v>254</v>
      </c>
      <c r="T175" s="51">
        <f t="shared" si="16"/>
        <v>361</v>
      </c>
      <c r="U175" s="51">
        <f t="shared" si="16"/>
        <v>282</v>
      </c>
      <c r="V175" s="51">
        <f t="shared" si="16"/>
        <v>520</v>
      </c>
      <c r="W175" s="51">
        <f t="shared" si="16"/>
        <v>373</v>
      </c>
      <c r="X175" s="51">
        <f>SUM(H175+J175+L175+N175+P175+R175+T175+V175)</f>
        <v>2280</v>
      </c>
      <c r="Y175" s="51">
        <f>SUM(I175+K175+M175+O175+Q175+S175+U175+W175)</f>
        <v>2177</v>
      </c>
    </row>
    <row r="176" spans="1:25" ht="18" customHeight="1" x14ac:dyDescent="0.25">
      <c r="A176" s="106" t="s">
        <v>42</v>
      </c>
      <c r="B176" s="107"/>
      <c r="C176" s="107"/>
      <c r="D176" s="107"/>
      <c r="E176" s="107"/>
      <c r="F176" s="107"/>
      <c r="G176" s="108"/>
      <c r="H176" s="51">
        <f t="shared" si="16"/>
        <v>836</v>
      </c>
      <c r="I176" s="51">
        <f t="shared" si="16"/>
        <v>628</v>
      </c>
      <c r="J176" s="51">
        <f t="shared" si="16"/>
        <v>257</v>
      </c>
      <c r="K176" s="51">
        <f t="shared" si="16"/>
        <v>268</v>
      </c>
      <c r="L176" s="51">
        <f t="shared" si="16"/>
        <v>244</v>
      </c>
      <c r="M176" s="51">
        <f t="shared" si="16"/>
        <v>349</v>
      </c>
      <c r="N176" s="51">
        <f t="shared" si="16"/>
        <v>254</v>
      </c>
      <c r="O176" s="51">
        <f t="shared" si="16"/>
        <v>267</v>
      </c>
      <c r="P176" s="51">
        <f t="shared" si="16"/>
        <v>226</v>
      </c>
      <c r="Q176" s="51">
        <f t="shared" si="16"/>
        <v>232</v>
      </c>
      <c r="R176" s="51">
        <f t="shared" si="16"/>
        <v>224</v>
      </c>
      <c r="S176" s="51">
        <f t="shared" si="16"/>
        <v>219</v>
      </c>
      <c r="T176" s="51">
        <f t="shared" si="16"/>
        <v>244</v>
      </c>
      <c r="U176" s="51">
        <f t="shared" si="16"/>
        <v>247</v>
      </c>
      <c r="V176" s="51">
        <f t="shared" si="16"/>
        <v>364</v>
      </c>
      <c r="W176" s="51">
        <f t="shared" si="16"/>
        <v>226</v>
      </c>
      <c r="X176" s="51">
        <f t="shared" ref="X176:Y178" si="17">SUM(H176+J176+L176+N176+P176+R176+T176+V176)</f>
        <v>2649</v>
      </c>
      <c r="Y176" s="51">
        <f t="shared" si="17"/>
        <v>2436</v>
      </c>
    </row>
    <row r="177" spans="1:25" x14ac:dyDescent="0.25">
      <c r="A177" s="106" t="s">
        <v>43</v>
      </c>
      <c r="B177" s="107"/>
      <c r="C177" s="107"/>
      <c r="D177" s="107"/>
      <c r="E177" s="107"/>
      <c r="F177" s="107"/>
      <c r="G177" s="108"/>
      <c r="H177" s="51">
        <f t="shared" si="16"/>
        <v>0</v>
      </c>
      <c r="I177" s="51">
        <f t="shared" si="16"/>
        <v>0</v>
      </c>
      <c r="J177" s="51">
        <f t="shared" si="16"/>
        <v>1</v>
      </c>
      <c r="K177" s="51">
        <f t="shared" si="16"/>
        <v>1</v>
      </c>
      <c r="L177" s="51">
        <f t="shared" si="16"/>
        <v>2</v>
      </c>
      <c r="M177" s="51">
        <f t="shared" si="16"/>
        <v>1</v>
      </c>
      <c r="N177" s="51">
        <f t="shared" si="16"/>
        <v>2</v>
      </c>
      <c r="O177" s="51">
        <f t="shared" si="16"/>
        <v>2</v>
      </c>
      <c r="P177" s="51">
        <f t="shared" si="16"/>
        <v>1</v>
      </c>
      <c r="Q177" s="51">
        <f t="shared" si="16"/>
        <v>1</v>
      </c>
      <c r="R177" s="51">
        <f t="shared" si="16"/>
        <v>1</v>
      </c>
      <c r="S177" s="51">
        <f t="shared" si="16"/>
        <v>1</v>
      </c>
      <c r="T177" s="51">
        <f t="shared" si="16"/>
        <v>2</v>
      </c>
      <c r="U177" s="51">
        <f t="shared" si="16"/>
        <v>1</v>
      </c>
      <c r="V177" s="51">
        <f t="shared" si="16"/>
        <v>0</v>
      </c>
      <c r="W177" s="51">
        <f t="shared" si="16"/>
        <v>1</v>
      </c>
      <c r="X177" s="51">
        <f t="shared" si="17"/>
        <v>9</v>
      </c>
      <c r="Y177" s="51">
        <f t="shared" si="17"/>
        <v>8</v>
      </c>
    </row>
    <row r="178" spans="1:25" x14ac:dyDescent="0.25">
      <c r="A178" s="106" t="s">
        <v>44</v>
      </c>
      <c r="B178" s="107"/>
      <c r="C178" s="107"/>
      <c r="D178" s="107"/>
      <c r="E178" s="107"/>
      <c r="F178" s="107"/>
      <c r="G178" s="108"/>
      <c r="H178" s="51">
        <f t="shared" si="16"/>
        <v>228</v>
      </c>
      <c r="I178" s="51">
        <f t="shared" si="16"/>
        <v>168</v>
      </c>
      <c r="J178" s="51">
        <f t="shared" si="16"/>
        <v>165</v>
      </c>
      <c r="K178" s="51">
        <f t="shared" si="16"/>
        <v>144</v>
      </c>
      <c r="L178" s="51">
        <f t="shared" si="16"/>
        <v>328</v>
      </c>
      <c r="M178" s="51">
        <f t="shared" si="16"/>
        <v>316</v>
      </c>
      <c r="N178" s="51">
        <f t="shared" si="16"/>
        <v>242</v>
      </c>
      <c r="O178" s="51">
        <f t="shared" si="16"/>
        <v>254</v>
      </c>
      <c r="P178" s="51">
        <f t="shared" si="16"/>
        <v>171</v>
      </c>
      <c r="Q178" s="51">
        <f t="shared" si="16"/>
        <v>209</v>
      </c>
      <c r="R178" s="51">
        <f t="shared" si="16"/>
        <v>157</v>
      </c>
      <c r="S178" s="51">
        <f t="shared" si="16"/>
        <v>130</v>
      </c>
      <c r="T178" s="51">
        <f t="shared" si="16"/>
        <v>184</v>
      </c>
      <c r="U178" s="51">
        <f t="shared" si="16"/>
        <v>120</v>
      </c>
      <c r="V178" s="51">
        <f t="shared" si="16"/>
        <v>241</v>
      </c>
      <c r="W178" s="51">
        <f t="shared" si="16"/>
        <v>138</v>
      </c>
      <c r="X178" s="51">
        <f t="shared" si="17"/>
        <v>1716</v>
      </c>
      <c r="Y178" s="51">
        <f t="shared" si="17"/>
        <v>1479</v>
      </c>
    </row>
    <row r="179" spans="1:25" x14ac:dyDescent="0.25">
      <c r="A179" s="106" t="s">
        <v>7</v>
      </c>
      <c r="B179" s="107"/>
      <c r="C179" s="107"/>
      <c r="D179" s="107"/>
      <c r="E179" s="107"/>
      <c r="F179" s="107"/>
      <c r="G179" s="108"/>
      <c r="H179" s="51">
        <f>SUM(H175:H178)</f>
        <v>1072</v>
      </c>
      <c r="I179" s="51">
        <f>SUM(I175:I178)</f>
        <v>798</v>
      </c>
      <c r="J179" s="51">
        <f>SUM(J175:J178)</f>
        <v>451</v>
      </c>
      <c r="K179" s="51">
        <f t="shared" ref="K179:W179" si="18">SUM(K175:K178)</f>
        <v>517</v>
      </c>
      <c r="L179" s="51">
        <f t="shared" si="18"/>
        <v>953</v>
      </c>
      <c r="M179" s="51">
        <f t="shared" si="18"/>
        <v>1213</v>
      </c>
      <c r="N179" s="51">
        <f t="shared" si="18"/>
        <v>867</v>
      </c>
      <c r="O179" s="51">
        <f t="shared" si="18"/>
        <v>885</v>
      </c>
      <c r="P179" s="51">
        <f t="shared" si="18"/>
        <v>702</v>
      </c>
      <c r="Q179" s="51">
        <f t="shared" si="18"/>
        <v>695</v>
      </c>
      <c r="R179" s="51">
        <f t="shared" si="18"/>
        <v>693</v>
      </c>
      <c r="S179" s="51">
        <f t="shared" si="18"/>
        <v>604</v>
      </c>
      <c r="T179" s="51">
        <f t="shared" si="18"/>
        <v>791</v>
      </c>
      <c r="U179" s="51">
        <f t="shared" si="18"/>
        <v>650</v>
      </c>
      <c r="V179" s="51">
        <f t="shared" si="18"/>
        <v>1125</v>
      </c>
      <c r="W179" s="51">
        <f t="shared" si="18"/>
        <v>738</v>
      </c>
      <c r="X179" s="51">
        <f>SUM(X175:X178)</f>
        <v>6654</v>
      </c>
      <c r="Y179" s="51">
        <f>SUM(Y175:Y178)</f>
        <v>6100</v>
      </c>
    </row>
    <row r="180" spans="1:25" ht="5.25" customHeight="1" x14ac:dyDescent="0.25">
      <c r="A180" s="11"/>
      <c r="B180" s="12"/>
      <c r="C180" s="12"/>
      <c r="D180" s="12"/>
      <c r="E180" s="12"/>
      <c r="F180" s="13"/>
      <c r="G180" s="13"/>
      <c r="H180" s="13"/>
      <c r="I180" s="13"/>
      <c r="J180" s="13"/>
      <c r="K180" s="13"/>
      <c r="L180" s="14"/>
      <c r="M180" s="13"/>
      <c r="N180" s="15"/>
      <c r="O180" s="16"/>
      <c r="P180" s="13"/>
      <c r="Q180" s="13"/>
      <c r="R180" s="13"/>
      <c r="S180" s="13"/>
      <c r="T180" s="13"/>
      <c r="U180" s="13"/>
      <c r="V180" s="13"/>
      <c r="W180" s="13"/>
      <c r="X180" s="13"/>
      <c r="Y180" s="17"/>
    </row>
    <row r="181" spans="1:25" ht="15.6" x14ac:dyDescent="0.3">
      <c r="A181" s="18" t="s">
        <v>47</v>
      </c>
      <c r="B181" s="19"/>
      <c r="C181" s="19"/>
      <c r="D181" s="19"/>
      <c r="E181" s="19"/>
      <c r="F181" s="19"/>
      <c r="G181" s="19"/>
      <c r="H181" s="19"/>
      <c r="I181" s="19"/>
      <c r="J181" s="19"/>
      <c r="K181" s="20"/>
      <c r="L181" s="21"/>
      <c r="M181" s="18" t="s">
        <v>48</v>
      </c>
      <c r="N181" s="19"/>
      <c r="O181" s="19"/>
      <c r="P181" s="19"/>
      <c r="Q181" s="22"/>
      <c r="R181" s="22"/>
      <c r="S181" s="22"/>
      <c r="T181" s="22"/>
      <c r="U181" s="22"/>
      <c r="V181" s="22"/>
      <c r="W181" s="22"/>
      <c r="X181" s="22"/>
      <c r="Y181" s="23"/>
    </row>
    <row r="182" spans="1:25" ht="44.25" customHeight="1" x14ac:dyDescent="0.25">
      <c r="A182" s="101" t="s">
        <v>49</v>
      </c>
      <c r="B182" s="101" t="s">
        <v>50</v>
      </c>
      <c r="C182" s="101" t="s">
        <v>51</v>
      </c>
      <c r="D182" s="77" t="s">
        <v>52</v>
      </c>
      <c r="E182" s="78"/>
      <c r="F182" s="77" t="s">
        <v>53</v>
      </c>
      <c r="G182" s="79"/>
      <c r="H182" s="79"/>
      <c r="I182" s="78"/>
      <c r="J182" s="101" t="s">
        <v>54</v>
      </c>
      <c r="K182" s="101" t="s">
        <v>55</v>
      </c>
      <c r="L182" s="24"/>
      <c r="M182" s="86" t="s">
        <v>56</v>
      </c>
      <c r="N182" s="88"/>
      <c r="O182" s="86" t="s">
        <v>57</v>
      </c>
      <c r="P182" s="88"/>
      <c r="Q182" s="86" t="s">
        <v>58</v>
      </c>
      <c r="R182" s="87"/>
      <c r="S182" s="87"/>
      <c r="T182" s="87"/>
      <c r="U182" s="87"/>
      <c r="V182" s="87"/>
      <c r="W182" s="87"/>
      <c r="X182" s="87"/>
      <c r="Y182" s="88"/>
    </row>
    <row r="183" spans="1:25" ht="32.25" customHeight="1" x14ac:dyDescent="0.25">
      <c r="A183" s="102"/>
      <c r="B183" s="102"/>
      <c r="C183" s="102"/>
      <c r="D183" s="25" t="s">
        <v>59</v>
      </c>
      <c r="E183" s="25" t="s">
        <v>60</v>
      </c>
      <c r="F183" s="26" t="s">
        <v>59</v>
      </c>
      <c r="G183" s="26" t="s">
        <v>60</v>
      </c>
      <c r="H183" s="26" t="s">
        <v>61</v>
      </c>
      <c r="I183" s="26" t="s">
        <v>62</v>
      </c>
      <c r="J183" s="102"/>
      <c r="K183" s="102"/>
      <c r="L183" s="24"/>
      <c r="M183" s="91">
        <f>SUM(M27+M66+M105+M144)</f>
        <v>646</v>
      </c>
      <c r="N183" s="92"/>
      <c r="O183" s="91">
        <f>SUM(O27+O66+O105+O144)</f>
        <v>0</v>
      </c>
      <c r="P183" s="92"/>
      <c r="Q183" s="86">
        <f>SUM(Q27+Q66+Q105+Q144)</f>
        <v>0</v>
      </c>
      <c r="R183" s="87"/>
      <c r="S183" s="87"/>
      <c r="T183" s="87"/>
      <c r="U183" s="87"/>
      <c r="V183" s="87"/>
      <c r="W183" s="87"/>
      <c r="X183" s="87"/>
      <c r="Y183" s="88"/>
    </row>
    <row r="184" spans="1:25" ht="39.75" customHeight="1" x14ac:dyDescent="0.25">
      <c r="A184" s="103">
        <f t="shared" ref="A184:K184" si="19">SUM(A28+A67+A106+A145)</f>
        <v>2045733</v>
      </c>
      <c r="B184" s="103">
        <f t="shared" si="19"/>
        <v>54725</v>
      </c>
      <c r="C184" s="103">
        <f t="shared" si="19"/>
        <v>5027</v>
      </c>
      <c r="D184" s="103">
        <f t="shared" si="19"/>
        <v>37871</v>
      </c>
      <c r="E184" s="103">
        <f t="shared" si="19"/>
        <v>19678</v>
      </c>
      <c r="F184" s="103">
        <f t="shared" si="19"/>
        <v>549</v>
      </c>
      <c r="G184" s="103">
        <f t="shared" si="19"/>
        <v>266</v>
      </c>
      <c r="H184" s="103">
        <f t="shared" si="19"/>
        <v>2907</v>
      </c>
      <c r="I184" s="103">
        <f t="shared" si="19"/>
        <v>3722</v>
      </c>
      <c r="J184" s="103">
        <f t="shared" si="19"/>
        <v>4910</v>
      </c>
      <c r="K184" s="103">
        <f t="shared" si="19"/>
        <v>5921</v>
      </c>
      <c r="L184" s="24"/>
      <c r="M184" s="91" t="s">
        <v>63</v>
      </c>
      <c r="N184" s="92"/>
      <c r="O184" s="91" t="s">
        <v>64</v>
      </c>
      <c r="P184" s="92"/>
      <c r="Q184" s="95" t="s">
        <v>65</v>
      </c>
      <c r="R184" s="99"/>
      <c r="S184" s="96"/>
      <c r="T184" s="95" t="s">
        <v>66</v>
      </c>
      <c r="U184" s="99"/>
      <c r="V184" s="99"/>
      <c r="W184" s="99"/>
      <c r="X184" s="99"/>
      <c r="Y184" s="96"/>
    </row>
    <row r="185" spans="1:25" x14ac:dyDescent="0.2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27"/>
      <c r="M185" s="91">
        <f>SUM(M29+M68+M107+M146)</f>
        <v>5</v>
      </c>
      <c r="N185" s="92"/>
      <c r="O185" s="91">
        <f>SUM(O29+O68+O107+O146)</f>
        <v>0</v>
      </c>
      <c r="P185" s="92"/>
      <c r="Q185" s="91">
        <f>SUM(Q29+Q68+Q107+Q146)</f>
        <v>0</v>
      </c>
      <c r="R185" s="97"/>
      <c r="S185" s="92"/>
      <c r="T185" s="28"/>
      <c r="U185" s="86" t="s">
        <v>0</v>
      </c>
      <c r="V185" s="88"/>
      <c r="W185" s="29" t="s">
        <v>1</v>
      </c>
      <c r="X185" s="86" t="s">
        <v>67</v>
      </c>
      <c r="Y185" s="88"/>
    </row>
    <row r="186" spans="1:25" x14ac:dyDescent="0.25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27"/>
      <c r="M186" s="93"/>
      <c r="N186" s="94"/>
      <c r="O186" s="93"/>
      <c r="P186" s="94"/>
      <c r="Q186" s="93"/>
      <c r="R186" s="98"/>
      <c r="S186" s="94"/>
      <c r="T186" s="30" t="s">
        <v>68</v>
      </c>
      <c r="U186" s="100">
        <f>SUM(U30+U69+U108+U147)</f>
        <v>0</v>
      </c>
      <c r="V186" s="100"/>
      <c r="W186" s="29">
        <f t="shared" ref="W186:X188" si="20">SUM(W30+W69+W108+W147)</f>
        <v>0</v>
      </c>
      <c r="X186" s="100">
        <f t="shared" si="20"/>
        <v>0</v>
      </c>
      <c r="Y186" s="100"/>
    </row>
    <row r="187" spans="1:25" x14ac:dyDescent="0.25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27"/>
      <c r="M187" s="93"/>
      <c r="N187" s="94"/>
      <c r="O187" s="93"/>
      <c r="P187" s="94"/>
      <c r="Q187" s="93"/>
      <c r="R187" s="98"/>
      <c r="S187" s="94"/>
      <c r="T187" s="30" t="s">
        <v>69</v>
      </c>
      <c r="U187" s="100">
        <f>SUM(U31+U70+U109+U148)</f>
        <v>0</v>
      </c>
      <c r="V187" s="100"/>
      <c r="W187" s="29">
        <f t="shared" si="20"/>
        <v>0</v>
      </c>
      <c r="X187" s="100">
        <f t="shared" si="20"/>
        <v>0</v>
      </c>
      <c r="Y187" s="100"/>
    </row>
    <row r="188" spans="1:25" x14ac:dyDescent="0.25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27"/>
      <c r="M188" s="95"/>
      <c r="N188" s="96"/>
      <c r="O188" s="95"/>
      <c r="P188" s="96"/>
      <c r="Q188" s="95"/>
      <c r="R188" s="99"/>
      <c r="S188" s="96"/>
      <c r="T188" s="30" t="s">
        <v>70</v>
      </c>
      <c r="U188" s="100">
        <f>SUM(U32+U71+U110+U149)</f>
        <v>0</v>
      </c>
      <c r="V188" s="100"/>
      <c r="W188" s="29">
        <f t="shared" si="20"/>
        <v>0</v>
      </c>
      <c r="X188" s="100">
        <f t="shared" si="20"/>
        <v>0</v>
      </c>
      <c r="Y188" s="100"/>
    </row>
    <row r="189" spans="1:25" ht="6" customHeight="1" x14ac:dyDescent="0.25">
      <c r="A189" s="31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3"/>
      <c r="M189" s="32"/>
      <c r="N189" s="32"/>
      <c r="O189" s="32"/>
      <c r="P189" s="32"/>
      <c r="Q189" s="32"/>
      <c r="R189" s="34"/>
      <c r="S189" s="34"/>
      <c r="T189" s="34"/>
      <c r="U189" s="34"/>
      <c r="V189" s="34"/>
      <c r="W189" s="32"/>
      <c r="X189" s="32"/>
      <c r="Y189" s="7"/>
    </row>
    <row r="190" spans="1:25" ht="15.6" x14ac:dyDescent="0.3">
      <c r="A190" s="18" t="s">
        <v>71</v>
      </c>
      <c r="B190" s="19"/>
      <c r="C190" s="19"/>
      <c r="D190" s="19"/>
      <c r="E190" s="19"/>
      <c r="F190" s="19"/>
      <c r="G190" s="19"/>
      <c r="H190" s="19"/>
      <c r="I190" s="19"/>
      <c r="J190" s="19"/>
      <c r="K190" s="20"/>
      <c r="L190" s="35"/>
      <c r="M190" s="18" t="s">
        <v>72</v>
      </c>
      <c r="N190" s="20"/>
      <c r="O190" s="36"/>
      <c r="P190" s="19"/>
      <c r="Q190" s="19"/>
      <c r="R190" s="19"/>
      <c r="S190" s="19"/>
      <c r="T190" s="19"/>
      <c r="U190" s="19"/>
      <c r="V190" s="19"/>
      <c r="W190" s="22"/>
      <c r="X190" s="22"/>
      <c r="Y190" s="37"/>
    </row>
    <row r="191" spans="1:25" ht="59.25" customHeight="1" x14ac:dyDescent="0.25">
      <c r="A191" s="71"/>
      <c r="B191" s="72"/>
      <c r="C191" s="72"/>
      <c r="D191" s="72"/>
      <c r="E191" s="73"/>
      <c r="F191" s="68" t="s">
        <v>12</v>
      </c>
      <c r="G191" s="70"/>
      <c r="H191" s="68" t="s">
        <v>13</v>
      </c>
      <c r="I191" s="70"/>
      <c r="J191" s="38" t="s">
        <v>73</v>
      </c>
      <c r="K191" s="39"/>
      <c r="L191" s="40"/>
      <c r="M191" s="77" t="s">
        <v>74</v>
      </c>
      <c r="N191" s="78"/>
      <c r="O191" s="77" t="s">
        <v>75</v>
      </c>
      <c r="P191" s="78"/>
      <c r="Q191" s="77" t="s">
        <v>76</v>
      </c>
      <c r="R191" s="78"/>
      <c r="S191" s="77" t="s">
        <v>77</v>
      </c>
      <c r="T191" s="79"/>
      <c r="U191" s="79"/>
      <c r="V191" s="78"/>
      <c r="W191" s="77" t="s">
        <v>78</v>
      </c>
      <c r="X191" s="79"/>
      <c r="Y191" s="78"/>
    </row>
    <row r="192" spans="1:25" x14ac:dyDescent="0.25">
      <c r="A192" s="74"/>
      <c r="B192" s="75"/>
      <c r="C192" s="75"/>
      <c r="D192" s="75"/>
      <c r="E192" s="76"/>
      <c r="F192" s="10" t="s">
        <v>79</v>
      </c>
      <c r="G192" s="10" t="s">
        <v>14</v>
      </c>
      <c r="H192" s="10" t="s">
        <v>79</v>
      </c>
      <c r="I192" s="10" t="s">
        <v>14</v>
      </c>
      <c r="J192" s="10" t="s">
        <v>79</v>
      </c>
      <c r="K192" s="10" t="s">
        <v>14</v>
      </c>
      <c r="L192" s="41"/>
      <c r="M192" s="42" t="s">
        <v>80</v>
      </c>
      <c r="N192" s="42" t="s">
        <v>81</v>
      </c>
      <c r="O192" s="42" t="s">
        <v>80</v>
      </c>
      <c r="P192" s="43" t="s">
        <v>81</v>
      </c>
      <c r="Q192" s="42" t="s">
        <v>80</v>
      </c>
      <c r="R192" s="42" t="s">
        <v>81</v>
      </c>
      <c r="S192" s="44"/>
      <c r="T192" s="42" t="s">
        <v>0</v>
      </c>
      <c r="U192" s="45" t="s">
        <v>1</v>
      </c>
      <c r="V192" s="46" t="s">
        <v>82</v>
      </c>
      <c r="W192" s="42" t="s">
        <v>0</v>
      </c>
      <c r="X192" s="45" t="s">
        <v>1</v>
      </c>
      <c r="Y192" s="46" t="s">
        <v>82</v>
      </c>
    </row>
    <row r="193" spans="1:25" ht="14.4" x14ac:dyDescent="0.3">
      <c r="A193" s="80" t="s">
        <v>83</v>
      </c>
      <c r="B193" s="81"/>
      <c r="C193" s="81"/>
      <c r="D193" s="81"/>
      <c r="E193" s="82"/>
      <c r="F193" s="51">
        <f t="shared" ref="F193:K195" si="21">SUM(F37+F76+F115+F154)</f>
        <v>3873</v>
      </c>
      <c r="G193" s="51">
        <f t="shared" si="21"/>
        <v>15</v>
      </c>
      <c r="H193" s="51">
        <f t="shared" si="21"/>
        <v>1</v>
      </c>
      <c r="I193" s="51">
        <f t="shared" si="21"/>
        <v>1</v>
      </c>
      <c r="J193" s="51">
        <f t="shared" si="21"/>
        <v>0</v>
      </c>
      <c r="K193" s="51">
        <f t="shared" si="21"/>
        <v>1</v>
      </c>
      <c r="L193" s="41"/>
      <c r="M193" s="201">
        <f t="shared" ref="M193:R193" si="22">SUM(M37+M76+M115+M154)</f>
        <v>5031</v>
      </c>
      <c r="N193" s="201">
        <f t="shared" si="22"/>
        <v>17994</v>
      </c>
      <c r="O193" s="201">
        <f t="shared" si="22"/>
        <v>3615</v>
      </c>
      <c r="P193" s="201">
        <f t="shared" si="22"/>
        <v>17910</v>
      </c>
      <c r="Q193" s="201">
        <f t="shared" si="22"/>
        <v>61</v>
      </c>
      <c r="R193" s="201">
        <f t="shared" si="22"/>
        <v>831</v>
      </c>
      <c r="S193" s="47" t="s">
        <v>68</v>
      </c>
      <c r="T193" s="10">
        <f t="shared" ref="T193:Y195" si="23">SUM(T37+T76+T115+T154)</f>
        <v>1</v>
      </c>
      <c r="U193" s="10">
        <f t="shared" si="23"/>
        <v>5</v>
      </c>
      <c r="V193" s="10">
        <f t="shared" si="23"/>
        <v>2</v>
      </c>
      <c r="W193" s="10">
        <f t="shared" si="23"/>
        <v>0</v>
      </c>
      <c r="X193" s="10">
        <f t="shared" si="23"/>
        <v>0</v>
      </c>
      <c r="Y193" s="10">
        <f t="shared" si="23"/>
        <v>0</v>
      </c>
    </row>
    <row r="194" spans="1:25" ht="14.4" x14ac:dyDescent="0.3">
      <c r="A194" s="80" t="s">
        <v>8</v>
      </c>
      <c r="B194" s="81"/>
      <c r="C194" s="81"/>
      <c r="D194" s="81"/>
      <c r="E194" s="82"/>
      <c r="F194" s="51">
        <f t="shared" si="21"/>
        <v>114</v>
      </c>
      <c r="G194" s="51">
        <f t="shared" si="21"/>
        <v>2</v>
      </c>
      <c r="H194" s="51">
        <f t="shared" si="21"/>
        <v>0</v>
      </c>
      <c r="I194" s="51">
        <f t="shared" si="21"/>
        <v>0</v>
      </c>
      <c r="J194" s="51">
        <f t="shared" si="21"/>
        <v>0</v>
      </c>
      <c r="K194" s="51">
        <f t="shared" si="21"/>
        <v>1</v>
      </c>
      <c r="L194" s="41"/>
      <c r="M194" s="202"/>
      <c r="N194" s="202"/>
      <c r="O194" s="202"/>
      <c r="P194" s="202"/>
      <c r="Q194" s="202"/>
      <c r="R194" s="202"/>
      <c r="S194" s="47" t="s">
        <v>69</v>
      </c>
      <c r="T194" s="10">
        <f t="shared" si="23"/>
        <v>0</v>
      </c>
      <c r="U194" s="10">
        <f t="shared" si="23"/>
        <v>0</v>
      </c>
      <c r="V194" s="10">
        <f t="shared" si="23"/>
        <v>0</v>
      </c>
      <c r="W194" s="10">
        <f t="shared" si="23"/>
        <v>0</v>
      </c>
      <c r="X194" s="10">
        <f t="shared" si="23"/>
        <v>0</v>
      </c>
      <c r="Y194" s="10">
        <f t="shared" si="23"/>
        <v>0</v>
      </c>
    </row>
    <row r="195" spans="1:25" x14ac:dyDescent="0.25">
      <c r="A195" s="86" t="s">
        <v>84</v>
      </c>
      <c r="B195" s="87"/>
      <c r="C195" s="87"/>
      <c r="D195" s="87"/>
      <c r="E195" s="88"/>
      <c r="F195" s="51">
        <f t="shared" si="21"/>
        <v>21</v>
      </c>
      <c r="G195" s="51">
        <f t="shared" si="21"/>
        <v>0</v>
      </c>
      <c r="H195" s="51">
        <f t="shared" si="21"/>
        <v>0</v>
      </c>
      <c r="I195" s="51">
        <f t="shared" si="21"/>
        <v>0</v>
      </c>
      <c r="J195" s="51">
        <f t="shared" si="21"/>
        <v>0</v>
      </c>
      <c r="K195" s="51">
        <f t="shared" si="21"/>
        <v>0</v>
      </c>
      <c r="L195" s="41"/>
      <c r="M195" s="202"/>
      <c r="N195" s="202"/>
      <c r="O195" s="202"/>
      <c r="P195" s="202"/>
      <c r="Q195" s="202"/>
      <c r="R195" s="202"/>
      <c r="S195" s="89" t="s">
        <v>70</v>
      </c>
      <c r="T195" s="83">
        <f t="shared" si="23"/>
        <v>0</v>
      </c>
      <c r="U195" s="83">
        <f t="shared" si="23"/>
        <v>5</v>
      </c>
      <c r="V195" s="83">
        <f t="shared" si="23"/>
        <v>66</v>
      </c>
      <c r="W195" s="83">
        <f t="shared" si="23"/>
        <v>0</v>
      </c>
      <c r="X195" s="83">
        <f t="shared" si="23"/>
        <v>0</v>
      </c>
      <c r="Y195" s="83">
        <f t="shared" si="23"/>
        <v>0</v>
      </c>
    </row>
    <row r="196" spans="1:25" x14ac:dyDescent="0.25">
      <c r="A196" s="68" t="s">
        <v>7</v>
      </c>
      <c r="B196" s="69"/>
      <c r="C196" s="69"/>
      <c r="D196" s="69"/>
      <c r="E196" s="70"/>
      <c r="F196" s="51">
        <f>SUM(F193:F195)</f>
        <v>4008</v>
      </c>
      <c r="G196" s="51">
        <f t="shared" ref="G196:K196" si="24">SUM(G193:G195)</f>
        <v>17</v>
      </c>
      <c r="H196" s="51">
        <f t="shared" si="24"/>
        <v>1</v>
      </c>
      <c r="I196" s="51">
        <f t="shared" si="24"/>
        <v>1</v>
      </c>
      <c r="J196" s="51">
        <f t="shared" si="24"/>
        <v>0</v>
      </c>
      <c r="K196" s="51">
        <f t="shared" si="24"/>
        <v>2</v>
      </c>
      <c r="L196" s="41"/>
      <c r="M196" s="203"/>
      <c r="N196" s="203"/>
      <c r="O196" s="203"/>
      <c r="P196" s="203"/>
      <c r="Q196" s="203"/>
      <c r="R196" s="203"/>
      <c r="S196" s="90"/>
      <c r="T196" s="85"/>
      <c r="U196" s="85"/>
      <c r="V196" s="85"/>
      <c r="W196" s="85"/>
      <c r="X196" s="85"/>
      <c r="Y196" s="85"/>
    </row>
  </sheetData>
  <mergeCells count="755">
    <mergeCell ref="Y195:Y196"/>
    <mergeCell ref="A196:E196"/>
    <mergeCell ref="A195:E195"/>
    <mergeCell ref="S195:S196"/>
    <mergeCell ref="T195:T196"/>
    <mergeCell ref="U195:U196"/>
    <mergeCell ref="V195:V196"/>
    <mergeCell ref="W195:W196"/>
    <mergeCell ref="A191:E192"/>
    <mergeCell ref="F191:G191"/>
    <mergeCell ref="H191:I191"/>
    <mergeCell ref="M191:N191"/>
    <mergeCell ref="O191:P191"/>
    <mergeCell ref="Q191:R191"/>
    <mergeCell ref="A193:E193"/>
    <mergeCell ref="M193:M196"/>
    <mergeCell ref="N193:N196"/>
    <mergeCell ref="O193:O196"/>
    <mergeCell ref="P193:P196"/>
    <mergeCell ref="Q193:Q196"/>
    <mergeCell ref="R193:R196"/>
    <mergeCell ref="A194:E194"/>
    <mergeCell ref="X195:X196"/>
    <mergeCell ref="G184:G188"/>
    <mergeCell ref="H184:H188"/>
    <mergeCell ref="I184:I188"/>
    <mergeCell ref="J184:J188"/>
    <mergeCell ref="K184:K188"/>
    <mergeCell ref="A184:A188"/>
    <mergeCell ref="B184:B188"/>
    <mergeCell ref="C184:C188"/>
    <mergeCell ref="D184:D188"/>
    <mergeCell ref="E184:E188"/>
    <mergeCell ref="F184:F188"/>
    <mergeCell ref="O184:P184"/>
    <mergeCell ref="Q184:S184"/>
    <mergeCell ref="S191:V191"/>
    <mergeCell ref="T184:Y184"/>
    <mergeCell ref="M185:N188"/>
    <mergeCell ref="O185:P188"/>
    <mergeCell ref="Q185:S188"/>
    <mergeCell ref="U185:V185"/>
    <mergeCell ref="X185:Y185"/>
    <mergeCell ref="U186:V186"/>
    <mergeCell ref="X186:Y186"/>
    <mergeCell ref="M184:N184"/>
    <mergeCell ref="U187:V187"/>
    <mergeCell ref="X187:Y187"/>
    <mergeCell ref="U188:V188"/>
    <mergeCell ref="X188:Y188"/>
    <mergeCell ref="W191:Y191"/>
    <mergeCell ref="J182:J183"/>
    <mergeCell ref="K182:K183"/>
    <mergeCell ref="M182:N182"/>
    <mergeCell ref="O182:P182"/>
    <mergeCell ref="Q182:Y182"/>
    <mergeCell ref="M183:N183"/>
    <mergeCell ref="O183:P183"/>
    <mergeCell ref="Q183:Y183"/>
    <mergeCell ref="A177:G177"/>
    <mergeCell ref="A178:G178"/>
    <mergeCell ref="A179:G179"/>
    <mergeCell ref="A182:A183"/>
    <mergeCell ref="B182:B183"/>
    <mergeCell ref="C182:C183"/>
    <mergeCell ref="D182:E182"/>
    <mergeCell ref="F182:I182"/>
    <mergeCell ref="R173:S173"/>
    <mergeCell ref="T173:U173"/>
    <mergeCell ref="V173:W173"/>
    <mergeCell ref="X173:Y173"/>
    <mergeCell ref="A175:G175"/>
    <mergeCell ref="A176:G176"/>
    <mergeCell ref="A173:G174"/>
    <mergeCell ref="H173:I173"/>
    <mergeCell ref="J173:K173"/>
    <mergeCell ref="L173:M173"/>
    <mergeCell ref="N173:O173"/>
    <mergeCell ref="P173:Q173"/>
    <mergeCell ref="A171:I171"/>
    <mergeCell ref="J171:K171"/>
    <mergeCell ref="L171:M171"/>
    <mergeCell ref="N171:O171"/>
    <mergeCell ref="P171:Q171"/>
    <mergeCell ref="R171:S171"/>
    <mergeCell ref="T171:U171"/>
    <mergeCell ref="V171:W171"/>
    <mergeCell ref="X171:Y171"/>
    <mergeCell ref="A170:I170"/>
    <mergeCell ref="J170:K170"/>
    <mergeCell ref="L170:M170"/>
    <mergeCell ref="N170:O170"/>
    <mergeCell ref="P170:Q170"/>
    <mergeCell ref="R170:S170"/>
    <mergeCell ref="T170:U170"/>
    <mergeCell ref="V170:W170"/>
    <mergeCell ref="X170:Y170"/>
    <mergeCell ref="A169:I169"/>
    <mergeCell ref="J169:K169"/>
    <mergeCell ref="L169:M169"/>
    <mergeCell ref="N169:O169"/>
    <mergeCell ref="P169:Q169"/>
    <mergeCell ref="R169:S169"/>
    <mergeCell ref="T169:U169"/>
    <mergeCell ref="V169:W169"/>
    <mergeCell ref="X169:Y169"/>
    <mergeCell ref="A168:I168"/>
    <mergeCell ref="J168:K168"/>
    <mergeCell ref="L168:M168"/>
    <mergeCell ref="N168:O168"/>
    <mergeCell ref="P168:Q168"/>
    <mergeCell ref="R168:S168"/>
    <mergeCell ref="T168:U168"/>
    <mergeCell ref="V168:W168"/>
    <mergeCell ref="X168:Y168"/>
    <mergeCell ref="X164:Y166"/>
    <mergeCell ref="A165:I166"/>
    <mergeCell ref="R165:S166"/>
    <mergeCell ref="T165:U166"/>
    <mergeCell ref="V165:W166"/>
    <mergeCell ref="A167:I167"/>
    <mergeCell ref="J167:K167"/>
    <mergeCell ref="L167:M167"/>
    <mergeCell ref="N167:O167"/>
    <mergeCell ref="P167:Q167"/>
    <mergeCell ref="A164:I164"/>
    <mergeCell ref="J164:K166"/>
    <mergeCell ref="L164:M166"/>
    <mergeCell ref="N164:O166"/>
    <mergeCell ref="P164:Q166"/>
    <mergeCell ref="R164:W164"/>
    <mergeCell ref="R167:S167"/>
    <mergeCell ref="T167:U167"/>
    <mergeCell ref="V167:W167"/>
    <mergeCell ref="X167:Y167"/>
    <mergeCell ref="Q160:T161"/>
    <mergeCell ref="U160:W161"/>
    <mergeCell ref="X160:Y161"/>
    <mergeCell ref="A162:F162"/>
    <mergeCell ref="G162:M162"/>
    <mergeCell ref="Q162:U162"/>
    <mergeCell ref="V162:Y162"/>
    <mergeCell ref="A160:D160"/>
    <mergeCell ref="E160:G160"/>
    <mergeCell ref="H160:I160"/>
    <mergeCell ref="J160:K160"/>
    <mergeCell ref="L160:M160"/>
    <mergeCell ref="N160:P160"/>
    <mergeCell ref="A158:Y158"/>
    <mergeCell ref="A159:S159"/>
    <mergeCell ref="U159:V159"/>
    <mergeCell ref="A156:E156"/>
    <mergeCell ref="S156:S157"/>
    <mergeCell ref="T156:T157"/>
    <mergeCell ref="U156:U157"/>
    <mergeCell ref="V156:V157"/>
    <mergeCell ref="W156:W157"/>
    <mergeCell ref="S152:V152"/>
    <mergeCell ref="W152:Y152"/>
    <mergeCell ref="A154:E154"/>
    <mergeCell ref="M154:M157"/>
    <mergeCell ref="N154:N157"/>
    <mergeCell ref="O154:O157"/>
    <mergeCell ref="P154:P157"/>
    <mergeCell ref="Q154:Q157"/>
    <mergeCell ref="R154:R157"/>
    <mergeCell ref="A155:E155"/>
    <mergeCell ref="X156:X157"/>
    <mergeCell ref="Y156:Y157"/>
    <mergeCell ref="A157:E157"/>
    <mergeCell ref="A152:E153"/>
    <mergeCell ref="F152:G152"/>
    <mergeCell ref="H152:I152"/>
    <mergeCell ref="M152:N152"/>
    <mergeCell ref="O152:P152"/>
    <mergeCell ref="Q152:R152"/>
    <mergeCell ref="G145:G149"/>
    <mergeCell ref="H145:H149"/>
    <mergeCell ref="I145:I149"/>
    <mergeCell ref="J145:J149"/>
    <mergeCell ref="K145:K149"/>
    <mergeCell ref="A145:A149"/>
    <mergeCell ref="B145:B149"/>
    <mergeCell ref="C145:C149"/>
    <mergeCell ref="D145:D149"/>
    <mergeCell ref="E145:E149"/>
    <mergeCell ref="F145:F149"/>
    <mergeCell ref="O145:P145"/>
    <mergeCell ref="Q145:S145"/>
    <mergeCell ref="T145:Y145"/>
    <mergeCell ref="M146:N149"/>
    <mergeCell ref="O146:P149"/>
    <mergeCell ref="Q146:S149"/>
    <mergeCell ref="U146:V146"/>
    <mergeCell ref="X146:Y146"/>
    <mergeCell ref="U147:V147"/>
    <mergeCell ref="X147:Y147"/>
    <mergeCell ref="M145:N145"/>
    <mergeCell ref="U148:V148"/>
    <mergeCell ref="X148:Y148"/>
    <mergeCell ref="U149:V149"/>
    <mergeCell ref="X149:Y149"/>
    <mergeCell ref="J143:J144"/>
    <mergeCell ref="K143:K144"/>
    <mergeCell ref="M143:N143"/>
    <mergeCell ref="O143:P143"/>
    <mergeCell ref="Q143:Y143"/>
    <mergeCell ref="M144:N144"/>
    <mergeCell ref="O144:P144"/>
    <mergeCell ref="Q144:Y144"/>
    <mergeCell ref="A138:G138"/>
    <mergeCell ref="A139:G139"/>
    <mergeCell ref="A140:G140"/>
    <mergeCell ref="A143:A144"/>
    <mergeCell ref="B143:B144"/>
    <mergeCell ref="C143:C144"/>
    <mergeCell ref="D143:E143"/>
    <mergeCell ref="F143:I143"/>
    <mergeCell ref="R134:S134"/>
    <mergeCell ref="T134:U134"/>
    <mergeCell ref="V134:W134"/>
    <mergeCell ref="X134:Y134"/>
    <mergeCell ref="A136:G136"/>
    <mergeCell ref="A137:G137"/>
    <mergeCell ref="A134:G135"/>
    <mergeCell ref="H134:I134"/>
    <mergeCell ref="J134:K134"/>
    <mergeCell ref="L134:M134"/>
    <mergeCell ref="N134:O134"/>
    <mergeCell ref="P134:Q134"/>
    <mergeCell ref="A132:I132"/>
    <mergeCell ref="J132:K132"/>
    <mergeCell ref="L132:M132"/>
    <mergeCell ref="N132:O132"/>
    <mergeCell ref="P132:Q132"/>
    <mergeCell ref="R132:S132"/>
    <mergeCell ref="T132:U132"/>
    <mergeCell ref="V132:W132"/>
    <mergeCell ref="X132:Y132"/>
    <mergeCell ref="A131:I131"/>
    <mergeCell ref="J131:K131"/>
    <mergeCell ref="L131:M131"/>
    <mergeCell ref="N131:O131"/>
    <mergeCell ref="P131:Q131"/>
    <mergeCell ref="R131:S131"/>
    <mergeCell ref="T131:U131"/>
    <mergeCell ref="V131:W131"/>
    <mergeCell ref="X131:Y131"/>
    <mergeCell ref="A130:I130"/>
    <mergeCell ref="J130:K130"/>
    <mergeCell ref="L130:M130"/>
    <mergeCell ref="N130:O130"/>
    <mergeCell ref="P130:Q130"/>
    <mergeCell ref="R130:S130"/>
    <mergeCell ref="T130:U130"/>
    <mergeCell ref="V130:W130"/>
    <mergeCell ref="X130:Y130"/>
    <mergeCell ref="A129:I129"/>
    <mergeCell ref="J129:K129"/>
    <mergeCell ref="L129:M129"/>
    <mergeCell ref="N129:O129"/>
    <mergeCell ref="P129:Q129"/>
    <mergeCell ref="R129:S129"/>
    <mergeCell ref="T129:U129"/>
    <mergeCell ref="V129:W129"/>
    <mergeCell ref="X129:Y129"/>
    <mergeCell ref="X125:Y127"/>
    <mergeCell ref="A126:I127"/>
    <mergeCell ref="R126:S127"/>
    <mergeCell ref="T126:U127"/>
    <mergeCell ref="V126:W127"/>
    <mergeCell ref="A128:I128"/>
    <mergeCell ref="J128:K128"/>
    <mergeCell ref="L128:M128"/>
    <mergeCell ref="N128:O128"/>
    <mergeCell ref="P128:Q128"/>
    <mergeCell ref="A125:I125"/>
    <mergeCell ref="J125:K127"/>
    <mergeCell ref="L125:M127"/>
    <mergeCell ref="N125:O127"/>
    <mergeCell ref="P125:Q127"/>
    <mergeCell ref="R125:W125"/>
    <mergeCell ref="R128:S128"/>
    <mergeCell ref="T128:U128"/>
    <mergeCell ref="V128:W128"/>
    <mergeCell ref="X128:Y128"/>
    <mergeCell ref="Q121:T122"/>
    <mergeCell ref="U121:W122"/>
    <mergeCell ref="X121:Y122"/>
    <mergeCell ref="A123:F123"/>
    <mergeCell ref="G123:M123"/>
    <mergeCell ref="Q123:U123"/>
    <mergeCell ref="V123:Y123"/>
    <mergeCell ref="A121:D121"/>
    <mergeCell ref="E121:G121"/>
    <mergeCell ref="H121:I121"/>
    <mergeCell ref="J121:K121"/>
    <mergeCell ref="L121:M121"/>
    <mergeCell ref="N121:P121"/>
    <mergeCell ref="A119:Y119"/>
    <mergeCell ref="A120:S120"/>
    <mergeCell ref="U120:V120"/>
    <mergeCell ref="A117:E117"/>
    <mergeCell ref="S117:S118"/>
    <mergeCell ref="T117:T118"/>
    <mergeCell ref="U117:U118"/>
    <mergeCell ref="V117:V118"/>
    <mergeCell ref="W117:W118"/>
    <mergeCell ref="S113:V113"/>
    <mergeCell ref="W113:Y113"/>
    <mergeCell ref="A115:E115"/>
    <mergeCell ref="M115:M118"/>
    <mergeCell ref="N115:N118"/>
    <mergeCell ref="O115:O118"/>
    <mergeCell ref="P115:P118"/>
    <mergeCell ref="Q115:Q118"/>
    <mergeCell ref="R115:R118"/>
    <mergeCell ref="A116:E116"/>
    <mergeCell ref="X117:X118"/>
    <mergeCell ref="Y117:Y118"/>
    <mergeCell ref="A118:E118"/>
    <mergeCell ref="A113:E114"/>
    <mergeCell ref="F113:G113"/>
    <mergeCell ref="H113:I113"/>
    <mergeCell ref="M113:N113"/>
    <mergeCell ref="O113:P113"/>
    <mergeCell ref="Q113:R113"/>
    <mergeCell ref="G106:G110"/>
    <mergeCell ref="H106:H110"/>
    <mergeCell ref="I106:I110"/>
    <mergeCell ref="J106:J110"/>
    <mergeCell ref="K106:K110"/>
    <mergeCell ref="A106:A110"/>
    <mergeCell ref="B106:B110"/>
    <mergeCell ref="C106:C110"/>
    <mergeCell ref="D106:D110"/>
    <mergeCell ref="E106:E110"/>
    <mergeCell ref="F106:F110"/>
    <mergeCell ref="O106:P106"/>
    <mergeCell ref="Q106:S106"/>
    <mergeCell ref="T106:Y106"/>
    <mergeCell ref="M107:N110"/>
    <mergeCell ref="O107:P110"/>
    <mergeCell ref="Q107:S110"/>
    <mergeCell ref="U107:V107"/>
    <mergeCell ref="X107:Y107"/>
    <mergeCell ref="U108:V108"/>
    <mergeCell ref="X108:Y108"/>
    <mergeCell ref="M106:N106"/>
    <mergeCell ref="U109:V109"/>
    <mergeCell ref="X109:Y109"/>
    <mergeCell ref="U110:V110"/>
    <mergeCell ref="X110:Y110"/>
    <mergeCell ref="J104:J105"/>
    <mergeCell ref="K104:K105"/>
    <mergeCell ref="M104:N104"/>
    <mergeCell ref="O104:P104"/>
    <mergeCell ref="Q104:Y104"/>
    <mergeCell ref="M105:N105"/>
    <mergeCell ref="O105:P105"/>
    <mergeCell ref="Q105:Y105"/>
    <mergeCell ref="A99:G99"/>
    <mergeCell ref="A100:G100"/>
    <mergeCell ref="A101:G101"/>
    <mergeCell ref="A104:A105"/>
    <mergeCell ref="B104:B105"/>
    <mergeCell ref="C104:C105"/>
    <mergeCell ref="D104:E104"/>
    <mergeCell ref="F104:I104"/>
    <mergeCell ref="R95:S95"/>
    <mergeCell ref="T95:U95"/>
    <mergeCell ref="V95:W95"/>
    <mergeCell ref="X95:Y95"/>
    <mergeCell ref="A97:G97"/>
    <mergeCell ref="A98:G98"/>
    <mergeCell ref="A95:G96"/>
    <mergeCell ref="H95:I95"/>
    <mergeCell ref="J95:K95"/>
    <mergeCell ref="L95:M95"/>
    <mergeCell ref="N95:O95"/>
    <mergeCell ref="P95:Q95"/>
    <mergeCell ref="A93:I93"/>
    <mergeCell ref="J93:K93"/>
    <mergeCell ref="L93:M93"/>
    <mergeCell ref="N93:O93"/>
    <mergeCell ref="P93:Q93"/>
    <mergeCell ref="R93:S93"/>
    <mergeCell ref="T93:U93"/>
    <mergeCell ref="V93:W93"/>
    <mergeCell ref="X93:Y93"/>
    <mergeCell ref="A92:I92"/>
    <mergeCell ref="J92:K92"/>
    <mergeCell ref="L92:M92"/>
    <mergeCell ref="N92:O92"/>
    <mergeCell ref="P92:Q92"/>
    <mergeCell ref="R92:S92"/>
    <mergeCell ref="T92:U92"/>
    <mergeCell ref="V92:W92"/>
    <mergeCell ref="X92:Y92"/>
    <mergeCell ref="A91:I91"/>
    <mergeCell ref="J91:K91"/>
    <mergeCell ref="L91:M91"/>
    <mergeCell ref="N91:O91"/>
    <mergeCell ref="P91:Q91"/>
    <mergeCell ref="R91:S91"/>
    <mergeCell ref="T91:U91"/>
    <mergeCell ref="V91:W91"/>
    <mergeCell ref="X91:Y91"/>
    <mergeCell ref="A90:I90"/>
    <mergeCell ref="J90:K90"/>
    <mergeCell ref="L90:M90"/>
    <mergeCell ref="N90:O90"/>
    <mergeCell ref="P90:Q90"/>
    <mergeCell ref="R90:S90"/>
    <mergeCell ref="T90:U90"/>
    <mergeCell ref="V90:W90"/>
    <mergeCell ref="X90:Y90"/>
    <mergeCell ref="X86:Y88"/>
    <mergeCell ref="A87:I88"/>
    <mergeCell ref="R87:S88"/>
    <mergeCell ref="T87:U88"/>
    <mergeCell ref="V87:W88"/>
    <mergeCell ref="A89:I89"/>
    <mergeCell ref="J89:K89"/>
    <mergeCell ref="L89:M89"/>
    <mergeCell ref="N89:O89"/>
    <mergeCell ref="P89:Q89"/>
    <mergeCell ref="A86:I86"/>
    <mergeCell ref="J86:K88"/>
    <mergeCell ref="L86:M88"/>
    <mergeCell ref="N86:O88"/>
    <mergeCell ref="P86:Q88"/>
    <mergeCell ref="R86:W86"/>
    <mergeCell ref="R89:S89"/>
    <mergeCell ref="T89:U89"/>
    <mergeCell ref="V89:W89"/>
    <mergeCell ref="X89:Y89"/>
    <mergeCell ref="Q82:T83"/>
    <mergeCell ref="U82:W83"/>
    <mergeCell ref="X82:Y83"/>
    <mergeCell ref="A84:F84"/>
    <mergeCell ref="G84:M84"/>
    <mergeCell ref="Q84:U84"/>
    <mergeCell ref="V84:Y84"/>
    <mergeCell ref="A82:D82"/>
    <mergeCell ref="E82:G82"/>
    <mergeCell ref="H82:I82"/>
    <mergeCell ref="J82:K82"/>
    <mergeCell ref="L82:M82"/>
    <mergeCell ref="N82:P82"/>
    <mergeCell ref="A80:Y80"/>
    <mergeCell ref="A81:S81"/>
    <mergeCell ref="U81:V81"/>
    <mergeCell ref="A78:E78"/>
    <mergeCell ref="S78:S79"/>
    <mergeCell ref="T78:T79"/>
    <mergeCell ref="U78:U79"/>
    <mergeCell ref="V78:V79"/>
    <mergeCell ref="W78:W79"/>
    <mergeCell ref="S74:V74"/>
    <mergeCell ref="W74:Y74"/>
    <mergeCell ref="A76:E76"/>
    <mergeCell ref="M76:M79"/>
    <mergeCell ref="N76:N79"/>
    <mergeCell ref="O76:O79"/>
    <mergeCell ref="P76:P79"/>
    <mergeCell ref="Q76:Q79"/>
    <mergeCell ref="R76:R79"/>
    <mergeCell ref="A77:E77"/>
    <mergeCell ref="X78:X79"/>
    <mergeCell ref="Y78:Y79"/>
    <mergeCell ref="A79:E79"/>
    <mergeCell ref="A74:E75"/>
    <mergeCell ref="F74:G74"/>
    <mergeCell ref="H74:I74"/>
    <mergeCell ref="M74:N74"/>
    <mergeCell ref="O74:P74"/>
    <mergeCell ref="Q74:R74"/>
    <mergeCell ref="G67:G71"/>
    <mergeCell ref="H67:H71"/>
    <mergeCell ref="I67:I71"/>
    <mergeCell ref="J67:J71"/>
    <mergeCell ref="K67:K71"/>
    <mergeCell ref="A67:A71"/>
    <mergeCell ref="B67:B71"/>
    <mergeCell ref="C67:C71"/>
    <mergeCell ref="D67:D71"/>
    <mergeCell ref="E67:E71"/>
    <mergeCell ref="F67:F71"/>
    <mergeCell ref="O67:P67"/>
    <mergeCell ref="Q67:S67"/>
    <mergeCell ref="T67:Y67"/>
    <mergeCell ref="M68:N71"/>
    <mergeCell ref="O68:P71"/>
    <mergeCell ref="Q68:S71"/>
    <mergeCell ref="U68:V68"/>
    <mergeCell ref="X68:Y68"/>
    <mergeCell ref="U69:V69"/>
    <mergeCell ref="X69:Y69"/>
    <mergeCell ref="M67:N67"/>
    <mergeCell ref="U70:V70"/>
    <mergeCell ref="X70:Y70"/>
    <mergeCell ref="U71:V71"/>
    <mergeCell ref="X71:Y71"/>
    <mergeCell ref="J65:J66"/>
    <mergeCell ref="K65:K66"/>
    <mergeCell ref="M65:N65"/>
    <mergeCell ref="O65:P65"/>
    <mergeCell ref="Q65:Y65"/>
    <mergeCell ref="M66:N66"/>
    <mergeCell ref="O66:P66"/>
    <mergeCell ref="Q66:Y66"/>
    <mergeCell ref="A60:G60"/>
    <mergeCell ref="A61:G61"/>
    <mergeCell ref="A62:G62"/>
    <mergeCell ref="A65:A66"/>
    <mergeCell ref="B65:B66"/>
    <mergeCell ref="C65:C66"/>
    <mergeCell ref="D65:E65"/>
    <mergeCell ref="F65:I65"/>
    <mergeCell ref="R56:S56"/>
    <mergeCell ref="T56:U56"/>
    <mergeCell ref="V56:W56"/>
    <mergeCell ref="X56:Y56"/>
    <mergeCell ref="A58:G58"/>
    <mergeCell ref="A59:G59"/>
    <mergeCell ref="A56:G57"/>
    <mergeCell ref="H56:I56"/>
    <mergeCell ref="J56:K56"/>
    <mergeCell ref="L56:M56"/>
    <mergeCell ref="N56:O56"/>
    <mergeCell ref="P56:Q56"/>
    <mergeCell ref="A54:I54"/>
    <mergeCell ref="J54:K54"/>
    <mergeCell ref="L54:M54"/>
    <mergeCell ref="N54:O54"/>
    <mergeCell ref="P54:Q54"/>
    <mergeCell ref="R54:S54"/>
    <mergeCell ref="T54:U54"/>
    <mergeCell ref="V54:W54"/>
    <mergeCell ref="X54:Y54"/>
    <mergeCell ref="A53:I53"/>
    <mergeCell ref="J53:K53"/>
    <mergeCell ref="L53:M53"/>
    <mergeCell ref="N53:O53"/>
    <mergeCell ref="P53:Q53"/>
    <mergeCell ref="R53:S53"/>
    <mergeCell ref="T53:U53"/>
    <mergeCell ref="V53:W53"/>
    <mergeCell ref="X53:Y53"/>
    <mergeCell ref="A52:I52"/>
    <mergeCell ref="J52:K52"/>
    <mergeCell ref="L52:M52"/>
    <mergeCell ref="N52:O52"/>
    <mergeCell ref="P52:Q52"/>
    <mergeCell ref="R52:S52"/>
    <mergeCell ref="T52:U52"/>
    <mergeCell ref="V52:W52"/>
    <mergeCell ref="X52:Y52"/>
    <mergeCell ref="A51:I51"/>
    <mergeCell ref="J51:K51"/>
    <mergeCell ref="L51:M51"/>
    <mergeCell ref="N51:O51"/>
    <mergeCell ref="P51:Q51"/>
    <mergeCell ref="R51:S51"/>
    <mergeCell ref="T51:U51"/>
    <mergeCell ref="V51:W51"/>
    <mergeCell ref="X51:Y51"/>
    <mergeCell ref="X47:Y49"/>
    <mergeCell ref="A48:I49"/>
    <mergeCell ref="R48:S49"/>
    <mergeCell ref="T48:U49"/>
    <mergeCell ref="V48:W49"/>
    <mergeCell ref="A50:I50"/>
    <mergeCell ref="J50:K50"/>
    <mergeCell ref="L50:M50"/>
    <mergeCell ref="N50:O50"/>
    <mergeCell ref="P50:Q50"/>
    <mergeCell ref="A47:I47"/>
    <mergeCell ref="J47:K49"/>
    <mergeCell ref="L47:M49"/>
    <mergeCell ref="N47:O49"/>
    <mergeCell ref="P47:Q49"/>
    <mergeCell ref="R47:W47"/>
    <mergeCell ref="R50:S50"/>
    <mergeCell ref="T50:U50"/>
    <mergeCell ref="V50:W50"/>
    <mergeCell ref="X50:Y50"/>
    <mergeCell ref="Q43:T44"/>
    <mergeCell ref="U43:W44"/>
    <mergeCell ref="X43:Y44"/>
    <mergeCell ref="A45:F45"/>
    <mergeCell ref="G45:M45"/>
    <mergeCell ref="Q45:U45"/>
    <mergeCell ref="V45:Y45"/>
    <mergeCell ref="A43:D43"/>
    <mergeCell ref="E43:G43"/>
    <mergeCell ref="H43:I43"/>
    <mergeCell ref="J43:K43"/>
    <mergeCell ref="L43:M43"/>
    <mergeCell ref="N43:P43"/>
    <mergeCell ref="A41:Y41"/>
    <mergeCell ref="A42:S42"/>
    <mergeCell ref="U42:V42"/>
    <mergeCell ref="A39:E39"/>
    <mergeCell ref="S39:S40"/>
    <mergeCell ref="T39:T40"/>
    <mergeCell ref="U39:U40"/>
    <mergeCell ref="V39:V40"/>
    <mergeCell ref="W39:W40"/>
    <mergeCell ref="S35:V35"/>
    <mergeCell ref="W35:Y35"/>
    <mergeCell ref="A37:E37"/>
    <mergeCell ref="M37:M40"/>
    <mergeCell ref="N37:N40"/>
    <mergeCell ref="O37:O40"/>
    <mergeCell ref="P37:P40"/>
    <mergeCell ref="Q37:Q40"/>
    <mergeCell ref="R37:R40"/>
    <mergeCell ref="A38:E38"/>
    <mergeCell ref="X39:X40"/>
    <mergeCell ref="Y39:Y40"/>
    <mergeCell ref="A40:E40"/>
    <mergeCell ref="A35:E36"/>
    <mergeCell ref="F35:G35"/>
    <mergeCell ref="H35:I35"/>
    <mergeCell ref="M35:N35"/>
    <mergeCell ref="O35:P35"/>
    <mergeCell ref="Q35:R35"/>
    <mergeCell ref="G28:G32"/>
    <mergeCell ref="H28:H32"/>
    <mergeCell ref="I28:I32"/>
    <mergeCell ref="J28:J32"/>
    <mergeCell ref="K28:K32"/>
    <mergeCell ref="A28:A32"/>
    <mergeCell ref="B28:B32"/>
    <mergeCell ref="C28:C32"/>
    <mergeCell ref="D28:D32"/>
    <mergeCell ref="E28:E32"/>
    <mergeCell ref="F28:F32"/>
    <mergeCell ref="O28:P28"/>
    <mergeCell ref="Q28:S28"/>
    <mergeCell ref="T28:Y28"/>
    <mergeCell ref="M29:N32"/>
    <mergeCell ref="O29:P32"/>
    <mergeCell ref="Q29:S32"/>
    <mergeCell ref="U29:V29"/>
    <mergeCell ref="X29:Y29"/>
    <mergeCell ref="U30:V30"/>
    <mergeCell ref="X30:Y30"/>
    <mergeCell ref="M28:N28"/>
    <mergeCell ref="U31:V31"/>
    <mergeCell ref="X31:Y31"/>
    <mergeCell ref="U32:V32"/>
    <mergeCell ref="X32:Y32"/>
    <mergeCell ref="J26:J27"/>
    <mergeCell ref="K26:K27"/>
    <mergeCell ref="M26:N26"/>
    <mergeCell ref="O26:P26"/>
    <mergeCell ref="Q26:Y26"/>
    <mergeCell ref="M27:N27"/>
    <mergeCell ref="O27:P27"/>
    <mergeCell ref="Q27:Y27"/>
    <mergeCell ref="A21:G21"/>
    <mergeCell ref="A22:G22"/>
    <mergeCell ref="A23:G23"/>
    <mergeCell ref="A26:A27"/>
    <mergeCell ref="B26:B27"/>
    <mergeCell ref="C26:C27"/>
    <mergeCell ref="D26:E26"/>
    <mergeCell ref="F26:I26"/>
    <mergeCell ref="R17:S17"/>
    <mergeCell ref="T17:U17"/>
    <mergeCell ref="V17:W17"/>
    <mergeCell ref="X17:Y17"/>
    <mergeCell ref="A19:G19"/>
    <mergeCell ref="A20:G20"/>
    <mergeCell ref="A17:G18"/>
    <mergeCell ref="H17:I17"/>
    <mergeCell ref="J17:K17"/>
    <mergeCell ref="L17:M17"/>
    <mergeCell ref="N17:O17"/>
    <mergeCell ref="P17:Q17"/>
    <mergeCell ref="A15:I15"/>
    <mergeCell ref="J15:K15"/>
    <mergeCell ref="L15:M15"/>
    <mergeCell ref="N15:O15"/>
    <mergeCell ref="P15:Q15"/>
    <mergeCell ref="R15:S15"/>
    <mergeCell ref="T15:U15"/>
    <mergeCell ref="V15:W15"/>
    <mergeCell ref="X15:Y15"/>
    <mergeCell ref="A14:I14"/>
    <mergeCell ref="J14:K14"/>
    <mergeCell ref="L14:M14"/>
    <mergeCell ref="N14:O14"/>
    <mergeCell ref="P14:Q14"/>
    <mergeCell ref="R14:S14"/>
    <mergeCell ref="T14:U14"/>
    <mergeCell ref="V14:W14"/>
    <mergeCell ref="X14:Y14"/>
    <mergeCell ref="A13:I13"/>
    <mergeCell ref="J13:K13"/>
    <mergeCell ref="L13:M13"/>
    <mergeCell ref="N13:O13"/>
    <mergeCell ref="P13:Q13"/>
    <mergeCell ref="R13:S13"/>
    <mergeCell ref="T13:U13"/>
    <mergeCell ref="V13:W13"/>
    <mergeCell ref="X13:Y13"/>
    <mergeCell ref="A12:I12"/>
    <mergeCell ref="J12:K12"/>
    <mergeCell ref="L12:M12"/>
    <mergeCell ref="N12:O12"/>
    <mergeCell ref="P12:Q12"/>
    <mergeCell ref="R12:S12"/>
    <mergeCell ref="T12:U12"/>
    <mergeCell ref="V12:W12"/>
    <mergeCell ref="X12:Y12"/>
    <mergeCell ref="X8:Y10"/>
    <mergeCell ref="A9:I10"/>
    <mergeCell ref="R9:S10"/>
    <mergeCell ref="T9:U10"/>
    <mergeCell ref="V9:W10"/>
    <mergeCell ref="A11:I11"/>
    <mergeCell ref="J11:K11"/>
    <mergeCell ref="L11:M11"/>
    <mergeCell ref="N11:O11"/>
    <mergeCell ref="P11:Q11"/>
    <mergeCell ref="A8:I8"/>
    <mergeCell ref="J8:K10"/>
    <mergeCell ref="L8:M10"/>
    <mergeCell ref="N8:O10"/>
    <mergeCell ref="P8:Q10"/>
    <mergeCell ref="R8:W8"/>
    <mergeCell ref="R11:S11"/>
    <mergeCell ref="T11:U11"/>
    <mergeCell ref="V11:W11"/>
    <mergeCell ref="X11:Y11"/>
    <mergeCell ref="U4:W5"/>
    <mergeCell ref="X4:Y5"/>
    <mergeCell ref="A6:F6"/>
    <mergeCell ref="G6:M6"/>
    <mergeCell ref="Q6:U6"/>
    <mergeCell ref="V6:Y6"/>
    <mergeCell ref="A2:Y2"/>
    <mergeCell ref="A3:S3"/>
    <mergeCell ref="U3:V3"/>
    <mergeCell ref="A4:D4"/>
    <mergeCell ref="E4:G4"/>
    <mergeCell ref="H4:I4"/>
    <mergeCell ref="J4:K4"/>
    <mergeCell ref="L4:M4"/>
    <mergeCell ref="N4:P4"/>
    <mergeCell ref="Q4:T5"/>
  </mergeCells>
  <printOptions horizontalCentered="1"/>
  <pageMargins left="0.25" right="0.25" top="0.25" bottom="0.25" header="0.25" footer="0.25"/>
  <pageSetup paperSize="9" scale="73" orientation="landscape" r:id="rId1"/>
  <rowBreaks count="1" manualBreakCount="1">
    <brk id="1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MPR</vt:lpstr>
      <vt:lpstr>KARACHI</vt:lpstr>
      <vt:lpstr>SINDH</vt:lpstr>
      <vt:lpstr>GILGIT -BALTISTAN</vt:lpstr>
      <vt:lpstr>AZAD - KASHMIR</vt:lpstr>
      <vt:lpstr>KPK</vt:lpstr>
      <vt:lpstr>All Project Total - 2023</vt:lpstr>
      <vt:lpstr>'AZAD - KASHMIR'!Print_Area</vt:lpstr>
      <vt:lpstr>'GILGIT -BALTISTAN'!Print_Area</vt:lpstr>
      <vt:lpstr>KARACHI!Print_Area</vt:lpstr>
      <vt:lpstr>SINDH!Print_Area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 Ghazi</dc:creator>
  <cp:lastModifiedBy>shah nawaz</cp:lastModifiedBy>
  <cp:lastPrinted>2024-04-15T12:14:14Z</cp:lastPrinted>
  <dcterms:created xsi:type="dcterms:W3CDTF">2018-07-12T04:48:50Z</dcterms:created>
  <dcterms:modified xsi:type="dcterms:W3CDTF">2026-08-06T04:36:57Z</dcterms:modified>
</cp:coreProperties>
</file>