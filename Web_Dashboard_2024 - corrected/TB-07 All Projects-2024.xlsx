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new_backup_tb dashboard_working files\All TB dashbard and Trend_Analysis\Web_Dashboard_2024 - corrected\"/>
    </mc:Choice>
  </mc:AlternateContent>
  <xr:revisionPtr revIDLastSave="0" documentId="13_ncr:1_{E44E6F01-2B0E-4C3B-9B86-DED95A74BC0B}" xr6:coauthVersionLast="47" xr6:coauthVersionMax="47" xr10:uidLastSave="{00000000-0000-0000-0000-000000000000}"/>
  <bookViews>
    <workbookView xWindow="-108" yWindow="-108" windowWidth="23256" windowHeight="12456" tabRatio="748" activeTab="6" xr2:uid="{00000000-000D-0000-FFFF-FFFF00000000}"/>
  </bookViews>
  <sheets>
    <sheet name="MPR" sheetId="20" r:id="rId1"/>
    <sheet name="KARACHI" sheetId="19" r:id="rId2"/>
    <sheet name="SINDH" sheetId="21" r:id="rId3"/>
    <sheet name="GILGIT BALTISTAN" sheetId="22" r:id="rId4"/>
    <sheet name="AZAD KHASHMIR" sheetId="23" r:id="rId5"/>
    <sheet name="KHYBER PAKHTUNKHWA" sheetId="24" r:id="rId6"/>
    <sheet name="All Project Total - 2024" sheetId="25" r:id="rId7"/>
  </sheets>
  <definedNames>
    <definedName name="_xlnm.Print_Area" localSheetId="6">'All Project Total - 2024'!$A$1:$AC$196</definedName>
    <definedName name="_xlnm.Print_Area" localSheetId="4">'AZAD KHASHMIR'!$A$1:$AC$196</definedName>
    <definedName name="_xlnm.Print_Area" localSheetId="3">'GILGIT BALTISTAN'!$A$1:$AC$196</definedName>
    <definedName name="_xlnm.Print_Area" localSheetId="1">KARACHI!$A$1:$AC$196</definedName>
    <definedName name="_xlnm.Print_Area" localSheetId="5">'KHYBER PAKHTUNKHWA'!$A$1:$AC$196</definedName>
    <definedName name="_xlnm.Print_Area" localSheetId="0">MPR!$A$1:$AC$196</definedName>
    <definedName name="_xlnm.Print_Area" localSheetId="2">SINDH!$A$1:$AC$196</definedName>
    <definedName name="Print_Area_MI" localSheetId="6">#REF!</definedName>
    <definedName name="Print_Area_MI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4" i="25" l="1"/>
  <c r="AE172" i="25" l="1"/>
  <c r="E160" i="25" l="1"/>
  <c r="E121" i="25"/>
  <c r="E82" i="25"/>
  <c r="AB43" i="25"/>
  <c r="AB82" i="25" s="1"/>
  <c r="AB121" i="25" s="1"/>
  <c r="AB160" i="25" s="1"/>
  <c r="E43" i="25"/>
  <c r="AC156" i="25" l="1"/>
  <c r="AB156" i="25"/>
  <c r="AA156" i="25"/>
  <c r="Z156" i="25"/>
  <c r="Y156" i="25"/>
  <c r="X156" i="25"/>
  <c r="L156" i="25"/>
  <c r="K156" i="25"/>
  <c r="J156" i="25"/>
  <c r="I156" i="25"/>
  <c r="H156" i="25"/>
  <c r="G156" i="25"/>
  <c r="AC155" i="25"/>
  <c r="AB155" i="25"/>
  <c r="AA155" i="25"/>
  <c r="Z155" i="25"/>
  <c r="Y155" i="25"/>
  <c r="X155" i="25"/>
  <c r="L155" i="25"/>
  <c r="K155" i="25"/>
  <c r="J155" i="25"/>
  <c r="I155" i="25"/>
  <c r="H155" i="25"/>
  <c r="AC154" i="25"/>
  <c r="AB154" i="25"/>
  <c r="AA154" i="25"/>
  <c r="Z154" i="25"/>
  <c r="Y154" i="25"/>
  <c r="X154" i="25"/>
  <c r="V154" i="25"/>
  <c r="U154" i="25"/>
  <c r="T154" i="25"/>
  <c r="S154" i="25"/>
  <c r="R154" i="25"/>
  <c r="Q154" i="25"/>
  <c r="P154" i="25"/>
  <c r="O154" i="25"/>
  <c r="N154" i="25"/>
  <c r="K154" i="25"/>
  <c r="G154" i="25"/>
  <c r="AB149" i="25"/>
  <c r="AA149" i="25"/>
  <c r="Y149" i="25"/>
  <c r="AB148" i="25"/>
  <c r="AA148" i="25"/>
  <c r="Y148" i="25"/>
  <c r="AB147" i="25"/>
  <c r="AA147" i="25"/>
  <c r="Y147" i="25"/>
  <c r="T146" i="25"/>
  <c r="Q146" i="25"/>
  <c r="N146" i="25"/>
  <c r="L145" i="25"/>
  <c r="K145" i="25"/>
  <c r="I145" i="25"/>
  <c r="H145" i="25"/>
  <c r="G145" i="25"/>
  <c r="F145" i="25"/>
  <c r="E145" i="25"/>
  <c r="D145" i="25"/>
  <c r="C145" i="25"/>
  <c r="B145" i="25"/>
  <c r="A145" i="25"/>
  <c r="T144" i="25"/>
  <c r="Q144" i="25"/>
  <c r="N144" i="25"/>
  <c r="Z139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Z138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Z137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Z136" i="25"/>
  <c r="X136" i="25"/>
  <c r="T136" i="25"/>
  <c r="P136" i="25"/>
  <c r="L136" i="25"/>
  <c r="Z131" i="25"/>
  <c r="X131" i="25"/>
  <c r="U131" i="25"/>
  <c r="O131" i="25"/>
  <c r="M131" i="25"/>
  <c r="K131" i="25"/>
  <c r="Z130" i="25"/>
  <c r="X130" i="25"/>
  <c r="U130" i="25"/>
  <c r="O130" i="25"/>
  <c r="M130" i="25"/>
  <c r="K130" i="25"/>
  <c r="Z129" i="25"/>
  <c r="X129" i="25"/>
  <c r="U129" i="25"/>
  <c r="O129" i="25"/>
  <c r="M129" i="25"/>
  <c r="K129" i="25"/>
  <c r="AC117" i="25"/>
  <c r="AB117" i="25"/>
  <c r="AA117" i="25"/>
  <c r="Z117" i="25"/>
  <c r="Y117" i="25"/>
  <c r="X117" i="25"/>
  <c r="L117" i="25"/>
  <c r="K117" i="25"/>
  <c r="J117" i="25"/>
  <c r="I117" i="25"/>
  <c r="H117" i="25"/>
  <c r="G117" i="25"/>
  <c r="AC116" i="25"/>
  <c r="AB116" i="25"/>
  <c r="AA116" i="25"/>
  <c r="Z116" i="25"/>
  <c r="Y116" i="25"/>
  <c r="X116" i="25"/>
  <c r="L116" i="25"/>
  <c r="K116" i="25"/>
  <c r="J116" i="25"/>
  <c r="H116" i="25"/>
  <c r="G116" i="25"/>
  <c r="AC115" i="25"/>
  <c r="AB115" i="25"/>
  <c r="AA115" i="25"/>
  <c r="Z115" i="25"/>
  <c r="Y115" i="25"/>
  <c r="X115" i="25"/>
  <c r="V115" i="25"/>
  <c r="U115" i="25"/>
  <c r="T115" i="25"/>
  <c r="S115" i="25"/>
  <c r="R115" i="25"/>
  <c r="Q115" i="25"/>
  <c r="P115" i="25"/>
  <c r="O115" i="25"/>
  <c r="N115" i="25"/>
  <c r="I115" i="25"/>
  <c r="AB110" i="25"/>
  <c r="AA110" i="25"/>
  <c r="Y110" i="25"/>
  <c r="AB109" i="25"/>
  <c r="AA109" i="25"/>
  <c r="Y109" i="25"/>
  <c r="AB108" i="25"/>
  <c r="AA108" i="25"/>
  <c r="Y108" i="25"/>
  <c r="T107" i="25"/>
  <c r="Q107" i="25"/>
  <c r="N107" i="25"/>
  <c r="L106" i="25"/>
  <c r="K106" i="25"/>
  <c r="I106" i="25"/>
  <c r="H106" i="25"/>
  <c r="F106" i="25"/>
  <c r="E106" i="25"/>
  <c r="D106" i="25"/>
  <c r="C106" i="25"/>
  <c r="B106" i="25"/>
  <c r="A106" i="25"/>
  <c r="T105" i="25"/>
  <c r="Q105" i="25"/>
  <c r="N105" i="25"/>
  <c r="Z100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Z99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Z98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Z97" i="25"/>
  <c r="W97" i="25"/>
  <c r="V97" i="25"/>
  <c r="S97" i="25"/>
  <c r="R97" i="25"/>
  <c r="O97" i="25"/>
  <c r="N97" i="25"/>
  <c r="K97" i="25"/>
  <c r="Z92" i="25"/>
  <c r="X92" i="25"/>
  <c r="U92" i="25"/>
  <c r="O92" i="25"/>
  <c r="M92" i="25"/>
  <c r="K92" i="25"/>
  <c r="Z91" i="25"/>
  <c r="X91" i="25"/>
  <c r="U91" i="25"/>
  <c r="O91" i="25"/>
  <c r="M91" i="25"/>
  <c r="K91" i="25"/>
  <c r="Z90" i="25"/>
  <c r="X90" i="25"/>
  <c r="U90" i="25"/>
  <c r="O90" i="25"/>
  <c r="M90" i="25"/>
  <c r="K90" i="25"/>
  <c r="Z89" i="25"/>
  <c r="O89" i="25"/>
  <c r="K89" i="25"/>
  <c r="AC78" i="25"/>
  <c r="AB78" i="25"/>
  <c r="AA78" i="25"/>
  <c r="Z78" i="25"/>
  <c r="Y78" i="25"/>
  <c r="X78" i="25"/>
  <c r="L78" i="25"/>
  <c r="K78" i="25"/>
  <c r="J78" i="25"/>
  <c r="H78" i="25"/>
  <c r="G78" i="25"/>
  <c r="AC77" i="25"/>
  <c r="AB77" i="25"/>
  <c r="AA77" i="25"/>
  <c r="Z77" i="25"/>
  <c r="Y77" i="25"/>
  <c r="X77" i="25"/>
  <c r="L77" i="25"/>
  <c r="K77" i="25"/>
  <c r="J77" i="25"/>
  <c r="H77" i="25"/>
  <c r="G77" i="25"/>
  <c r="AC76" i="25"/>
  <c r="AA76" i="25"/>
  <c r="Z76" i="25"/>
  <c r="Y76" i="25"/>
  <c r="X76" i="25"/>
  <c r="V76" i="25"/>
  <c r="U76" i="25"/>
  <c r="T76" i="25"/>
  <c r="S76" i="25"/>
  <c r="R76" i="25"/>
  <c r="Q76" i="25"/>
  <c r="P76" i="25"/>
  <c r="O76" i="25"/>
  <c r="N76" i="25"/>
  <c r="I76" i="25"/>
  <c r="AB71" i="25"/>
  <c r="AA71" i="25"/>
  <c r="Y71" i="25"/>
  <c r="AB70" i="25"/>
  <c r="AA70" i="25"/>
  <c r="Y70" i="25"/>
  <c r="AB69" i="25"/>
  <c r="AA69" i="25"/>
  <c r="Y69" i="25"/>
  <c r="T68" i="25"/>
  <c r="Q68" i="25"/>
  <c r="N68" i="25"/>
  <c r="K67" i="25"/>
  <c r="I67" i="25"/>
  <c r="G67" i="25"/>
  <c r="F67" i="25"/>
  <c r="E67" i="25"/>
  <c r="D67" i="25"/>
  <c r="C67" i="25"/>
  <c r="B67" i="25"/>
  <c r="A67" i="25"/>
  <c r="T66" i="25"/>
  <c r="Q66" i="25"/>
  <c r="N66" i="25"/>
  <c r="Z61" i="25"/>
  <c r="Y61" i="25"/>
  <c r="X61" i="25"/>
  <c r="W61" i="25"/>
  <c r="V61" i="25"/>
  <c r="U61" i="25"/>
  <c r="T61" i="25"/>
  <c r="S61" i="25"/>
  <c r="R61" i="25"/>
  <c r="Q61" i="25"/>
  <c r="P61" i="25"/>
  <c r="N61" i="25"/>
  <c r="M61" i="25"/>
  <c r="Z60" i="25"/>
  <c r="Y60" i="25"/>
  <c r="X60" i="25"/>
  <c r="W60" i="25"/>
  <c r="V60" i="25"/>
  <c r="U60" i="25"/>
  <c r="T60" i="25"/>
  <c r="S60" i="25"/>
  <c r="Q60" i="25"/>
  <c r="P60" i="25"/>
  <c r="O60" i="25"/>
  <c r="N60" i="25"/>
  <c r="M60" i="25"/>
  <c r="Z59" i="25"/>
  <c r="Y59" i="25"/>
  <c r="X59" i="25"/>
  <c r="W59" i="25"/>
  <c r="V59" i="25"/>
  <c r="T59" i="25"/>
  <c r="S59" i="25"/>
  <c r="R59" i="25"/>
  <c r="Q59" i="25"/>
  <c r="P59" i="25"/>
  <c r="O59" i="25"/>
  <c r="N59" i="25"/>
  <c r="M59" i="25"/>
  <c r="Z53" i="25"/>
  <c r="X53" i="25"/>
  <c r="U53" i="25"/>
  <c r="O53" i="25"/>
  <c r="M53" i="25"/>
  <c r="Z52" i="25"/>
  <c r="U52" i="25"/>
  <c r="O52" i="25"/>
  <c r="M52" i="25"/>
  <c r="Z51" i="25"/>
  <c r="X51" i="25"/>
  <c r="U51" i="25"/>
  <c r="O51" i="25"/>
  <c r="M51" i="25"/>
  <c r="I39" i="25"/>
  <c r="AB37" i="25"/>
  <c r="L28" i="25"/>
  <c r="O22" i="25"/>
  <c r="R21" i="25"/>
  <c r="U20" i="25"/>
  <c r="X13" i="25"/>
  <c r="U13" i="25"/>
  <c r="Z12" i="25"/>
  <c r="U11" i="25"/>
  <c r="Z168" i="25" l="1"/>
  <c r="Z140" i="25"/>
  <c r="P140" i="25"/>
  <c r="X140" i="25"/>
  <c r="O93" i="25"/>
  <c r="R101" i="25"/>
  <c r="Z101" i="25"/>
  <c r="N101" i="25"/>
  <c r="V101" i="25"/>
  <c r="AB99" i="25"/>
  <c r="S101" i="25"/>
  <c r="T140" i="25"/>
  <c r="K157" i="25"/>
  <c r="Z93" i="25"/>
  <c r="U169" i="25"/>
  <c r="O101" i="25"/>
  <c r="W101" i="25"/>
  <c r="J145" i="25"/>
  <c r="O12" i="25"/>
  <c r="O168" i="25" s="1"/>
  <c r="O14" i="25"/>
  <c r="O170" i="25" s="1"/>
  <c r="Y19" i="25"/>
  <c r="Y20" i="25"/>
  <c r="Y176" i="25" s="1"/>
  <c r="Y21" i="25"/>
  <c r="Y177" i="25" s="1"/>
  <c r="O37" i="25"/>
  <c r="O193" i="25" s="1"/>
  <c r="Z50" i="25"/>
  <c r="Z54" i="25" s="1"/>
  <c r="L61" i="25"/>
  <c r="AB61" i="25" s="1"/>
  <c r="I77" i="25"/>
  <c r="P97" i="25"/>
  <c r="P101" i="25" s="1"/>
  <c r="I116" i="25"/>
  <c r="I118" i="25" s="1"/>
  <c r="O128" i="25"/>
  <c r="O132" i="25" s="1"/>
  <c r="Z128" i="25"/>
  <c r="Z132" i="25" s="1"/>
  <c r="M136" i="25"/>
  <c r="M140" i="25" s="1"/>
  <c r="Q136" i="25"/>
  <c r="Q140" i="25" s="1"/>
  <c r="U136" i="25"/>
  <c r="U140" i="25" s="1"/>
  <c r="Y136" i="25"/>
  <c r="Y140" i="25" s="1"/>
  <c r="I154" i="25"/>
  <c r="I157" i="25" s="1"/>
  <c r="O11" i="25"/>
  <c r="O13" i="25"/>
  <c r="O169" i="25" s="1"/>
  <c r="M19" i="25"/>
  <c r="U21" i="25"/>
  <c r="U177" i="25" s="1"/>
  <c r="Q22" i="25"/>
  <c r="Q178" i="25" s="1"/>
  <c r="Y22" i="25"/>
  <c r="Y178" i="25" s="1"/>
  <c r="H28" i="25"/>
  <c r="AB32" i="25"/>
  <c r="AB188" i="25" s="1"/>
  <c r="S37" i="25"/>
  <c r="S193" i="25" s="1"/>
  <c r="I38" i="25"/>
  <c r="X39" i="25"/>
  <c r="X195" i="25" s="1"/>
  <c r="L58" i="25"/>
  <c r="X58" i="25"/>
  <c r="X62" i="25" s="1"/>
  <c r="L97" i="25"/>
  <c r="L98" i="25"/>
  <c r="AB98" i="25" s="1"/>
  <c r="L100" i="25"/>
  <c r="AB100" i="25" s="1"/>
  <c r="N19" i="25"/>
  <c r="R19" i="25"/>
  <c r="V19" i="25"/>
  <c r="Z19" i="25"/>
  <c r="N20" i="25"/>
  <c r="N176" i="25" s="1"/>
  <c r="R20" i="25"/>
  <c r="R176" i="25" s="1"/>
  <c r="V20" i="25"/>
  <c r="V176" i="25" s="1"/>
  <c r="Z20" i="25"/>
  <c r="Z176" i="25" s="1"/>
  <c r="N21" i="25"/>
  <c r="N177" i="25" s="1"/>
  <c r="V21" i="25"/>
  <c r="V177" i="25" s="1"/>
  <c r="Z21" i="25"/>
  <c r="Z177" i="25" s="1"/>
  <c r="N22" i="25"/>
  <c r="N178" i="25" s="1"/>
  <c r="R22" i="25"/>
  <c r="R178" i="25" s="1"/>
  <c r="V22" i="25"/>
  <c r="V178" i="25" s="1"/>
  <c r="Z22" i="25"/>
  <c r="Z178" i="25" s="1"/>
  <c r="A28" i="25"/>
  <c r="A184" i="25" s="1"/>
  <c r="E28" i="25"/>
  <c r="E184" i="25" s="1"/>
  <c r="I28" i="25"/>
  <c r="I184" i="25" s="1"/>
  <c r="N29" i="25"/>
  <c r="N185" i="25" s="1"/>
  <c r="AA30" i="25"/>
  <c r="AA186" i="25" s="1"/>
  <c r="AB31" i="25"/>
  <c r="AB187" i="25" s="1"/>
  <c r="G37" i="25"/>
  <c r="K37" i="25"/>
  <c r="P37" i="25"/>
  <c r="P193" i="25" s="1"/>
  <c r="T37" i="25"/>
  <c r="T193" i="25" s="1"/>
  <c r="Y37" i="25"/>
  <c r="Y193" i="25" s="1"/>
  <c r="AC37" i="25"/>
  <c r="AC193" i="25" s="1"/>
  <c r="J38" i="25"/>
  <c r="J194" i="25" s="1"/>
  <c r="Y38" i="25"/>
  <c r="Y194" i="25" s="1"/>
  <c r="AC38" i="25"/>
  <c r="AC194" i="25" s="1"/>
  <c r="J39" i="25"/>
  <c r="J195" i="25" s="1"/>
  <c r="Y39" i="25"/>
  <c r="Y195" i="25" s="1"/>
  <c r="AC39" i="25"/>
  <c r="AC195" i="25" s="1"/>
  <c r="O50" i="25"/>
  <c r="O54" i="25" s="1"/>
  <c r="K51" i="25"/>
  <c r="K53" i="25"/>
  <c r="M58" i="25"/>
  <c r="M62" i="25" s="1"/>
  <c r="Q58" i="25"/>
  <c r="Q62" i="25" s="1"/>
  <c r="U58" i="25"/>
  <c r="Y58" i="25"/>
  <c r="Y62" i="25" s="1"/>
  <c r="U59" i="25"/>
  <c r="U176" i="25" s="1"/>
  <c r="H67" i="25"/>
  <c r="J67" i="25" s="1"/>
  <c r="G76" i="25"/>
  <c r="G79" i="25" s="1"/>
  <c r="K76" i="25"/>
  <c r="K79" i="25" s="1"/>
  <c r="R90" i="25"/>
  <c r="AB90" i="25"/>
  <c r="R92" i="25"/>
  <c r="AB92" i="25"/>
  <c r="M97" i="25"/>
  <c r="M101" i="25" s="1"/>
  <c r="Q97" i="25"/>
  <c r="Q101" i="25" s="1"/>
  <c r="U97" i="25"/>
  <c r="U101" i="25" s="1"/>
  <c r="Y97" i="25"/>
  <c r="Y101" i="25" s="1"/>
  <c r="G115" i="25"/>
  <c r="G118" i="25" s="1"/>
  <c r="K115" i="25"/>
  <c r="K118" i="25" s="1"/>
  <c r="N136" i="25"/>
  <c r="N140" i="25" s="1"/>
  <c r="R136" i="25"/>
  <c r="R140" i="25" s="1"/>
  <c r="V136" i="25"/>
  <c r="V140" i="25" s="1"/>
  <c r="J154" i="25"/>
  <c r="J157" i="25" s="1"/>
  <c r="Z11" i="25"/>
  <c r="Z13" i="25"/>
  <c r="Z169" i="25" s="1"/>
  <c r="Q19" i="25"/>
  <c r="M20" i="25"/>
  <c r="M176" i="25" s="1"/>
  <c r="M21" i="25"/>
  <c r="M177" i="25" s="1"/>
  <c r="M22" i="25"/>
  <c r="M178" i="25" s="1"/>
  <c r="T27" i="25"/>
  <c r="T183" i="25" s="1"/>
  <c r="Y30" i="25"/>
  <c r="Y186" i="25" s="1"/>
  <c r="J37" i="25"/>
  <c r="X37" i="25"/>
  <c r="X193" i="25" s="1"/>
  <c r="X38" i="25"/>
  <c r="X194" i="25" s="1"/>
  <c r="AB39" i="25"/>
  <c r="AB195" i="25" s="1"/>
  <c r="P58" i="25"/>
  <c r="P62" i="25" s="1"/>
  <c r="L59" i="25"/>
  <c r="AB59" i="25" s="1"/>
  <c r="L67" i="25"/>
  <c r="L184" i="25" s="1"/>
  <c r="J76" i="25"/>
  <c r="J79" i="25" s="1"/>
  <c r="AB76" i="25"/>
  <c r="I78" i="25"/>
  <c r="I195" i="25" s="1"/>
  <c r="X97" i="25"/>
  <c r="X101" i="25" s="1"/>
  <c r="G106" i="25"/>
  <c r="J106" i="25" s="1"/>
  <c r="J115" i="25"/>
  <c r="J118" i="25" s="1"/>
  <c r="K11" i="25"/>
  <c r="K12" i="25"/>
  <c r="U12" i="25"/>
  <c r="U168" i="25" s="1"/>
  <c r="K13" i="25"/>
  <c r="K14" i="25"/>
  <c r="U14" i="25"/>
  <c r="U170" i="25" s="1"/>
  <c r="K19" i="25"/>
  <c r="O19" i="25"/>
  <c r="S19" i="25"/>
  <c r="W19" i="25"/>
  <c r="K20" i="25"/>
  <c r="O20" i="25"/>
  <c r="O176" i="25" s="1"/>
  <c r="S20" i="25"/>
  <c r="S176" i="25" s="1"/>
  <c r="W20" i="25"/>
  <c r="W176" i="25" s="1"/>
  <c r="K21" i="25"/>
  <c r="O21" i="25"/>
  <c r="O177" i="25" s="1"/>
  <c r="S21" i="25"/>
  <c r="S177" i="25" s="1"/>
  <c r="W21" i="25"/>
  <c r="W177" i="25" s="1"/>
  <c r="K22" i="25"/>
  <c r="S22" i="25"/>
  <c r="S178" i="25" s="1"/>
  <c r="W22" i="25"/>
  <c r="W178" i="25" s="1"/>
  <c r="N27" i="25"/>
  <c r="N183" i="25" s="1"/>
  <c r="B28" i="25"/>
  <c r="B184" i="25" s="1"/>
  <c r="F28" i="25"/>
  <c r="F184" i="25" s="1"/>
  <c r="Q29" i="25"/>
  <c r="Q185" i="25" s="1"/>
  <c r="AB30" i="25"/>
  <c r="AB186" i="25" s="1"/>
  <c r="Y32" i="25"/>
  <c r="Y188" i="25" s="1"/>
  <c r="H37" i="25"/>
  <c r="L37" i="25"/>
  <c r="Q37" i="25"/>
  <c r="Q193" i="25" s="1"/>
  <c r="U37" i="25"/>
  <c r="U193" i="25" s="1"/>
  <c r="Z37" i="25"/>
  <c r="Z193" i="25" s="1"/>
  <c r="G38" i="25"/>
  <c r="K38" i="25"/>
  <c r="K194" i="25" s="1"/>
  <c r="Z38" i="25"/>
  <c r="Z194" i="25" s="1"/>
  <c r="G39" i="25"/>
  <c r="G195" i="25" s="1"/>
  <c r="K39" i="25"/>
  <c r="K195" i="25" s="1"/>
  <c r="Z39" i="25"/>
  <c r="Z195" i="25" s="1"/>
  <c r="U50" i="25"/>
  <c r="U54" i="25" s="1"/>
  <c r="N58" i="25"/>
  <c r="N62" i="25" s="1"/>
  <c r="R58" i="25"/>
  <c r="V58" i="25"/>
  <c r="V62" i="25" s="1"/>
  <c r="Z58" i="25"/>
  <c r="Z62" i="25" s="1"/>
  <c r="R60" i="25"/>
  <c r="R177" i="25" s="1"/>
  <c r="H76" i="25"/>
  <c r="L76" i="25"/>
  <c r="L79" i="25" s="1"/>
  <c r="U89" i="25"/>
  <c r="U93" i="25" s="1"/>
  <c r="H115" i="25"/>
  <c r="H118" i="25" s="1"/>
  <c r="L115" i="25"/>
  <c r="L118" i="25" s="1"/>
  <c r="K128" i="25"/>
  <c r="U128" i="25"/>
  <c r="U132" i="25" s="1"/>
  <c r="AB129" i="25"/>
  <c r="R129" i="25"/>
  <c r="R130" i="25"/>
  <c r="AB130" i="25"/>
  <c r="R131" i="25"/>
  <c r="AB131" i="25"/>
  <c r="K136" i="25"/>
  <c r="O136" i="25"/>
  <c r="O140" i="25" s="1"/>
  <c r="S136" i="25"/>
  <c r="S140" i="25" s="1"/>
  <c r="W136" i="25"/>
  <c r="W140" i="25" s="1"/>
  <c r="K137" i="25"/>
  <c r="AA137" i="25" s="1"/>
  <c r="K138" i="25"/>
  <c r="AA138" i="25" s="1"/>
  <c r="K139" i="25"/>
  <c r="AA139" i="25" s="1"/>
  <c r="Z14" i="25"/>
  <c r="Z170" i="25" s="1"/>
  <c r="U19" i="25"/>
  <c r="Q20" i="25"/>
  <c r="Q176" i="25" s="1"/>
  <c r="Q21" i="25"/>
  <c r="Q177" i="25" s="1"/>
  <c r="U22" i="25"/>
  <c r="U178" i="25" s="1"/>
  <c r="D28" i="25"/>
  <c r="D184" i="25" s="1"/>
  <c r="AA31" i="25"/>
  <c r="AA187" i="25" s="1"/>
  <c r="AB193" i="25"/>
  <c r="AB38" i="25"/>
  <c r="AB194" i="25" s="1"/>
  <c r="M50" i="25"/>
  <c r="M54" i="25" s="1"/>
  <c r="T58" i="25"/>
  <c r="T62" i="25" s="1"/>
  <c r="L60" i="25"/>
  <c r="M89" i="25"/>
  <c r="M93" i="25" s="1"/>
  <c r="T97" i="25"/>
  <c r="T101" i="25" s="1"/>
  <c r="M11" i="25"/>
  <c r="X11" i="25"/>
  <c r="M12" i="25"/>
  <c r="M168" i="25" s="1"/>
  <c r="X12" i="25"/>
  <c r="X168" i="25" s="1"/>
  <c r="M13" i="25"/>
  <c r="M169" i="25" s="1"/>
  <c r="M14" i="25"/>
  <c r="M170" i="25" s="1"/>
  <c r="X14" i="25"/>
  <c r="X170" i="25" s="1"/>
  <c r="L19" i="25"/>
  <c r="P19" i="25"/>
  <c r="T19" i="25"/>
  <c r="X19" i="25"/>
  <c r="L20" i="25"/>
  <c r="P20" i="25"/>
  <c r="P176" i="25" s="1"/>
  <c r="T20" i="25"/>
  <c r="T176" i="25" s="1"/>
  <c r="X20" i="25"/>
  <c r="X176" i="25" s="1"/>
  <c r="L21" i="25"/>
  <c r="P21" i="25"/>
  <c r="P177" i="25" s="1"/>
  <c r="T21" i="25"/>
  <c r="T177" i="25" s="1"/>
  <c r="X21" i="25"/>
  <c r="X177" i="25" s="1"/>
  <c r="L22" i="25"/>
  <c r="P22" i="25"/>
  <c r="P178" i="25" s="1"/>
  <c r="T22" i="25"/>
  <c r="T178" i="25" s="1"/>
  <c r="X22" i="25"/>
  <c r="X178" i="25" s="1"/>
  <c r="Q27" i="25"/>
  <c r="Q183" i="25" s="1"/>
  <c r="C28" i="25"/>
  <c r="C184" i="25" s="1"/>
  <c r="G28" i="25"/>
  <c r="K28" i="25"/>
  <c r="K184" i="25" s="1"/>
  <c r="T29" i="25"/>
  <c r="T185" i="25" s="1"/>
  <c r="Y31" i="25"/>
  <c r="Y187" i="25" s="1"/>
  <c r="AA32" i="25"/>
  <c r="AA188" i="25" s="1"/>
  <c r="I37" i="25"/>
  <c r="N37" i="25"/>
  <c r="N193" i="25" s="1"/>
  <c r="R37" i="25"/>
  <c r="R193" i="25" s="1"/>
  <c r="V37" i="25"/>
  <c r="V193" i="25" s="1"/>
  <c r="AA37" i="25"/>
  <c r="AA193" i="25" s="1"/>
  <c r="H38" i="25"/>
  <c r="H194" i="25" s="1"/>
  <c r="L38" i="25"/>
  <c r="L194" i="25" s="1"/>
  <c r="AA38" i="25"/>
  <c r="AA194" i="25" s="1"/>
  <c r="H39" i="25"/>
  <c r="H195" i="25" s="1"/>
  <c r="L39" i="25"/>
  <c r="L195" i="25" s="1"/>
  <c r="AA39" i="25"/>
  <c r="AA195" i="25" s="1"/>
  <c r="K50" i="25"/>
  <c r="X50" i="25"/>
  <c r="K52" i="25"/>
  <c r="X52" i="25"/>
  <c r="X169" i="25" s="1"/>
  <c r="K58" i="25"/>
  <c r="O58" i="25"/>
  <c r="S58" i="25"/>
  <c r="S62" i="25" s="1"/>
  <c r="W58" i="25"/>
  <c r="W62" i="25" s="1"/>
  <c r="K59" i="25"/>
  <c r="K60" i="25"/>
  <c r="AA60" i="25" s="1"/>
  <c r="K61" i="25"/>
  <c r="O61" i="25"/>
  <c r="O178" i="25" s="1"/>
  <c r="H79" i="25"/>
  <c r="K93" i="25"/>
  <c r="X89" i="25"/>
  <c r="X93" i="25" s="1"/>
  <c r="R91" i="25"/>
  <c r="AB91" i="25"/>
  <c r="K98" i="25"/>
  <c r="AA98" i="25" s="1"/>
  <c r="K99" i="25"/>
  <c r="AA99" i="25" s="1"/>
  <c r="K100" i="25"/>
  <c r="AA100" i="25" s="1"/>
  <c r="M128" i="25"/>
  <c r="M132" i="25" s="1"/>
  <c r="X128" i="25"/>
  <c r="X132" i="25" s="1"/>
  <c r="L137" i="25"/>
  <c r="AB137" i="25" s="1"/>
  <c r="L138" i="25"/>
  <c r="AB138" i="25" s="1"/>
  <c r="L139" i="25"/>
  <c r="AB139" i="25" s="1"/>
  <c r="H154" i="25"/>
  <c r="H157" i="25" s="1"/>
  <c r="L154" i="25"/>
  <c r="L157" i="25" s="1"/>
  <c r="G155" i="25"/>
  <c r="G157" i="25" s="1"/>
  <c r="AC99" i="25" l="1"/>
  <c r="AB60" i="25"/>
  <c r="AC98" i="25"/>
  <c r="AA61" i="25"/>
  <c r="AC61" i="25" s="1"/>
  <c r="AA59" i="25"/>
  <c r="AC59" i="25" s="1"/>
  <c r="AC100" i="25"/>
  <c r="AC139" i="25"/>
  <c r="AC60" i="25"/>
  <c r="I79" i="25"/>
  <c r="L140" i="25"/>
  <c r="R89" i="25"/>
  <c r="R52" i="25"/>
  <c r="AB52" i="25"/>
  <c r="J28" i="25"/>
  <c r="J184" i="25" s="1"/>
  <c r="L178" i="25"/>
  <c r="AB178" i="25" s="1"/>
  <c r="AB22" i="25"/>
  <c r="L177" i="25"/>
  <c r="AB177" i="25" s="1"/>
  <c r="AB21" i="25"/>
  <c r="L23" i="25"/>
  <c r="L175" i="25"/>
  <c r="AB19" i="25"/>
  <c r="O175" i="25"/>
  <c r="O179" i="25" s="1"/>
  <c r="O23" i="25"/>
  <c r="K62" i="25"/>
  <c r="AA58" i="25"/>
  <c r="K54" i="25"/>
  <c r="R50" i="25"/>
  <c r="AB50" i="25"/>
  <c r="K15" i="25"/>
  <c r="K168" i="25"/>
  <c r="AB12" i="25"/>
  <c r="R12" i="25"/>
  <c r="R11" i="25"/>
  <c r="K167" i="25"/>
  <c r="AB11" i="25"/>
  <c r="G193" i="25"/>
  <c r="G40" i="25"/>
  <c r="M175" i="25"/>
  <c r="M179" i="25" s="1"/>
  <c r="M23" i="25"/>
  <c r="AB136" i="25"/>
  <c r="AB140" i="25" s="1"/>
  <c r="AB89" i="25"/>
  <c r="X15" i="25"/>
  <c r="X167" i="25"/>
  <c r="X171" i="25" s="1"/>
  <c r="U175" i="25"/>
  <c r="U179" i="25" s="1"/>
  <c r="U23" i="25"/>
  <c r="AC138" i="25"/>
  <c r="R128" i="25"/>
  <c r="AB128" i="25"/>
  <c r="K132" i="25"/>
  <c r="R62" i="25"/>
  <c r="G194" i="25"/>
  <c r="L40" i="25"/>
  <c r="L193" i="25"/>
  <c r="L196" i="25" s="1"/>
  <c r="Z23" i="25"/>
  <c r="Z175" i="25"/>
  <c r="Z179" i="25" s="1"/>
  <c r="R23" i="25"/>
  <c r="R175" i="25"/>
  <c r="R179" i="25" s="1"/>
  <c r="AB97" i="25"/>
  <c r="AB101" i="25" s="1"/>
  <c r="L101" i="25"/>
  <c r="AB58" i="25"/>
  <c r="L62" i="25"/>
  <c r="I194" i="25"/>
  <c r="K101" i="25"/>
  <c r="O62" i="25"/>
  <c r="X54" i="25"/>
  <c r="I40" i="25"/>
  <c r="I193" i="25"/>
  <c r="X175" i="25"/>
  <c r="X179" i="25" s="1"/>
  <c r="X23" i="25"/>
  <c r="P23" i="25"/>
  <c r="P175" i="25"/>
  <c r="P179" i="25" s="1"/>
  <c r="K178" i="25"/>
  <c r="AA178" i="25" s="1"/>
  <c r="AA22" i="25"/>
  <c r="K177" i="25"/>
  <c r="AA177" i="25" s="1"/>
  <c r="AA21" i="25"/>
  <c r="AA20" i="25"/>
  <c r="K176" i="25"/>
  <c r="AA176" i="25" s="1"/>
  <c r="S175" i="25"/>
  <c r="S179" i="25" s="1"/>
  <c r="S23" i="25"/>
  <c r="AA19" i="25"/>
  <c r="K175" i="25"/>
  <c r="K23" i="25"/>
  <c r="K170" i="25"/>
  <c r="R14" i="25"/>
  <c r="AB14" i="25"/>
  <c r="U167" i="25"/>
  <c r="U171" i="25" s="1"/>
  <c r="J40" i="25"/>
  <c r="J193" i="25"/>
  <c r="J196" i="25" s="1"/>
  <c r="Q175" i="25"/>
  <c r="Q179" i="25" s="1"/>
  <c r="Q23" i="25"/>
  <c r="Z167" i="25"/>
  <c r="Z171" i="25" s="1"/>
  <c r="Z15" i="25"/>
  <c r="U62" i="25"/>
  <c r="R51" i="25"/>
  <c r="AB51" i="25"/>
  <c r="K40" i="25"/>
  <c r="K193" i="25"/>
  <c r="K196" i="25" s="1"/>
  <c r="Y23" i="25"/>
  <c r="Y175" i="25"/>
  <c r="Y179" i="25" s="1"/>
  <c r="R93" i="25"/>
  <c r="AB93" i="25"/>
  <c r="L176" i="25"/>
  <c r="AB176" i="25" s="1"/>
  <c r="AB20" i="25"/>
  <c r="T23" i="25"/>
  <c r="T175" i="25"/>
  <c r="T179" i="25" s="1"/>
  <c r="W23" i="25"/>
  <c r="W175" i="25"/>
  <c r="W179" i="25" s="1"/>
  <c r="R13" i="25"/>
  <c r="AB13" i="25"/>
  <c r="K169" i="25"/>
  <c r="AB53" i="25"/>
  <c r="R53" i="25"/>
  <c r="O15" i="25"/>
  <c r="O167" i="25"/>
  <c r="O171" i="25" s="1"/>
  <c r="AA97" i="25"/>
  <c r="M167" i="25"/>
  <c r="M171" i="25" s="1"/>
  <c r="M15" i="25"/>
  <c r="AC137" i="25"/>
  <c r="AA136" i="25"/>
  <c r="K140" i="25"/>
  <c r="H193" i="25"/>
  <c r="H196" i="25" s="1"/>
  <c r="H40" i="25"/>
  <c r="U15" i="25"/>
  <c r="V175" i="25"/>
  <c r="V179" i="25" s="1"/>
  <c r="V23" i="25"/>
  <c r="N175" i="25"/>
  <c r="N179" i="25" s="1"/>
  <c r="N23" i="25"/>
  <c r="H184" i="25"/>
  <c r="AB62" i="25" l="1"/>
  <c r="AC22" i="25"/>
  <c r="AC177" i="25"/>
  <c r="G196" i="25"/>
  <c r="AC20" i="25"/>
  <c r="AC178" i="25"/>
  <c r="AA62" i="25"/>
  <c r="AC58" i="25"/>
  <c r="AA175" i="25"/>
  <c r="K179" i="25"/>
  <c r="AC176" i="25"/>
  <c r="I196" i="25"/>
  <c r="R132" i="25"/>
  <c r="AB132" i="25"/>
  <c r="AB23" i="25"/>
  <c r="AA101" i="25"/>
  <c r="AC101" i="25" s="1"/>
  <c r="AC97" i="25"/>
  <c r="R15" i="25"/>
  <c r="AC19" i="25"/>
  <c r="AA23" i="25"/>
  <c r="K171" i="25"/>
  <c r="R167" i="25"/>
  <c r="AB167" i="25"/>
  <c r="AB168" i="25"/>
  <c r="R168" i="25"/>
  <c r="L179" i="25"/>
  <c r="AB175" i="25"/>
  <c r="AB179" i="25" s="1"/>
  <c r="AA140" i="25"/>
  <c r="AC140" i="25" s="1"/>
  <c r="AC136" i="25"/>
  <c r="AB169" i="25"/>
  <c r="R169" i="25"/>
  <c r="AB170" i="25"/>
  <c r="R170" i="25"/>
  <c r="AC21" i="25"/>
  <c r="AB15" i="25"/>
  <c r="AB54" i="25"/>
  <c r="R54" i="25"/>
  <c r="AC62" i="25" l="1"/>
  <c r="AC23" i="25"/>
  <c r="AB171" i="25"/>
  <c r="R171" i="25"/>
  <c r="AC175" i="25"/>
  <c r="AA179" i="25"/>
  <c r="AC179" i="25" s="1"/>
</calcChain>
</file>

<file path=xl/sharedStrings.xml><?xml version="1.0" encoding="utf-8"?>
<sst xmlns="http://schemas.openxmlformats.org/spreadsheetml/2006/main" count="4688" uniqueCount="105">
  <si>
    <t>0-4</t>
  </si>
  <si>
    <t>5-14</t>
  </si>
  <si>
    <t>15-24</t>
  </si>
  <si>
    <t>25-34</t>
  </si>
  <si>
    <t>35-44</t>
  </si>
  <si>
    <t>45-54</t>
  </si>
  <si>
    <t>55-64</t>
  </si>
  <si>
    <t>Total</t>
  </si>
  <si>
    <t>Relapse</t>
  </si>
  <si>
    <t>M</t>
  </si>
  <si>
    <t>F</t>
  </si>
  <si>
    <t>Rifampicin</t>
  </si>
  <si>
    <t>Isoniazid</t>
  </si>
  <si>
    <t>Resistant</t>
  </si>
  <si>
    <t>CONSOLIDATED</t>
  </si>
  <si>
    <t xml:space="preserve">  QUARTERLY REPORT ON TB CASES REGISTRATION</t>
  </si>
  <si>
    <t xml:space="preserve">                                                                       INDIVIDUAL/CONSOLIDATED (TICK ONE)</t>
  </si>
  <si>
    <t>TB - 07</t>
  </si>
  <si>
    <r>
      <t xml:space="preserve">Name of TB Care Facility (BMU) : </t>
    </r>
    <r>
      <rPr>
        <b/>
        <u/>
        <sz val="12"/>
        <rFont val="Calibri"/>
        <family val="2"/>
      </rPr>
      <t xml:space="preserve"> </t>
    </r>
  </si>
  <si>
    <t>KARACHI</t>
  </si>
  <si>
    <t xml:space="preserve">District : </t>
  </si>
  <si>
    <t>Central :</t>
  </si>
  <si>
    <t xml:space="preserve">Patients registered during  </t>
  </si>
  <si>
    <r>
      <t>1</t>
    </r>
    <r>
      <rPr>
        <b/>
        <u/>
        <vertAlign val="superscript"/>
        <sz val="16"/>
        <rFont val="Calibri"/>
        <family val="2"/>
      </rPr>
      <t>st</t>
    </r>
    <r>
      <rPr>
        <b/>
        <u/>
        <sz val="16"/>
        <rFont val="Calibri"/>
        <family val="2"/>
      </rPr>
      <t xml:space="preserve"> Quarter</t>
    </r>
  </si>
  <si>
    <t>Name of TB Coodinator/Facility incharge  :</t>
  </si>
  <si>
    <t>___________________________________________________</t>
  </si>
  <si>
    <t>Date of completion of this form :</t>
  </si>
  <si>
    <t>_______________________</t>
  </si>
  <si>
    <t xml:space="preserve"> </t>
  </si>
  <si>
    <t xml:space="preserve">Block 1: </t>
  </si>
  <si>
    <t>New (N)</t>
  </si>
  <si>
    <t>Relapse ®</t>
  </si>
  <si>
    <t>Previous Treatment History Unknown
(UK)</t>
  </si>
  <si>
    <t>N+R+UK</t>
  </si>
  <si>
    <t>Previously treated ( Excluding Relapse)</t>
  </si>
  <si>
    <t>All TB Cases Registered</t>
  </si>
  <si>
    <t>Treatment after failure</t>
  </si>
  <si>
    <t>Treatment after lost to follow-up</t>
  </si>
  <si>
    <t>Other previously treated</t>
  </si>
  <si>
    <t>Pulmonary, Bacteriologically Confermid</t>
  </si>
  <si>
    <t>Pulmonary , Clinically Diagnosed</t>
  </si>
  <si>
    <t>Extra Pulmonary, Bacteriologically Confermid</t>
  </si>
  <si>
    <t>Extra Pulmonary , Clinically Diagnosed</t>
  </si>
  <si>
    <t>Block 2: All New, Relapse and previous treatment history unknown Cases registered during the period by Age Group and Gender</t>
  </si>
  <si>
    <t>65 &amp; Above</t>
  </si>
  <si>
    <t>Block 3: Presumptive TB Cases Identified Laboratory Diagnosis and use of WRD</t>
  </si>
  <si>
    <t>Block 4 :  TB HIV  Activities</t>
  </si>
  <si>
    <t>Total
New OPD in Quarter</t>
  </si>
  <si>
    <t>No. of presumptive TB cases identified</t>
  </si>
  <si>
    <t>No. of Presumptive TB
Patients tested 
Using</t>
  </si>
  <si>
    <t>Among Presumptive 
TB cases tested  number reported B+</t>
  </si>
  <si>
    <t>Among all
registered
number of
B+ TB
Cases</t>
  </si>
  <si>
    <t>Amoung All
(N+R+UK)
number tested
by Gene Xpert</t>
  </si>
  <si>
    <t>No. of TB patients
tested for HIV</t>
  </si>
  <si>
    <t>TB Patients tested
positive for HIV</t>
  </si>
  <si>
    <t>HIV positive TB Patients put on ART</t>
  </si>
  <si>
    <t>AFB</t>
  </si>
  <si>
    <t>Xpert</t>
  </si>
  <si>
    <t>G.Tot</t>
  </si>
  <si>
    <t xml:space="preserve">HIV patient tested for TB </t>
  </si>
  <si>
    <t>HIV patients tested
positive for TB</t>
  </si>
  <si>
    <t>TB positive HIV
patients put on TB Tx</t>
  </si>
  <si>
    <t>HIV positive TB -Ve
patients on TPT</t>
  </si>
  <si>
    <t>15 &amp; above</t>
  </si>
  <si>
    <t>6H</t>
  </si>
  <si>
    <t>3HR</t>
  </si>
  <si>
    <t>3 HP</t>
  </si>
  <si>
    <t>Block 5 :  Bacteriologically Confermid TB Cases with DST Result</t>
  </si>
  <si>
    <t>Block 6 :  Contact Tracing HH *</t>
  </si>
  <si>
    <t>Fluoroquninolone</t>
  </si>
  <si>
    <t>Total No. of HH
of B+ PTB</t>
  </si>
  <si>
    <t>No. of HH contacts of
B+ PTB Cases
Screened</t>
  </si>
  <si>
    <t>Amoung HH
contact
screened, No. 
of TB Cases 
diagnosed</t>
  </si>
  <si>
    <t>No. of HH Contacts 
Initiated on TPT</t>
  </si>
  <si>
    <t>HIV negative 
Immuno compromised on 
TPT</t>
  </si>
  <si>
    <t>Result</t>
  </si>
  <si>
    <t>15+</t>
  </si>
  <si>
    <t>New + UK</t>
  </si>
  <si>
    <t>Previously treated</t>
  </si>
  <si>
    <r>
      <t>2</t>
    </r>
    <r>
      <rPr>
        <b/>
        <u/>
        <vertAlign val="superscript"/>
        <sz val="16"/>
        <rFont val="Calibri"/>
        <family val="2"/>
      </rPr>
      <t>nd</t>
    </r>
    <r>
      <rPr>
        <b/>
        <u/>
        <sz val="16"/>
        <rFont val="Calibri"/>
        <family val="2"/>
      </rPr>
      <t xml:space="preserve"> Quarter</t>
    </r>
  </si>
  <si>
    <r>
      <t>3</t>
    </r>
    <r>
      <rPr>
        <b/>
        <u/>
        <vertAlign val="superscript"/>
        <sz val="16"/>
        <rFont val="Calibri"/>
        <family val="2"/>
      </rPr>
      <t>rd</t>
    </r>
    <r>
      <rPr>
        <b/>
        <u/>
        <sz val="16"/>
        <rFont val="Calibri"/>
        <family val="2"/>
      </rPr>
      <t xml:space="preserve"> Quarter</t>
    </r>
  </si>
  <si>
    <r>
      <t>4</t>
    </r>
    <r>
      <rPr>
        <b/>
        <u/>
        <vertAlign val="superscript"/>
        <sz val="16"/>
        <rFont val="Calibri"/>
        <family val="2"/>
      </rPr>
      <t>th</t>
    </r>
    <r>
      <rPr>
        <b/>
        <u/>
        <sz val="16"/>
        <rFont val="Calibri"/>
        <family val="2"/>
      </rPr>
      <t xml:space="preserve"> Quarter</t>
    </r>
  </si>
  <si>
    <t>All Project Total</t>
  </si>
  <si>
    <t>of Year 2024</t>
  </si>
  <si>
    <t>KARACHI CONSOLIDATED</t>
  </si>
  <si>
    <t>__________________</t>
  </si>
  <si>
    <t>Grand
Total</t>
  </si>
  <si>
    <t>Through
Community
Referrals (LHWs)</t>
  </si>
  <si>
    <t>Xp &amp;
AFB</t>
  </si>
  <si>
    <t>XP</t>
  </si>
  <si>
    <t>AFB +
Xpert</t>
  </si>
  <si>
    <t>15 +</t>
  </si>
  <si>
    <t>________________</t>
  </si>
  <si>
    <r>
      <t xml:space="preserve">Name of TB Care Facility (BMU) : </t>
    </r>
    <r>
      <rPr>
        <b/>
        <u/>
        <sz val="13"/>
        <rFont val="Calibri"/>
        <family val="2"/>
      </rPr>
      <t xml:space="preserve"> </t>
    </r>
  </si>
  <si>
    <t xml:space="preserve">KMC Leprosy Hospital </t>
  </si>
  <si>
    <t>West</t>
  </si>
  <si>
    <t>Manghopir</t>
  </si>
  <si>
    <t>Dr. Hafeez</t>
  </si>
  <si>
    <r>
      <t xml:space="preserve">Name of TB Care Facility (BMU) : </t>
    </r>
    <r>
      <rPr>
        <b/>
        <u/>
        <sz val="14"/>
        <rFont val="Calibri"/>
        <family val="2"/>
      </rPr>
      <t xml:space="preserve"> </t>
    </r>
  </si>
  <si>
    <t>SINDH CONSOLIDATED</t>
  </si>
  <si>
    <t>GB -  CONSOLIDATED</t>
  </si>
  <si>
    <t>Gilgit Baltistan</t>
  </si>
  <si>
    <t>Consolidated</t>
  </si>
  <si>
    <t>Azad Kashmir</t>
  </si>
  <si>
    <t>KHYBER PAKHTHUNKHWA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</si>
</sst>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u/>
      <sz val="12"/>
      <name val="Calibri"/>
      <family val="2"/>
    </font>
    <font>
      <b/>
      <u/>
      <sz val="16"/>
      <name val="Calibri"/>
      <family val="2"/>
    </font>
    <font>
      <b/>
      <u/>
      <vertAlign val="superscript"/>
      <sz val="16"/>
      <name val="Calibri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4"/>
      <color theme="0"/>
      <name val="Calibri"/>
      <family val="2"/>
    </font>
    <font>
      <u/>
      <sz val="12"/>
      <name val="Calibri"/>
      <family val="2"/>
    </font>
    <font>
      <b/>
      <sz val="13"/>
      <name val="Calibri"/>
      <family val="2"/>
    </font>
    <font>
      <b/>
      <u/>
      <sz val="13"/>
      <name val="Calibri"/>
      <family val="2"/>
    </font>
    <font>
      <b/>
      <u/>
      <sz val="14"/>
      <color theme="1"/>
      <name val="Calibri"/>
      <family val="2"/>
    </font>
    <font>
      <b/>
      <sz val="14"/>
      <name val="Calibri"/>
      <family val="2"/>
    </font>
    <font>
      <b/>
      <u/>
      <sz val="18"/>
      <name val="Calibri"/>
      <family val="2"/>
    </font>
    <font>
      <b/>
      <u/>
      <sz val="14"/>
      <name val="Calibri"/>
      <family val="2"/>
    </font>
    <font>
      <b/>
      <sz val="13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8"/>
      <color theme="0"/>
      <name val="Calibri"/>
      <family val="2"/>
    </font>
    <font>
      <b/>
      <sz val="16"/>
      <name val="Calibri"/>
      <family val="2"/>
    </font>
    <font>
      <b/>
      <sz val="18"/>
      <color theme="0"/>
      <name val="Calibri"/>
      <family val="2"/>
    </font>
    <font>
      <b/>
      <sz val="10"/>
      <color indexed="8"/>
      <name val="Calibri"/>
      <family val="2"/>
      <scheme val="minor"/>
    </font>
    <font>
      <b/>
      <i/>
      <sz val="13"/>
      <color theme="0"/>
      <name val="Calibri"/>
      <family val="2"/>
    </font>
    <font>
      <b/>
      <i/>
      <sz val="16"/>
      <color theme="0" tint="-4.9989318521683403E-2"/>
      <name val="Calibri"/>
      <family val="2"/>
    </font>
    <font>
      <b/>
      <i/>
      <sz val="16"/>
      <color theme="0"/>
      <name val="Calibri"/>
      <family val="2"/>
    </font>
    <font>
      <b/>
      <u/>
      <sz val="13"/>
      <color theme="0" tint="-4.9989318521683403E-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2" borderId="0" applyNumberFormat="0" applyBorder="0" applyAlignment="0" applyProtection="0"/>
    <xf numFmtId="0" fontId="1" fillId="2" borderId="0" applyNumberFormat="0" applyBorder="0" applyAlignment="0" applyProtection="0"/>
  </cellStyleXfs>
  <cellXfs count="449">
    <xf numFmtId="0" fontId="0" fillId="0" borderId="0" xfId="0"/>
    <xf numFmtId="0" fontId="2" fillId="0" borderId="0" xfId="1"/>
    <xf numFmtId="0" fontId="7" fillId="0" borderId="0" xfId="1" applyFont="1" applyAlignment="1">
      <alignment vertical="center"/>
    </xf>
    <xf numFmtId="0" fontId="2" fillId="0" borderId="1" xfId="1" applyBorder="1"/>
    <xf numFmtId="0" fontId="2" fillId="0" borderId="12" xfId="1" applyBorder="1"/>
    <xf numFmtId="0" fontId="16" fillId="0" borderId="5" xfId="1" quotePrefix="1" applyFont="1" applyBorder="1" applyAlignment="1">
      <alignment vertical="center"/>
    </xf>
    <xf numFmtId="0" fontId="16" fillId="0" borderId="0" xfId="1" quotePrefix="1" applyFont="1" applyAlignment="1">
      <alignment vertical="center"/>
    </xf>
    <xf numFmtId="0" fontId="13" fillId="0" borderId="9" xfId="1" applyFont="1" applyBorder="1" applyAlignment="1">
      <alignment horizontal="center" vertical="center"/>
    </xf>
    <xf numFmtId="0" fontId="17" fillId="0" borderId="10" xfId="1" applyFont="1" applyBorder="1"/>
    <xf numFmtId="0" fontId="17" fillId="0" borderId="11" xfId="1" applyFont="1" applyBorder="1"/>
    <xf numFmtId="0" fontId="17" fillId="0" borderId="1" xfId="1" applyFont="1" applyBorder="1"/>
    <xf numFmtId="0" fontId="17" fillId="0" borderId="1" xfId="1" applyFont="1" applyBorder="1" applyAlignment="1">
      <alignment horizontal="center"/>
    </xf>
    <xf numFmtId="0" fontId="17" fillId="0" borderId="7" xfId="1" applyFont="1" applyBorder="1" applyAlignment="1">
      <alignment horizontal="center"/>
    </xf>
    <xf numFmtId="0" fontId="2" fillId="0" borderId="11" xfId="1" applyBorder="1"/>
    <xf numFmtId="0" fontId="12" fillId="2" borderId="10" xfId="2" applyFont="1" applyBorder="1" applyAlignment="1"/>
    <xf numFmtId="0" fontId="15" fillId="2" borderId="11" xfId="2" applyFont="1" applyBorder="1" applyAlignment="1"/>
    <xf numFmtId="0" fontId="15" fillId="2" borderId="12" xfId="2" applyFont="1" applyBorder="1" applyAlignment="1"/>
    <xf numFmtId="0" fontId="15" fillId="0" borderId="5" xfId="2" applyFont="1" applyFill="1" applyBorder="1" applyAlignment="1"/>
    <xf numFmtId="0" fontId="15" fillId="2" borderId="3" xfId="2" applyFont="1" applyBorder="1" applyAlignment="1"/>
    <xf numFmtId="0" fontId="2" fillId="4" borderId="12" xfId="1" applyFill="1" applyBorder="1"/>
    <xf numFmtId="0" fontId="17" fillId="0" borderId="0" xfId="1" applyFont="1" applyAlignment="1">
      <alignment vertical="center" wrapText="1"/>
    </xf>
    <xf numFmtId="0" fontId="16" fillId="0" borderId="9" xfId="1" applyFont="1" applyBorder="1" applyAlignment="1">
      <alignment horizontal="center" vertical="center" wrapText="1"/>
    </xf>
    <xf numFmtId="0" fontId="16" fillId="0" borderId="13" xfId="1" applyFont="1" applyBorder="1" applyAlignment="1">
      <alignment horizontal="center" vertical="center" wrapText="1"/>
    </xf>
    <xf numFmtId="0" fontId="16" fillId="0" borderId="13" xfId="1" applyFont="1" applyBorder="1" applyAlignment="1">
      <alignment horizontal="center" vertical="center"/>
    </xf>
    <xf numFmtId="0" fontId="13" fillId="0" borderId="9" xfId="1" applyFont="1" applyBorder="1" applyAlignment="1">
      <alignment vertical="center" wrapText="1"/>
    </xf>
    <xf numFmtId="1" fontId="13" fillId="0" borderId="9" xfId="1" quotePrefix="1" applyNumberFormat="1" applyFont="1" applyBorder="1" applyAlignment="1">
      <alignment horizontal="center" vertical="center" wrapText="1"/>
    </xf>
    <xf numFmtId="0" fontId="13" fillId="0" borderId="9" xfId="1" applyFont="1" applyBorder="1" applyAlignment="1">
      <alignment horizontal="left" vertical="center" wrapText="1"/>
    </xf>
    <xf numFmtId="0" fontId="17" fillId="0" borderId="10" xfId="1" applyFont="1" applyBorder="1" applyAlignment="1">
      <alignment horizontal="center" vertical="center" wrapText="1"/>
    </xf>
    <xf numFmtId="0" fontId="17" fillId="0" borderId="11" xfId="1" applyFont="1" applyBorder="1" applyAlignment="1">
      <alignment horizontal="center" wrapText="1"/>
    </xf>
    <xf numFmtId="0" fontId="17" fillId="0" borderId="11" xfId="1" applyFont="1" applyBorder="1" applyAlignment="1">
      <alignment horizontal="center" vertical="center" wrapText="1"/>
    </xf>
    <xf numFmtId="0" fontId="15" fillId="0" borderId="14" xfId="2" applyFont="1" applyFill="1" applyBorder="1" applyAlignment="1"/>
    <xf numFmtId="0" fontId="15" fillId="2" borderId="10" xfId="2" applyFont="1" applyBorder="1" applyAlignment="1"/>
    <xf numFmtId="0" fontId="5" fillId="4" borderId="12" xfId="1" applyFont="1" applyFill="1" applyBorder="1"/>
    <xf numFmtId="0" fontId="13" fillId="0" borderId="10" xfId="1" applyFont="1" applyBorder="1" applyAlignment="1">
      <alignment vertical="center"/>
    </xf>
    <xf numFmtId="0" fontId="13" fillId="0" borderId="12" xfId="1" applyFont="1" applyBorder="1" applyAlignment="1">
      <alignment vertical="center"/>
    </xf>
    <xf numFmtId="0" fontId="16" fillId="0" borderId="9" xfId="1" applyFont="1" applyBorder="1" applyAlignment="1">
      <alignment horizontal="center"/>
    </xf>
    <xf numFmtId="1" fontId="16" fillId="0" borderId="9" xfId="1" quotePrefix="1" applyNumberFormat="1" applyFont="1" applyBorder="1" applyAlignment="1">
      <alignment horizontal="center"/>
    </xf>
    <xf numFmtId="0" fontId="16" fillId="0" borderId="9" xfId="1" applyFont="1" applyBorder="1" applyAlignment="1">
      <alignment horizontal="center" vertical="center"/>
    </xf>
    <xf numFmtId="16" fontId="16" fillId="0" borderId="9" xfId="1" quotePrefix="1" applyNumberFormat="1" applyFont="1" applyBorder="1" applyAlignment="1">
      <alignment horizontal="center"/>
    </xf>
    <xf numFmtId="0" fontId="16" fillId="0" borderId="9" xfId="1" applyFont="1" applyBorder="1" applyAlignment="1">
      <alignment vertical="center" wrapText="1"/>
    </xf>
    <xf numFmtId="0" fontId="16" fillId="0" borderId="9" xfId="1" applyFont="1" applyBorder="1" applyAlignment="1">
      <alignment horizontal="left" vertical="center" wrapText="1"/>
    </xf>
    <xf numFmtId="0" fontId="13" fillId="0" borderId="9" xfId="1" applyFont="1" applyBorder="1" applyAlignment="1">
      <alignment horizontal="center" vertical="center" wrapText="1"/>
    </xf>
    <xf numFmtId="0" fontId="17" fillId="0" borderId="8" xfId="1" applyFont="1" applyBorder="1" applyAlignment="1">
      <alignment horizontal="center"/>
    </xf>
    <xf numFmtId="0" fontId="3" fillId="0" borderId="0" xfId="1" applyFont="1" applyAlignment="1">
      <alignment horizontal="center" vertical="center"/>
    </xf>
    <xf numFmtId="0" fontId="6" fillId="0" borderId="0" xfId="1" applyFont="1"/>
    <xf numFmtId="0" fontId="12" fillId="4" borderId="10" xfId="1" applyFont="1" applyFill="1" applyBorder="1"/>
    <xf numFmtId="0" fontId="14" fillId="4" borderId="11" xfId="1" applyFont="1" applyFill="1" applyBorder="1"/>
    <xf numFmtId="0" fontId="14" fillId="0" borderId="11" xfId="1" applyFont="1" applyBorder="1"/>
    <xf numFmtId="0" fontId="6" fillId="0" borderId="9" xfId="1" applyFont="1" applyBorder="1" applyAlignment="1">
      <alignment horizontal="center" vertical="center"/>
    </xf>
    <xf numFmtId="0" fontId="2" fillId="0" borderId="9" xfId="1" applyBorder="1" applyAlignment="1">
      <alignment horizontal="center" vertical="center"/>
    </xf>
    <xf numFmtId="0" fontId="17" fillId="0" borderId="0" xfId="1" applyFont="1" applyAlignment="1">
      <alignment horizontal="center"/>
    </xf>
    <xf numFmtId="0" fontId="14" fillId="0" borderId="9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/>
    </xf>
    <xf numFmtId="0" fontId="17" fillId="0" borderId="0" xfId="1" applyFont="1" applyAlignment="1">
      <alignment wrapText="1"/>
    </xf>
    <xf numFmtId="0" fontId="6" fillId="0" borderId="9" xfId="1" applyFont="1" applyBorder="1" applyAlignment="1">
      <alignment vertical="center" wrapText="1"/>
    </xf>
    <xf numFmtId="1" fontId="6" fillId="0" borderId="9" xfId="1" quotePrefix="1" applyNumberFormat="1" applyFont="1" applyBorder="1" applyAlignment="1">
      <alignment horizontal="center" vertical="center" wrapText="1"/>
    </xf>
    <xf numFmtId="0" fontId="6" fillId="0" borderId="9" xfId="1" applyFont="1" applyBorder="1" applyAlignment="1">
      <alignment horizontal="left" vertical="center" wrapText="1"/>
    </xf>
    <xf numFmtId="1" fontId="2" fillId="0" borderId="9" xfId="1" quotePrefix="1" applyNumberFormat="1" applyBorder="1" applyAlignment="1">
      <alignment horizontal="center" vertical="center" wrapText="1"/>
    </xf>
    <xf numFmtId="0" fontId="17" fillId="0" borderId="0" xfId="1" applyFont="1" applyAlignment="1">
      <alignment horizontal="center" wrapText="1"/>
    </xf>
    <xf numFmtId="0" fontId="6" fillId="0" borderId="10" xfId="1" applyFont="1" applyBorder="1" applyAlignment="1">
      <alignment vertical="center"/>
    </xf>
    <xf numFmtId="0" fontId="6" fillId="0" borderId="12" xfId="1" applyFont="1" applyBorder="1" applyAlignment="1">
      <alignment vertical="center"/>
    </xf>
    <xf numFmtId="0" fontId="16" fillId="0" borderId="0" xfId="1" applyFont="1"/>
    <xf numFmtId="0" fontId="17" fillId="0" borderId="14" xfId="1" applyFont="1" applyBorder="1"/>
    <xf numFmtId="0" fontId="6" fillId="0" borderId="9" xfId="1" applyFont="1" applyBorder="1" applyAlignment="1">
      <alignment horizontal="center"/>
    </xf>
    <xf numFmtId="1" fontId="6" fillId="0" borderId="9" xfId="1" quotePrefix="1" applyNumberFormat="1" applyFont="1" applyBorder="1" applyAlignment="1">
      <alignment horizontal="center"/>
    </xf>
    <xf numFmtId="16" fontId="6" fillId="0" borderId="9" xfId="1" quotePrefix="1" applyNumberFormat="1" applyFont="1" applyBorder="1" applyAlignment="1">
      <alignment horizontal="center"/>
    </xf>
    <xf numFmtId="0" fontId="2" fillId="0" borderId="9" xfId="1" applyBorder="1" applyAlignment="1">
      <alignment horizontal="center" vertical="center" wrapText="1"/>
    </xf>
    <xf numFmtId="0" fontId="2" fillId="0" borderId="10" xfId="1" applyBorder="1" applyAlignment="1">
      <alignment horizontal="center" vertical="center"/>
    </xf>
    <xf numFmtId="0" fontId="2" fillId="0" borderId="12" xfId="1" applyBorder="1" applyAlignment="1">
      <alignment horizontal="center" vertical="center"/>
    </xf>
    <xf numFmtId="0" fontId="2" fillId="0" borderId="9" xfId="1" applyBorder="1" applyAlignment="1">
      <alignment horizontal="center"/>
    </xf>
    <xf numFmtId="3" fontId="13" fillId="0" borderId="9" xfId="1" applyNumberFormat="1" applyFont="1" applyBorder="1" applyAlignment="1">
      <alignment horizontal="center" vertical="center"/>
    </xf>
    <xf numFmtId="0" fontId="2" fillId="0" borderId="0" xfId="1" applyAlignment="1">
      <alignment vertical="center"/>
    </xf>
    <xf numFmtId="0" fontId="6" fillId="0" borderId="0" xfId="1" applyFont="1" applyAlignment="1">
      <alignment vertical="center"/>
    </xf>
    <xf numFmtId="0" fontId="2" fillId="0" borderId="1" xfId="1" applyBorder="1" applyAlignment="1">
      <alignment vertical="center"/>
    </xf>
    <xf numFmtId="0" fontId="12" fillId="4" borderId="10" xfId="1" applyFont="1" applyFill="1" applyBorder="1" applyAlignment="1">
      <alignment vertical="center"/>
    </xf>
    <xf numFmtId="0" fontId="14" fillId="4" borderId="11" xfId="1" applyFont="1" applyFill="1" applyBorder="1" applyAlignment="1">
      <alignment vertical="center"/>
    </xf>
    <xf numFmtId="0" fontId="14" fillId="0" borderId="11" xfId="1" applyFont="1" applyBorder="1" applyAlignment="1">
      <alignment vertical="center"/>
    </xf>
    <xf numFmtId="0" fontId="2" fillId="0" borderId="12" xfId="1" applyBorder="1" applyAlignment="1">
      <alignment vertical="center"/>
    </xf>
    <xf numFmtId="0" fontId="17" fillId="0" borderId="10" xfId="1" applyFont="1" applyBorder="1" applyAlignment="1">
      <alignment vertical="center"/>
    </xf>
    <xf numFmtId="0" fontId="17" fillId="0" borderId="11" xfId="1" applyFont="1" applyBorder="1" applyAlignment="1">
      <alignment vertical="center"/>
    </xf>
    <xf numFmtId="0" fontId="17" fillId="0" borderId="1" xfId="1" applyFont="1" applyBorder="1" applyAlignment="1">
      <alignment vertical="center"/>
    </xf>
    <xf numFmtId="0" fontId="17" fillId="0" borderId="1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7" fillId="0" borderId="7" xfId="1" applyFont="1" applyBorder="1" applyAlignment="1">
      <alignment horizontal="center" vertical="center"/>
    </xf>
    <xf numFmtId="0" fontId="2" fillId="0" borderId="11" xfId="1" applyBorder="1" applyAlignment="1">
      <alignment vertical="center"/>
    </xf>
    <xf numFmtId="0" fontId="12" fillId="2" borderId="10" xfId="2" applyFont="1" applyBorder="1" applyAlignment="1">
      <alignment vertical="center"/>
    </xf>
    <xf numFmtId="0" fontId="15" fillId="2" borderId="11" xfId="2" applyFont="1" applyBorder="1" applyAlignment="1">
      <alignment vertical="center"/>
    </xf>
    <xf numFmtId="0" fontId="15" fillId="2" borderId="12" xfId="2" applyFont="1" applyBorder="1" applyAlignment="1">
      <alignment vertical="center"/>
    </xf>
    <xf numFmtId="0" fontId="15" fillId="0" borderId="5" xfId="2" applyFont="1" applyFill="1" applyBorder="1" applyAlignment="1">
      <alignment vertical="center"/>
    </xf>
    <xf numFmtId="0" fontId="15" fillId="2" borderId="3" xfId="2" applyFont="1" applyBorder="1" applyAlignment="1">
      <alignment vertical="center"/>
    </xf>
    <xf numFmtId="0" fontId="2" fillId="4" borderId="12" xfId="1" applyFill="1" applyBorder="1" applyAlignment="1">
      <alignment vertical="center"/>
    </xf>
    <xf numFmtId="0" fontId="17" fillId="0" borderId="0" xfId="1" applyFont="1" applyAlignment="1">
      <alignment horizontal="center" vertical="center" wrapText="1"/>
    </xf>
    <xf numFmtId="0" fontId="15" fillId="0" borderId="14" xfId="2" applyFont="1" applyFill="1" applyBorder="1" applyAlignment="1">
      <alignment vertical="center"/>
    </xf>
    <xf numFmtId="0" fontId="15" fillId="2" borderId="10" xfId="2" applyFont="1" applyBorder="1" applyAlignment="1">
      <alignment vertical="center"/>
    </xf>
    <xf numFmtId="0" fontId="5" fillId="4" borderId="12" xfId="1" applyFont="1" applyFill="1" applyBorder="1" applyAlignment="1">
      <alignment vertical="center"/>
    </xf>
    <xf numFmtId="0" fontId="16" fillId="0" borderId="0" xfId="1" applyFont="1" applyAlignment="1">
      <alignment vertical="center"/>
    </xf>
    <xf numFmtId="0" fontId="17" fillId="0" borderId="14" xfId="1" applyFont="1" applyBorder="1" applyAlignment="1">
      <alignment vertical="center"/>
    </xf>
    <xf numFmtId="1" fontId="16" fillId="0" borderId="9" xfId="1" quotePrefix="1" applyNumberFormat="1" applyFont="1" applyBorder="1" applyAlignment="1">
      <alignment horizontal="center" vertical="center"/>
    </xf>
    <xf numFmtId="16" fontId="16" fillId="0" borderId="9" xfId="1" quotePrefix="1" applyNumberFormat="1" applyFont="1" applyBorder="1" applyAlignment="1">
      <alignment horizontal="center" vertical="center"/>
    </xf>
    <xf numFmtId="0" fontId="17" fillId="0" borderId="8" xfId="1" applyFont="1" applyBorder="1" applyAlignment="1">
      <alignment horizontal="center" vertical="center"/>
    </xf>
    <xf numFmtId="1" fontId="13" fillId="0" borderId="9" xfId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12" fillId="4" borderId="10" xfId="0" applyFont="1" applyFill="1" applyBorder="1" applyAlignment="1">
      <alignment vertical="center"/>
    </xf>
    <xf numFmtId="0" fontId="14" fillId="4" borderId="11" xfId="0" applyFont="1" applyFill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13" fillId="0" borderId="9" xfId="0" applyFont="1" applyBorder="1" applyAlignment="1">
      <alignment horizontal="center" vertical="center"/>
    </xf>
    <xf numFmtId="3" fontId="13" fillId="0" borderId="9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vertical="center"/>
    </xf>
    <xf numFmtId="0" fontId="17" fillId="0" borderId="11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12" fillId="2" borderId="10" xfId="3" applyFont="1" applyBorder="1" applyAlignment="1">
      <alignment vertical="center"/>
    </xf>
    <xf numFmtId="0" fontId="15" fillId="2" borderId="11" xfId="3" applyFont="1" applyBorder="1" applyAlignment="1">
      <alignment vertical="center"/>
    </xf>
    <xf numFmtId="0" fontId="15" fillId="2" borderId="12" xfId="3" applyFont="1" applyBorder="1" applyAlignment="1">
      <alignment vertical="center"/>
    </xf>
    <xf numFmtId="0" fontId="15" fillId="0" borderId="5" xfId="3" applyFont="1" applyFill="1" applyBorder="1" applyAlignment="1">
      <alignment vertical="center"/>
    </xf>
    <xf numFmtId="0" fontId="15" fillId="2" borderId="3" xfId="3" applyFont="1" applyBorder="1" applyAlignment="1">
      <alignment vertical="center"/>
    </xf>
    <xf numFmtId="0" fontId="0" fillId="4" borderId="12" xfId="0" applyFill="1" applyBorder="1" applyAlignment="1">
      <alignment vertical="center"/>
    </xf>
    <xf numFmtId="0" fontId="17" fillId="0" borderId="0" xfId="0" applyFont="1" applyAlignment="1">
      <alignment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vertical="center" wrapText="1"/>
    </xf>
    <xf numFmtId="1" fontId="13" fillId="0" borderId="9" xfId="0" quotePrefix="1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left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5" fillId="0" borderId="14" xfId="3" applyFont="1" applyFill="1" applyBorder="1" applyAlignment="1">
      <alignment vertical="center"/>
    </xf>
    <xf numFmtId="0" fontId="15" fillId="2" borderId="10" xfId="3" applyFont="1" applyBorder="1" applyAlignment="1">
      <alignment vertical="center"/>
    </xf>
    <xf numFmtId="0" fontId="5" fillId="4" borderId="12" xfId="0" applyFont="1" applyFill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7" fillId="0" borderId="14" xfId="0" applyFont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1" fontId="16" fillId="0" borderId="9" xfId="0" quotePrefix="1" applyNumberFormat="1" applyFont="1" applyBorder="1" applyAlignment="1">
      <alignment horizontal="center" vertical="center"/>
    </xf>
    <xf numFmtId="16" fontId="16" fillId="0" borderId="9" xfId="0" quotePrefix="1" applyNumberFormat="1" applyFont="1" applyBorder="1" applyAlignment="1">
      <alignment horizontal="center" vertical="center"/>
    </xf>
    <xf numFmtId="0" fontId="16" fillId="0" borderId="9" xfId="0" applyFont="1" applyBorder="1" applyAlignment="1">
      <alignment vertical="center" wrapText="1"/>
    </xf>
    <xf numFmtId="0" fontId="16" fillId="0" borderId="9" xfId="0" applyFont="1" applyBorder="1" applyAlignment="1">
      <alignment horizontal="left" vertical="center" wrapText="1"/>
    </xf>
    <xf numFmtId="3" fontId="14" fillId="4" borderId="11" xfId="0" applyNumberFormat="1" applyFont="1" applyFill="1" applyBorder="1" applyAlignment="1">
      <alignment vertical="center"/>
    </xf>
    <xf numFmtId="3" fontId="14" fillId="0" borderId="11" xfId="0" applyNumberFormat="1" applyFont="1" applyBorder="1" applyAlignment="1">
      <alignment vertical="center"/>
    </xf>
    <xf numFmtId="3" fontId="0" fillId="0" borderId="12" xfId="0" applyNumberFormat="1" applyBorder="1" applyAlignment="1">
      <alignment vertical="center"/>
    </xf>
    <xf numFmtId="0" fontId="17" fillId="0" borderId="8" xfId="0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9" fillId="0" borderId="0" xfId="1" applyFont="1" applyAlignment="1">
      <alignment horizontal="left" vertical="center" wrapText="1"/>
    </xf>
    <xf numFmtId="0" fontId="26" fillId="0" borderId="0" xfId="1" applyFont="1" applyAlignment="1">
      <alignment horizontal="left" vertical="center"/>
    </xf>
    <xf numFmtId="0" fontId="27" fillId="0" borderId="0" xfId="1" applyFont="1" applyAlignment="1">
      <alignment horizontal="center"/>
    </xf>
    <xf numFmtId="0" fontId="4" fillId="0" borderId="0" xfId="1" applyFont="1" applyAlignment="1">
      <alignment horizontal="center" vertical="center" wrapText="1"/>
    </xf>
    <xf numFmtId="14" fontId="4" fillId="0" borderId="0" xfId="1" applyNumberFormat="1" applyFont="1" applyAlignment="1">
      <alignment horizontal="center" vertical="center" wrapText="1"/>
    </xf>
    <xf numFmtId="0" fontId="7" fillId="0" borderId="0" xfId="1" applyFont="1" applyAlignment="1">
      <alignment horizontal="center"/>
    </xf>
    <xf numFmtId="0" fontId="7" fillId="0" borderId="0" xfId="1" applyFont="1" applyAlignment="1">
      <alignment horizontal="center" vertical="center"/>
    </xf>
    <xf numFmtId="0" fontId="8" fillId="3" borderId="0" xfId="1" applyFont="1" applyFill="1" applyAlignment="1">
      <alignment horizontal="center" vertical="center"/>
    </xf>
    <xf numFmtId="0" fontId="20" fillId="0" borderId="0" xfId="1" applyFont="1" applyAlignment="1">
      <alignment horizontal="left" vertical="center"/>
    </xf>
    <xf numFmtId="0" fontId="22" fillId="0" borderId="0" xfId="1" applyFont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25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 wrapText="1"/>
    </xf>
    <xf numFmtId="0" fontId="6" fillId="0" borderId="2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 wrapText="1"/>
    </xf>
    <xf numFmtId="0" fontId="6" fillId="0" borderId="15" xfId="1" applyFont="1" applyBorder="1" applyAlignment="1">
      <alignment horizontal="center" vertical="center" wrapText="1"/>
    </xf>
    <xf numFmtId="0" fontId="12" fillId="0" borderId="10" xfId="1" applyFont="1" applyBorder="1" applyAlignment="1">
      <alignment horizontal="left" vertical="center"/>
    </xf>
    <xf numFmtId="0" fontId="12" fillId="0" borderId="11" xfId="1" applyFont="1" applyBorder="1" applyAlignment="1">
      <alignment horizontal="left" vertical="center"/>
    </xf>
    <xf numFmtId="0" fontId="12" fillId="0" borderId="12" xfId="1" applyFont="1" applyBorder="1" applyAlignment="1">
      <alignment horizontal="left" vertical="center"/>
    </xf>
    <xf numFmtId="0" fontId="2" fillId="0" borderId="10" xfId="1" applyBorder="1" applyAlignment="1">
      <alignment horizontal="center" vertical="center"/>
    </xf>
    <xf numFmtId="0" fontId="2" fillId="0" borderId="12" xfId="1" applyBorder="1" applyAlignment="1">
      <alignment horizontal="center" vertical="center"/>
    </xf>
    <xf numFmtId="0" fontId="2" fillId="0" borderId="11" xfId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12" fillId="4" borderId="2" xfId="1" applyFont="1" applyFill="1" applyBorder="1" applyAlignment="1">
      <alignment horizontal="left" vertical="center"/>
    </xf>
    <xf numFmtId="0" fontId="12" fillId="4" borderId="3" xfId="1" applyFont="1" applyFill="1" applyBorder="1" applyAlignment="1">
      <alignment horizontal="left" vertical="center"/>
    </xf>
    <xf numFmtId="0" fontId="12" fillId="4" borderId="4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6" fillId="0" borderId="12" xfId="1" applyFont="1" applyBorder="1" applyAlignment="1">
      <alignment horizontal="center"/>
    </xf>
    <xf numFmtId="0" fontId="6" fillId="0" borderId="10" xfId="1" quotePrefix="1" applyFont="1" applyBorder="1" applyAlignment="1">
      <alignment horizontal="center" vertical="center"/>
    </xf>
    <xf numFmtId="0" fontId="6" fillId="0" borderId="12" xfId="1" quotePrefix="1" applyFont="1" applyBorder="1" applyAlignment="1">
      <alignment horizontal="center" vertical="center"/>
    </xf>
    <xf numFmtId="0" fontId="6" fillId="0" borderId="13" xfId="1" quotePrefix="1" applyFont="1" applyBorder="1" applyAlignment="1">
      <alignment horizontal="center" vertical="center" wrapText="1"/>
    </xf>
    <xf numFmtId="0" fontId="6" fillId="0" borderId="15" xfId="1" quotePrefix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/>
    </xf>
    <xf numFmtId="0" fontId="15" fillId="0" borderId="3" xfId="1" applyFont="1" applyBorder="1" applyAlignment="1">
      <alignment horizontal="center"/>
    </xf>
    <xf numFmtId="0" fontId="15" fillId="0" borderId="4" xfId="1" applyFont="1" applyBorder="1" applyAlignment="1">
      <alignment horizontal="center"/>
    </xf>
    <xf numFmtId="0" fontId="15" fillId="0" borderId="7" xfId="1" applyFont="1" applyBorder="1" applyAlignment="1">
      <alignment horizontal="center"/>
    </xf>
    <xf numFmtId="0" fontId="15" fillId="0" borderId="1" xfId="1" applyFont="1" applyBorder="1" applyAlignment="1">
      <alignment horizontal="center"/>
    </xf>
    <xf numFmtId="0" fontId="15" fillId="0" borderId="8" xfId="1" applyFont="1" applyBorder="1" applyAlignment="1">
      <alignment horizontal="center"/>
    </xf>
    <xf numFmtId="16" fontId="6" fillId="0" borderId="10" xfId="1" quotePrefix="1" applyNumberFormat="1" applyFont="1" applyBorder="1" applyAlignment="1">
      <alignment horizontal="center" vertical="center"/>
    </xf>
    <xf numFmtId="16" fontId="6" fillId="0" borderId="12" xfId="1" quotePrefix="1" applyNumberFormat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 wrapText="1"/>
    </xf>
    <xf numFmtId="0" fontId="14" fillId="0" borderId="15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2" fillId="0" borderId="10" xfId="1" applyBorder="1" applyAlignment="1">
      <alignment horizontal="center" vertical="center" wrapText="1"/>
    </xf>
    <xf numFmtId="0" fontId="2" fillId="0" borderId="11" xfId="1" applyBorder="1" applyAlignment="1">
      <alignment horizontal="center" vertical="center" wrapText="1"/>
    </xf>
    <xf numFmtId="0" fontId="2" fillId="0" borderId="12" xfId="1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0" fontId="2" fillId="0" borderId="3" xfId="1" applyBorder="1" applyAlignment="1">
      <alignment horizontal="center" vertical="center" wrapText="1"/>
    </xf>
    <xf numFmtId="0" fontId="2" fillId="0" borderId="4" xfId="1" applyBorder="1" applyAlignment="1">
      <alignment horizontal="center" vertical="center" wrapText="1"/>
    </xf>
    <xf numFmtId="0" fontId="13" fillId="0" borderId="10" xfId="1" applyFont="1" applyBorder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  <xf numFmtId="0" fontId="17" fillId="0" borderId="11" xfId="1" applyFont="1" applyBorder="1" applyAlignment="1">
      <alignment horizontal="center"/>
    </xf>
    <xf numFmtId="0" fontId="17" fillId="0" borderId="12" xfId="1" applyFont="1" applyBorder="1" applyAlignment="1">
      <alignment horizontal="center"/>
    </xf>
    <xf numFmtId="0" fontId="14" fillId="0" borderId="2" xfId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4" fillId="0" borderId="10" xfId="1" applyFont="1" applyBorder="1" applyAlignment="1">
      <alignment horizontal="center" vertical="center" wrapText="1"/>
    </xf>
    <xf numFmtId="0" fontId="14" fillId="0" borderId="11" xfId="1" applyFont="1" applyBorder="1" applyAlignment="1">
      <alignment horizontal="center" vertical="center" wrapText="1"/>
    </xf>
    <xf numFmtId="0" fontId="14" fillId="0" borderId="12" xfId="1" applyFont="1" applyBorder="1" applyAlignment="1">
      <alignment horizontal="center" vertical="center" wrapText="1"/>
    </xf>
    <xf numFmtId="0" fontId="2" fillId="0" borderId="5" xfId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2" fillId="0" borderId="6" xfId="1" applyBorder="1" applyAlignment="1">
      <alignment horizontal="center" vertical="center" wrapText="1"/>
    </xf>
    <xf numFmtId="0" fontId="2" fillId="0" borderId="7" xfId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2" fillId="0" borderId="8" xfId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1" fontId="2" fillId="0" borderId="10" xfId="1" quotePrefix="1" applyNumberFormat="1" applyBorder="1" applyAlignment="1">
      <alignment horizontal="center" vertical="center" wrapText="1"/>
    </xf>
    <xf numFmtId="1" fontId="2" fillId="0" borderId="12" xfId="1" quotePrefix="1" applyNumberFormat="1" applyBorder="1" applyAlignment="1">
      <alignment horizontal="center" vertical="center" wrapText="1"/>
    </xf>
    <xf numFmtId="3" fontId="15" fillId="0" borderId="13" xfId="1" applyNumberFormat="1" applyFont="1" applyBorder="1" applyAlignment="1">
      <alignment horizontal="center" vertical="center" wrapText="1"/>
    </xf>
    <xf numFmtId="3" fontId="15" fillId="0" borderId="14" xfId="1" applyNumberFormat="1" applyFont="1" applyBorder="1" applyAlignment="1">
      <alignment horizontal="center" vertical="center" wrapText="1"/>
    </xf>
    <xf numFmtId="3" fontId="15" fillId="0" borderId="15" xfId="1" applyNumberFormat="1" applyFont="1" applyBorder="1" applyAlignment="1">
      <alignment horizontal="center" vertical="center" wrapText="1"/>
    </xf>
    <xf numFmtId="0" fontId="15" fillId="0" borderId="13" xfId="1" applyFont="1" applyBorder="1" applyAlignment="1">
      <alignment horizontal="center" vertical="center" wrapText="1"/>
    </xf>
    <xf numFmtId="0" fontId="15" fillId="0" borderId="14" xfId="1" applyFont="1" applyBorder="1" applyAlignment="1">
      <alignment horizontal="center" vertical="center" wrapText="1"/>
    </xf>
    <xf numFmtId="0" fontId="15" fillId="0" borderId="15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/>
    </xf>
    <xf numFmtId="0" fontId="6" fillId="0" borderId="13" xfId="1" applyFont="1" applyBorder="1" applyAlignment="1">
      <alignment horizontal="left" vertical="center"/>
    </xf>
    <xf numFmtId="0" fontId="6" fillId="0" borderId="15" xfId="1" applyFont="1" applyBorder="1" applyAlignment="1">
      <alignment horizontal="left" vertical="center"/>
    </xf>
    <xf numFmtId="0" fontId="2" fillId="0" borderId="13" xfId="1" applyBorder="1" applyAlignment="1">
      <alignment horizontal="center" vertical="center"/>
    </xf>
    <xf numFmtId="0" fontId="2" fillId="0" borderId="14" xfId="1" applyBorder="1" applyAlignment="1">
      <alignment horizontal="center" vertical="center"/>
    </xf>
    <xf numFmtId="0" fontId="2" fillId="0" borderId="15" xfId="1" applyBorder="1" applyAlignment="1">
      <alignment horizontal="center" vertical="center"/>
    </xf>
    <xf numFmtId="0" fontId="2" fillId="0" borderId="13" xfId="1" applyBorder="1" applyAlignment="1">
      <alignment horizontal="center" vertical="center" wrapText="1"/>
    </xf>
    <xf numFmtId="0" fontId="2" fillId="0" borderId="14" xfId="1" applyBorder="1" applyAlignment="1">
      <alignment horizontal="center" vertical="center" wrapText="1"/>
    </xf>
    <xf numFmtId="0" fontId="2" fillId="0" borderId="15" xfId="1" applyBorder="1" applyAlignment="1">
      <alignment horizontal="center" vertical="center" wrapText="1"/>
    </xf>
    <xf numFmtId="0" fontId="2" fillId="0" borderId="2" xfId="1" applyBorder="1" applyAlignment="1">
      <alignment horizontal="center"/>
    </xf>
    <xf numFmtId="0" fontId="2" fillId="0" borderId="3" xfId="1" applyBorder="1" applyAlignment="1">
      <alignment horizontal="center"/>
    </xf>
    <xf numFmtId="0" fontId="2" fillId="0" borderId="4" xfId="1" applyBorder="1" applyAlignment="1">
      <alignment horizontal="center"/>
    </xf>
    <xf numFmtId="0" fontId="2" fillId="0" borderId="7" xfId="1" applyBorder="1" applyAlignment="1">
      <alignment horizontal="center"/>
    </xf>
    <xf numFmtId="0" fontId="2" fillId="0" borderId="1" xfId="1" applyBorder="1" applyAlignment="1">
      <alignment horizontal="center"/>
    </xf>
    <xf numFmtId="0" fontId="2" fillId="0" borderId="8" xfId="1" applyBorder="1" applyAlignment="1">
      <alignment horizontal="center"/>
    </xf>
    <xf numFmtId="0" fontId="28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 wrapText="1"/>
    </xf>
    <xf numFmtId="0" fontId="23" fillId="0" borderId="0" xfId="1" applyFont="1" applyAlignment="1">
      <alignment horizontal="left" vertical="center"/>
    </xf>
    <xf numFmtId="0" fontId="6" fillId="0" borderId="9" xfId="1" applyFont="1" applyBorder="1" applyAlignment="1">
      <alignment horizontal="center" vertical="center" wrapText="1"/>
    </xf>
    <xf numFmtId="1" fontId="6" fillId="0" borderId="10" xfId="1" quotePrefix="1" applyNumberFormat="1" applyFont="1" applyBorder="1" applyAlignment="1">
      <alignment horizontal="center" vertical="center" wrapText="1"/>
    </xf>
    <xf numFmtId="1" fontId="6" fillId="0" borderId="12" xfId="1" quotePrefix="1" applyNumberFormat="1" applyFont="1" applyBorder="1" applyAlignment="1">
      <alignment horizontal="center" vertical="center" wrapText="1"/>
    </xf>
    <xf numFmtId="3" fontId="13" fillId="0" borderId="13" xfId="1" applyNumberFormat="1" applyFont="1" applyBorder="1" applyAlignment="1">
      <alignment horizontal="center" vertical="center" wrapText="1"/>
    </xf>
    <xf numFmtId="3" fontId="13" fillId="0" borderId="14" xfId="1" applyNumberFormat="1" applyFont="1" applyBorder="1" applyAlignment="1">
      <alignment horizontal="center" vertical="center" wrapText="1"/>
    </xf>
    <xf numFmtId="3" fontId="13" fillId="0" borderId="15" xfId="1" applyNumberFormat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0" fontId="13" fillId="0" borderId="5" xfId="1" applyFont="1" applyBorder="1" applyAlignment="1">
      <alignment horizontal="center" vertical="center"/>
    </xf>
    <xf numFmtId="0" fontId="13" fillId="0" borderId="6" xfId="1" applyFont="1" applyBorder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 wrapText="1"/>
    </xf>
    <xf numFmtId="0" fontId="13" fillId="0" borderId="15" xfId="1" applyFont="1" applyBorder="1" applyAlignment="1">
      <alignment horizontal="center" vertical="center" wrapText="1"/>
    </xf>
    <xf numFmtId="0" fontId="13" fillId="0" borderId="10" xfId="1" applyFont="1" applyBorder="1" applyAlignment="1">
      <alignment horizontal="left" vertical="center"/>
    </xf>
    <xf numFmtId="0" fontId="13" fillId="0" borderId="11" xfId="1" applyFont="1" applyBorder="1" applyAlignment="1">
      <alignment horizontal="left" vertical="center"/>
    </xf>
    <xf numFmtId="0" fontId="13" fillId="0" borderId="12" xfId="1" applyFont="1" applyBorder="1" applyAlignment="1">
      <alignment horizontal="left" vertical="center"/>
    </xf>
    <xf numFmtId="0" fontId="6" fillId="4" borderId="2" xfId="1" applyFont="1" applyFill="1" applyBorder="1" applyAlignment="1">
      <alignment horizontal="left" vertical="center"/>
    </xf>
    <xf numFmtId="0" fontId="6" fillId="4" borderId="3" xfId="1" applyFont="1" applyFill="1" applyBorder="1" applyAlignment="1">
      <alignment horizontal="left" vertical="center"/>
    </xf>
    <xf numFmtId="0" fontId="6" fillId="4" borderId="4" xfId="1" applyFont="1" applyFill="1" applyBorder="1" applyAlignment="1">
      <alignment horizontal="left" vertical="center"/>
    </xf>
    <xf numFmtId="0" fontId="13" fillId="0" borderId="2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13" fillId="0" borderId="5" xfId="1" applyFont="1" applyBorder="1" applyAlignment="1">
      <alignment horizontal="center" vertical="center" wrapText="1"/>
    </xf>
    <xf numFmtId="0" fontId="13" fillId="0" borderId="0" xfId="1" applyFont="1" applyAlignment="1">
      <alignment horizontal="center" vertical="center" wrapText="1"/>
    </xf>
    <xf numFmtId="0" fontId="13" fillId="0" borderId="6" xfId="1" applyFont="1" applyBorder="1" applyAlignment="1">
      <alignment horizontal="center" vertical="center" wrapText="1"/>
    </xf>
    <xf numFmtId="0" fontId="13" fillId="0" borderId="7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0" fontId="13" fillId="0" borderId="8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13" fillId="0" borderId="10" xfId="1" applyFont="1" applyBorder="1" applyAlignment="1">
      <alignment horizontal="center"/>
    </xf>
    <xf numFmtId="0" fontId="13" fillId="0" borderId="12" xfId="1" applyFont="1" applyBorder="1" applyAlignment="1">
      <alignment horizontal="center"/>
    </xf>
    <xf numFmtId="0" fontId="13" fillId="0" borderId="10" xfId="1" quotePrefix="1" applyFont="1" applyBorder="1" applyAlignment="1">
      <alignment horizontal="center" vertical="center"/>
    </xf>
    <xf numFmtId="0" fontId="13" fillId="0" borderId="12" xfId="1" quotePrefix="1" applyFont="1" applyBorder="1" applyAlignment="1">
      <alignment horizontal="center" vertical="center"/>
    </xf>
    <xf numFmtId="0" fontId="13" fillId="0" borderId="13" xfId="1" quotePrefix="1" applyFont="1" applyBorder="1" applyAlignment="1">
      <alignment horizontal="center" vertical="center" wrapText="1"/>
    </xf>
    <xf numFmtId="0" fontId="13" fillId="0" borderId="15" xfId="1" quotePrefix="1" applyFont="1" applyBorder="1" applyAlignment="1">
      <alignment horizontal="center" vertical="center" wrapText="1"/>
    </xf>
    <xf numFmtId="16" fontId="13" fillId="0" borderId="10" xfId="1" quotePrefix="1" applyNumberFormat="1" applyFont="1" applyBorder="1" applyAlignment="1">
      <alignment horizontal="center" vertical="center"/>
    </xf>
    <xf numFmtId="16" fontId="13" fillId="0" borderId="12" xfId="1" quotePrefix="1" applyNumberFormat="1" applyFont="1" applyBorder="1" applyAlignment="1">
      <alignment horizontal="center" vertical="center"/>
    </xf>
    <xf numFmtId="0" fontId="16" fillId="0" borderId="13" xfId="1" applyFont="1" applyBorder="1" applyAlignment="1">
      <alignment horizontal="center" vertical="center" wrapText="1"/>
    </xf>
    <xf numFmtId="0" fontId="16" fillId="0" borderId="15" xfId="1" applyFont="1" applyBorder="1" applyAlignment="1">
      <alignment horizontal="center" vertical="center" wrapText="1"/>
    </xf>
    <xf numFmtId="0" fontId="13" fillId="0" borderId="10" xfId="1" applyFont="1" applyBorder="1" applyAlignment="1">
      <alignment horizontal="center" vertical="center" wrapText="1"/>
    </xf>
    <xf numFmtId="0" fontId="13" fillId="0" borderId="11" xfId="1" applyFont="1" applyBorder="1" applyAlignment="1">
      <alignment horizontal="center" vertical="center" wrapText="1"/>
    </xf>
    <xf numFmtId="0" fontId="13" fillId="0" borderId="12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10" xfId="1" applyFont="1" applyBorder="1" applyAlignment="1">
      <alignment horizontal="center" vertical="center" wrapText="1"/>
    </xf>
    <xf numFmtId="0" fontId="16" fillId="0" borderId="11" xfId="1" applyFont="1" applyBorder="1" applyAlignment="1">
      <alignment horizontal="center" vertical="center" wrapText="1"/>
    </xf>
    <xf numFmtId="0" fontId="16" fillId="0" borderId="12" xfId="1" applyFont="1" applyBorder="1" applyAlignment="1">
      <alignment horizontal="center" vertical="center" wrapText="1"/>
    </xf>
    <xf numFmtId="0" fontId="13" fillId="0" borderId="9" xfId="1" applyFont="1" applyBorder="1" applyAlignment="1">
      <alignment horizontal="center" vertical="center" wrapText="1"/>
    </xf>
    <xf numFmtId="0" fontId="13" fillId="0" borderId="11" xfId="1" applyFont="1" applyBorder="1" applyAlignment="1">
      <alignment horizontal="center"/>
    </xf>
    <xf numFmtId="0" fontId="16" fillId="0" borderId="13" xfId="1" applyFont="1" applyBorder="1" applyAlignment="1">
      <alignment horizontal="left" vertical="center"/>
    </xf>
    <xf numFmtId="0" fontId="16" fillId="0" borderId="15" xfId="1" applyFont="1" applyBorder="1" applyAlignment="1">
      <alignment horizontal="left" vertical="center"/>
    </xf>
    <xf numFmtId="0" fontId="13" fillId="0" borderId="13" xfId="1" applyFont="1" applyBorder="1" applyAlignment="1">
      <alignment horizontal="center" vertical="center"/>
    </xf>
    <xf numFmtId="0" fontId="13" fillId="0" borderId="14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2" fillId="0" borderId="0" xfId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18" fillId="5" borderId="0" xfId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5" fillId="0" borderId="2" xfId="1" applyFont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5" fillId="0" borderId="8" xfId="1" applyFont="1" applyBorder="1" applyAlignment="1">
      <alignment horizontal="center" vertical="center"/>
    </xf>
    <xf numFmtId="0" fontId="17" fillId="0" borderId="11" xfId="1" applyFont="1" applyBorder="1" applyAlignment="1">
      <alignment horizontal="center" vertical="center"/>
    </xf>
    <xf numFmtId="0" fontId="17" fillId="0" borderId="12" xfId="1" applyFont="1" applyBorder="1" applyAlignment="1">
      <alignment horizontal="center" vertical="center"/>
    </xf>
    <xf numFmtId="0" fontId="13" fillId="0" borderId="14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3" fontId="13" fillId="0" borderId="10" xfId="1" applyNumberFormat="1" applyFont="1" applyBorder="1" applyAlignment="1">
      <alignment horizontal="center" vertical="center"/>
    </xf>
    <xf numFmtId="3" fontId="13" fillId="0" borderId="12" xfId="1" applyNumberFormat="1" applyFont="1" applyBorder="1" applyAlignment="1">
      <alignment horizontal="center" vertical="center"/>
    </xf>
    <xf numFmtId="3" fontId="13" fillId="0" borderId="11" xfId="1" applyNumberFormat="1" applyFont="1" applyBorder="1" applyAlignment="1">
      <alignment horizontal="center" vertical="center"/>
    </xf>
    <xf numFmtId="3" fontId="13" fillId="0" borderId="13" xfId="1" applyNumberFormat="1" applyFont="1" applyBorder="1" applyAlignment="1">
      <alignment horizontal="center" vertical="center"/>
    </xf>
    <xf numFmtId="3" fontId="13" fillId="0" borderId="14" xfId="1" applyNumberFormat="1" applyFont="1" applyBorder="1" applyAlignment="1">
      <alignment horizontal="center" vertical="center"/>
    </xf>
    <xf numFmtId="3" fontId="13" fillId="0" borderId="15" xfId="1" applyNumberFormat="1" applyFont="1" applyBorder="1" applyAlignment="1">
      <alignment horizontal="center" vertical="center"/>
    </xf>
    <xf numFmtId="0" fontId="2" fillId="0" borderId="0" xfId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9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3" fontId="13" fillId="0" borderId="10" xfId="0" applyNumberFormat="1" applyFont="1" applyBorder="1" applyAlignment="1">
      <alignment horizontal="center" vertical="center"/>
    </xf>
    <xf numFmtId="3" fontId="13" fillId="0" borderId="12" xfId="0" applyNumberFormat="1" applyFont="1" applyBorder="1" applyAlignment="1">
      <alignment horizontal="center" vertical="center"/>
    </xf>
    <xf numFmtId="3" fontId="13" fillId="0" borderId="11" xfId="0" applyNumberFormat="1" applyFont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quotePrefix="1" applyFont="1" applyBorder="1" applyAlignment="1">
      <alignment horizontal="center" vertical="center"/>
    </xf>
    <xf numFmtId="0" fontId="13" fillId="0" borderId="12" xfId="0" quotePrefix="1" applyFont="1" applyBorder="1" applyAlignment="1">
      <alignment horizontal="center" vertical="center"/>
    </xf>
    <xf numFmtId="0" fontId="13" fillId="0" borderId="13" xfId="0" quotePrefix="1" applyFont="1" applyBorder="1" applyAlignment="1">
      <alignment horizontal="center" vertical="center" wrapText="1"/>
    </xf>
    <xf numFmtId="0" fontId="13" fillId="0" borderId="15" xfId="0" quotePrefix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16" fontId="13" fillId="0" borderId="10" xfId="0" quotePrefix="1" applyNumberFormat="1" applyFont="1" applyBorder="1" applyAlignment="1">
      <alignment horizontal="center" vertical="center"/>
    </xf>
    <xf numFmtId="16" fontId="13" fillId="0" borderId="12" xfId="0" quotePrefix="1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3" fontId="13" fillId="0" borderId="13" xfId="0" applyNumberFormat="1" applyFont="1" applyBorder="1" applyAlignment="1">
      <alignment horizontal="center" vertical="center" wrapText="1"/>
    </xf>
    <xf numFmtId="3" fontId="13" fillId="0" borderId="14" xfId="0" applyNumberFormat="1" applyFont="1" applyBorder="1" applyAlignment="1">
      <alignment horizontal="center" vertical="center" wrapText="1"/>
    </xf>
    <xf numFmtId="3" fontId="13" fillId="0" borderId="15" xfId="0" applyNumberFormat="1" applyFont="1" applyBorder="1" applyAlignment="1">
      <alignment horizontal="center" vertical="center" wrapText="1"/>
    </xf>
    <xf numFmtId="0" fontId="16" fillId="0" borderId="13" xfId="0" applyFont="1" applyBorder="1" applyAlignment="1">
      <alignment horizontal="left" vertical="center"/>
    </xf>
    <xf numFmtId="0" fontId="16" fillId="0" borderId="15" xfId="0" applyFont="1" applyBorder="1" applyAlignment="1">
      <alignment horizontal="left" vertical="center"/>
    </xf>
    <xf numFmtId="3" fontId="13" fillId="0" borderId="13" xfId="0" applyNumberFormat="1" applyFont="1" applyBorder="1" applyAlignment="1">
      <alignment horizontal="center" vertical="center"/>
    </xf>
    <xf numFmtId="3" fontId="13" fillId="0" borderId="14" xfId="0" applyNumberFormat="1" applyFont="1" applyBorder="1" applyAlignment="1">
      <alignment horizontal="center" vertical="center"/>
    </xf>
    <xf numFmtId="3" fontId="13" fillId="0" borderId="15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3" fontId="13" fillId="0" borderId="10" xfId="0" quotePrefix="1" applyNumberFormat="1" applyFont="1" applyBorder="1" applyAlignment="1">
      <alignment horizontal="center" vertical="center"/>
    </xf>
    <xf numFmtId="3" fontId="13" fillId="0" borderId="12" xfId="0" quotePrefix="1" applyNumberFormat="1" applyFont="1" applyBorder="1" applyAlignment="1">
      <alignment horizontal="center" vertical="center"/>
    </xf>
    <xf numFmtId="3" fontId="13" fillId="0" borderId="13" xfId="0" quotePrefix="1" applyNumberFormat="1" applyFont="1" applyBorder="1" applyAlignment="1">
      <alignment horizontal="center" vertical="center" wrapText="1"/>
    </xf>
    <xf numFmtId="3" fontId="13" fillId="0" borderId="15" xfId="0" quotePrefix="1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33" fillId="5" borderId="0" xfId="1" applyFont="1" applyFill="1" applyAlignment="1">
      <alignment horizontal="center" vertical="center"/>
    </xf>
    <xf numFmtId="3" fontId="32" fillId="0" borderId="13" xfId="1" applyNumberFormat="1" applyFont="1" applyBorder="1" applyAlignment="1">
      <alignment horizontal="center" vertical="center" wrapText="1"/>
    </xf>
    <xf numFmtId="3" fontId="32" fillId="0" borderId="14" xfId="1" applyNumberFormat="1" applyFont="1" applyBorder="1" applyAlignment="1">
      <alignment horizontal="center" vertical="center" wrapText="1"/>
    </xf>
    <xf numFmtId="3" fontId="32" fillId="0" borderId="15" xfId="1" applyNumberFormat="1" applyFont="1" applyBorder="1" applyAlignment="1">
      <alignment horizontal="center" vertical="center" wrapText="1"/>
    </xf>
    <xf numFmtId="0" fontId="36" fillId="7" borderId="0" xfId="1" applyFont="1" applyFill="1" applyAlignment="1">
      <alignment horizontal="left" vertical="center" wrapText="1"/>
    </xf>
    <xf numFmtId="0" fontId="35" fillId="7" borderId="0" xfId="1" applyFont="1" applyFill="1" applyAlignment="1">
      <alignment horizontal="center" vertical="center"/>
    </xf>
    <xf numFmtId="0" fontId="34" fillId="7" borderId="0" xfId="1" applyFont="1" applyFill="1" applyAlignment="1">
      <alignment horizontal="center" vertical="center"/>
    </xf>
    <xf numFmtId="1" fontId="13" fillId="0" borderId="9" xfId="1" applyNumberFormat="1" applyFont="1" applyBorder="1" applyAlignment="1">
      <alignment horizontal="center" vertical="center" wrapText="1"/>
    </xf>
    <xf numFmtId="3" fontId="13" fillId="8" borderId="10" xfId="1" applyNumberFormat="1" applyFont="1" applyFill="1" applyBorder="1" applyAlignment="1">
      <alignment horizontal="center" vertical="center"/>
    </xf>
    <xf numFmtId="3" fontId="13" fillId="8" borderId="12" xfId="1" applyNumberFormat="1" applyFont="1" applyFill="1" applyBorder="1" applyAlignment="1">
      <alignment horizontal="center" vertical="center"/>
    </xf>
  </cellXfs>
  <cellStyles count="4">
    <cellStyle name="40% - Accent3" xfId="3" builtinId="39"/>
    <cellStyle name="40% - Accent3 2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colors>
    <mruColors>
      <color rgb="FF008000"/>
      <color rgb="FF0099CC"/>
      <color rgb="FF305496"/>
      <color rgb="FFBFBFBF"/>
      <color rgb="FFE8E8E8"/>
      <color rgb="FFE7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557362</xdr:colOff>
      <xdr:row>3</xdr:row>
      <xdr:rowOff>46357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557362" cy="541657"/>
        </a:xfrm>
        <a:prstGeom prst="rect">
          <a:avLst/>
        </a:prstGeom>
      </xdr:spPr>
    </xdr:pic>
    <xdr:clientData/>
  </xdr:twoCellAnchor>
  <xdr:twoCellAnchor editAs="oneCell">
    <xdr:from>
      <xdr:col>26</xdr:col>
      <xdr:colOff>476250</xdr:colOff>
      <xdr:row>1</xdr:row>
      <xdr:rowOff>19050</xdr:rowOff>
    </xdr:from>
    <xdr:to>
      <xdr:col>28</xdr:col>
      <xdr:colOff>28575</xdr:colOff>
      <xdr:row>3</xdr:row>
      <xdr:rowOff>44899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68475" y="114300"/>
          <a:ext cx="581025" cy="521149"/>
        </a:xfrm>
        <a:prstGeom prst="rect">
          <a:avLst/>
        </a:prstGeom>
      </xdr:spPr>
    </xdr:pic>
    <xdr:clientData/>
  </xdr:twoCellAnchor>
  <xdr:oneCellAnchor>
    <xdr:from>
      <xdr:col>27</xdr:col>
      <xdr:colOff>51549</xdr:colOff>
      <xdr:row>40</xdr:row>
      <xdr:rowOff>85164</xdr:rowOff>
    </xdr:from>
    <xdr:ext cx="544599" cy="497541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58124" y="10305489"/>
          <a:ext cx="544599" cy="497541"/>
        </a:xfrm>
        <a:prstGeom prst="rect">
          <a:avLst/>
        </a:prstGeom>
      </xdr:spPr>
    </xdr:pic>
    <xdr:clientData/>
  </xdr:oneCellAnchor>
  <xdr:oneCellAnchor>
    <xdr:from>
      <xdr:col>0</xdr:col>
      <xdr:colOff>90339</xdr:colOff>
      <xdr:row>40</xdr:row>
      <xdr:rowOff>64433</xdr:rowOff>
    </xdr:from>
    <xdr:ext cx="492367" cy="481463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39" y="10284758"/>
          <a:ext cx="492367" cy="481463"/>
        </a:xfrm>
        <a:prstGeom prst="rect">
          <a:avLst/>
        </a:prstGeom>
      </xdr:spPr>
    </xdr:pic>
    <xdr:clientData/>
  </xdr:oneCellAnchor>
  <xdr:oneCellAnchor>
    <xdr:from>
      <xdr:col>27</xdr:col>
      <xdr:colOff>85165</xdr:colOff>
      <xdr:row>79</xdr:row>
      <xdr:rowOff>85165</xdr:rowOff>
    </xdr:from>
    <xdr:ext cx="495537" cy="452718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91740" y="20611540"/>
          <a:ext cx="495537" cy="452718"/>
        </a:xfrm>
        <a:prstGeom prst="rect">
          <a:avLst/>
        </a:prstGeom>
      </xdr:spPr>
    </xdr:pic>
    <xdr:clientData/>
  </xdr:oneCellAnchor>
  <xdr:oneCellAnchor>
    <xdr:from>
      <xdr:col>0</xdr:col>
      <xdr:colOff>79133</xdr:colOff>
      <xdr:row>79</xdr:row>
      <xdr:rowOff>75641</xdr:rowOff>
    </xdr:from>
    <xdr:ext cx="458749" cy="44859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33" y="20602016"/>
          <a:ext cx="458749" cy="448590"/>
        </a:xfrm>
        <a:prstGeom prst="rect">
          <a:avLst/>
        </a:prstGeom>
      </xdr:spPr>
    </xdr:pic>
    <xdr:clientData/>
  </xdr:oneCellAnchor>
  <xdr:oneCellAnchor>
    <xdr:from>
      <xdr:col>27</xdr:col>
      <xdr:colOff>40341</xdr:colOff>
      <xdr:row>118</xdr:row>
      <xdr:rowOff>108421</xdr:rowOff>
    </xdr:from>
    <xdr:ext cx="550209" cy="502666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46916" y="30978946"/>
          <a:ext cx="550209" cy="502666"/>
        </a:xfrm>
        <a:prstGeom prst="rect">
          <a:avLst/>
        </a:prstGeom>
      </xdr:spPr>
    </xdr:pic>
    <xdr:clientData/>
  </xdr:oneCellAnchor>
  <xdr:oneCellAnchor>
    <xdr:from>
      <xdr:col>0</xdr:col>
      <xdr:colOff>79132</xdr:colOff>
      <xdr:row>118</xdr:row>
      <xdr:rowOff>68320</xdr:rowOff>
    </xdr:from>
    <xdr:ext cx="530468" cy="518721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32" y="30938845"/>
          <a:ext cx="530468" cy="518721"/>
        </a:xfrm>
        <a:prstGeom prst="rect">
          <a:avLst/>
        </a:prstGeom>
      </xdr:spPr>
    </xdr:pic>
    <xdr:clientData/>
  </xdr:oneCellAnchor>
  <xdr:oneCellAnchor>
    <xdr:from>
      <xdr:col>27</xdr:col>
      <xdr:colOff>40342</xdr:colOff>
      <xdr:row>157</xdr:row>
      <xdr:rowOff>41973</xdr:rowOff>
    </xdr:from>
    <xdr:ext cx="578784" cy="528772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46917" y="41294748"/>
          <a:ext cx="578784" cy="528772"/>
        </a:xfrm>
        <a:prstGeom prst="rect">
          <a:avLst/>
        </a:prstGeom>
      </xdr:spPr>
    </xdr:pic>
    <xdr:clientData/>
  </xdr:oneCellAnchor>
  <xdr:oneCellAnchor>
    <xdr:from>
      <xdr:col>0</xdr:col>
      <xdr:colOff>79132</xdr:colOff>
      <xdr:row>157</xdr:row>
      <xdr:rowOff>54241</xdr:rowOff>
    </xdr:from>
    <xdr:ext cx="501893" cy="490778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32" y="41307016"/>
          <a:ext cx="501893" cy="49077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438150</xdr:colOff>
      <xdr:row>1</xdr:row>
      <xdr:rowOff>47625</xdr:rowOff>
    </xdr:from>
    <xdr:to>
      <xdr:col>28</xdr:col>
      <xdr:colOff>47625</xdr:colOff>
      <xdr:row>3</xdr:row>
      <xdr:rowOff>73474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68275" y="142875"/>
          <a:ext cx="581025" cy="521149"/>
        </a:xfrm>
        <a:prstGeom prst="rect">
          <a:avLst/>
        </a:prstGeom>
      </xdr:spPr>
    </xdr:pic>
    <xdr:clientData/>
  </xdr:twoCellAnchor>
  <xdr:twoCellAnchor editAs="oneCell">
    <xdr:from>
      <xdr:col>0</xdr:col>
      <xdr:colOff>162616</xdr:colOff>
      <xdr:row>1</xdr:row>
      <xdr:rowOff>0</xdr:rowOff>
    </xdr:from>
    <xdr:to>
      <xdr:col>1</xdr:col>
      <xdr:colOff>193302</xdr:colOff>
      <xdr:row>3</xdr:row>
      <xdr:rowOff>46357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16" y="95250"/>
          <a:ext cx="554561" cy="541657"/>
        </a:xfrm>
        <a:prstGeom prst="rect">
          <a:avLst/>
        </a:prstGeom>
      </xdr:spPr>
    </xdr:pic>
    <xdr:clientData/>
  </xdr:twoCellAnchor>
  <xdr:oneCellAnchor>
    <xdr:from>
      <xdr:col>27</xdr:col>
      <xdr:colOff>51549</xdr:colOff>
      <xdr:row>40</xdr:row>
      <xdr:rowOff>85164</xdr:rowOff>
    </xdr:from>
    <xdr:ext cx="544599" cy="497541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7449" y="11286564"/>
          <a:ext cx="544599" cy="497541"/>
        </a:xfrm>
        <a:prstGeom prst="rect">
          <a:avLst/>
        </a:prstGeom>
      </xdr:spPr>
    </xdr:pic>
    <xdr:clientData/>
  </xdr:oneCellAnchor>
  <xdr:oneCellAnchor>
    <xdr:from>
      <xdr:col>0</xdr:col>
      <xdr:colOff>90339</xdr:colOff>
      <xdr:row>40</xdr:row>
      <xdr:rowOff>64433</xdr:rowOff>
    </xdr:from>
    <xdr:ext cx="492367" cy="481463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39" y="11265833"/>
          <a:ext cx="492367" cy="481463"/>
        </a:xfrm>
        <a:prstGeom prst="rect">
          <a:avLst/>
        </a:prstGeom>
      </xdr:spPr>
    </xdr:pic>
    <xdr:clientData/>
  </xdr:oneCellAnchor>
  <xdr:oneCellAnchor>
    <xdr:from>
      <xdr:col>27</xdr:col>
      <xdr:colOff>85165</xdr:colOff>
      <xdr:row>79</xdr:row>
      <xdr:rowOff>85165</xdr:rowOff>
    </xdr:from>
    <xdr:ext cx="495537" cy="452718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1065" y="22707040"/>
          <a:ext cx="495537" cy="452718"/>
        </a:xfrm>
        <a:prstGeom prst="rect">
          <a:avLst/>
        </a:prstGeom>
      </xdr:spPr>
    </xdr:pic>
    <xdr:clientData/>
  </xdr:oneCellAnchor>
  <xdr:oneCellAnchor>
    <xdr:from>
      <xdr:col>0</xdr:col>
      <xdr:colOff>79133</xdr:colOff>
      <xdr:row>79</xdr:row>
      <xdr:rowOff>75641</xdr:rowOff>
    </xdr:from>
    <xdr:ext cx="458749" cy="44859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33" y="22697516"/>
          <a:ext cx="458749" cy="448590"/>
        </a:xfrm>
        <a:prstGeom prst="rect">
          <a:avLst/>
        </a:prstGeom>
      </xdr:spPr>
    </xdr:pic>
    <xdr:clientData/>
  </xdr:oneCellAnchor>
  <xdr:oneCellAnchor>
    <xdr:from>
      <xdr:col>27</xdr:col>
      <xdr:colOff>40341</xdr:colOff>
      <xdr:row>118</xdr:row>
      <xdr:rowOff>108421</xdr:rowOff>
    </xdr:from>
    <xdr:ext cx="550209" cy="502666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6241" y="34169821"/>
          <a:ext cx="550209" cy="502666"/>
        </a:xfrm>
        <a:prstGeom prst="rect">
          <a:avLst/>
        </a:prstGeom>
      </xdr:spPr>
    </xdr:pic>
    <xdr:clientData/>
  </xdr:oneCellAnchor>
  <xdr:oneCellAnchor>
    <xdr:from>
      <xdr:col>0</xdr:col>
      <xdr:colOff>79132</xdr:colOff>
      <xdr:row>118</xdr:row>
      <xdr:rowOff>68320</xdr:rowOff>
    </xdr:from>
    <xdr:ext cx="530468" cy="518721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32" y="34129720"/>
          <a:ext cx="530468" cy="518721"/>
        </a:xfrm>
        <a:prstGeom prst="rect">
          <a:avLst/>
        </a:prstGeom>
      </xdr:spPr>
    </xdr:pic>
    <xdr:clientData/>
  </xdr:oneCellAnchor>
  <xdr:oneCellAnchor>
    <xdr:from>
      <xdr:col>27</xdr:col>
      <xdr:colOff>40342</xdr:colOff>
      <xdr:row>157</xdr:row>
      <xdr:rowOff>41973</xdr:rowOff>
    </xdr:from>
    <xdr:ext cx="578784" cy="528772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6242" y="45523848"/>
          <a:ext cx="578784" cy="528772"/>
        </a:xfrm>
        <a:prstGeom prst="rect">
          <a:avLst/>
        </a:prstGeom>
      </xdr:spPr>
    </xdr:pic>
    <xdr:clientData/>
  </xdr:oneCellAnchor>
  <xdr:oneCellAnchor>
    <xdr:from>
      <xdr:col>0</xdr:col>
      <xdr:colOff>79132</xdr:colOff>
      <xdr:row>157</xdr:row>
      <xdr:rowOff>54241</xdr:rowOff>
    </xdr:from>
    <xdr:ext cx="501893" cy="490778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32" y="45536116"/>
          <a:ext cx="501893" cy="49077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438150</xdr:colOff>
      <xdr:row>1</xdr:row>
      <xdr:rowOff>47625</xdr:rowOff>
    </xdr:from>
    <xdr:to>
      <xdr:col>28</xdr:col>
      <xdr:colOff>47625</xdr:colOff>
      <xdr:row>3</xdr:row>
      <xdr:rowOff>73474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68275" y="142875"/>
          <a:ext cx="581025" cy="521149"/>
        </a:xfrm>
        <a:prstGeom prst="rect">
          <a:avLst/>
        </a:prstGeom>
      </xdr:spPr>
    </xdr:pic>
    <xdr:clientData/>
  </xdr:twoCellAnchor>
  <xdr:twoCellAnchor editAs="oneCell">
    <xdr:from>
      <xdr:col>0</xdr:col>
      <xdr:colOff>162616</xdr:colOff>
      <xdr:row>1</xdr:row>
      <xdr:rowOff>0</xdr:rowOff>
    </xdr:from>
    <xdr:to>
      <xdr:col>1</xdr:col>
      <xdr:colOff>193302</xdr:colOff>
      <xdr:row>3</xdr:row>
      <xdr:rowOff>46357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16" y="95250"/>
          <a:ext cx="554561" cy="541657"/>
        </a:xfrm>
        <a:prstGeom prst="rect">
          <a:avLst/>
        </a:prstGeom>
      </xdr:spPr>
    </xdr:pic>
    <xdr:clientData/>
  </xdr:twoCellAnchor>
  <xdr:oneCellAnchor>
    <xdr:from>
      <xdr:col>27</xdr:col>
      <xdr:colOff>51549</xdr:colOff>
      <xdr:row>40</xdr:row>
      <xdr:rowOff>85164</xdr:rowOff>
    </xdr:from>
    <xdr:ext cx="544599" cy="497541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7449" y="11286564"/>
          <a:ext cx="544599" cy="497541"/>
        </a:xfrm>
        <a:prstGeom prst="rect">
          <a:avLst/>
        </a:prstGeom>
      </xdr:spPr>
    </xdr:pic>
    <xdr:clientData/>
  </xdr:oneCellAnchor>
  <xdr:oneCellAnchor>
    <xdr:from>
      <xdr:col>0</xdr:col>
      <xdr:colOff>90339</xdr:colOff>
      <xdr:row>40</xdr:row>
      <xdr:rowOff>64433</xdr:rowOff>
    </xdr:from>
    <xdr:ext cx="492367" cy="481463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39" y="11265833"/>
          <a:ext cx="492367" cy="481463"/>
        </a:xfrm>
        <a:prstGeom prst="rect">
          <a:avLst/>
        </a:prstGeom>
      </xdr:spPr>
    </xdr:pic>
    <xdr:clientData/>
  </xdr:oneCellAnchor>
  <xdr:oneCellAnchor>
    <xdr:from>
      <xdr:col>27</xdr:col>
      <xdr:colOff>85165</xdr:colOff>
      <xdr:row>79</xdr:row>
      <xdr:rowOff>85165</xdr:rowOff>
    </xdr:from>
    <xdr:ext cx="495537" cy="452718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1065" y="22707040"/>
          <a:ext cx="495537" cy="452718"/>
        </a:xfrm>
        <a:prstGeom prst="rect">
          <a:avLst/>
        </a:prstGeom>
      </xdr:spPr>
    </xdr:pic>
    <xdr:clientData/>
  </xdr:oneCellAnchor>
  <xdr:oneCellAnchor>
    <xdr:from>
      <xdr:col>0</xdr:col>
      <xdr:colOff>79133</xdr:colOff>
      <xdr:row>79</xdr:row>
      <xdr:rowOff>75641</xdr:rowOff>
    </xdr:from>
    <xdr:ext cx="458749" cy="44859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33" y="22697516"/>
          <a:ext cx="458749" cy="448590"/>
        </a:xfrm>
        <a:prstGeom prst="rect">
          <a:avLst/>
        </a:prstGeom>
      </xdr:spPr>
    </xdr:pic>
    <xdr:clientData/>
  </xdr:oneCellAnchor>
  <xdr:oneCellAnchor>
    <xdr:from>
      <xdr:col>27</xdr:col>
      <xdr:colOff>40341</xdr:colOff>
      <xdr:row>118</xdr:row>
      <xdr:rowOff>108421</xdr:rowOff>
    </xdr:from>
    <xdr:ext cx="550209" cy="502666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6241" y="34169821"/>
          <a:ext cx="550209" cy="502666"/>
        </a:xfrm>
        <a:prstGeom prst="rect">
          <a:avLst/>
        </a:prstGeom>
      </xdr:spPr>
    </xdr:pic>
    <xdr:clientData/>
  </xdr:oneCellAnchor>
  <xdr:oneCellAnchor>
    <xdr:from>
      <xdr:col>0</xdr:col>
      <xdr:colOff>79132</xdr:colOff>
      <xdr:row>118</xdr:row>
      <xdr:rowOff>68320</xdr:rowOff>
    </xdr:from>
    <xdr:ext cx="530468" cy="518721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32" y="34129720"/>
          <a:ext cx="530468" cy="518721"/>
        </a:xfrm>
        <a:prstGeom prst="rect">
          <a:avLst/>
        </a:prstGeom>
      </xdr:spPr>
    </xdr:pic>
    <xdr:clientData/>
  </xdr:oneCellAnchor>
  <xdr:oneCellAnchor>
    <xdr:from>
      <xdr:col>27</xdr:col>
      <xdr:colOff>40342</xdr:colOff>
      <xdr:row>157</xdr:row>
      <xdr:rowOff>41973</xdr:rowOff>
    </xdr:from>
    <xdr:ext cx="578784" cy="528772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6242" y="45523848"/>
          <a:ext cx="578784" cy="528772"/>
        </a:xfrm>
        <a:prstGeom prst="rect">
          <a:avLst/>
        </a:prstGeom>
      </xdr:spPr>
    </xdr:pic>
    <xdr:clientData/>
  </xdr:oneCellAnchor>
  <xdr:oneCellAnchor>
    <xdr:from>
      <xdr:col>0</xdr:col>
      <xdr:colOff>79132</xdr:colOff>
      <xdr:row>157</xdr:row>
      <xdr:rowOff>54241</xdr:rowOff>
    </xdr:from>
    <xdr:ext cx="501893" cy="490778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32" y="45536116"/>
          <a:ext cx="501893" cy="49077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438150</xdr:colOff>
      <xdr:row>1</xdr:row>
      <xdr:rowOff>47625</xdr:rowOff>
    </xdr:from>
    <xdr:to>
      <xdr:col>28</xdr:col>
      <xdr:colOff>47625</xdr:colOff>
      <xdr:row>3</xdr:row>
      <xdr:rowOff>73474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06375" y="142875"/>
          <a:ext cx="581025" cy="521149"/>
        </a:xfrm>
        <a:prstGeom prst="rect">
          <a:avLst/>
        </a:prstGeom>
      </xdr:spPr>
    </xdr:pic>
    <xdr:clientData/>
  </xdr:twoCellAnchor>
  <xdr:twoCellAnchor editAs="oneCell">
    <xdr:from>
      <xdr:col>0</xdr:col>
      <xdr:colOff>162616</xdr:colOff>
      <xdr:row>1</xdr:row>
      <xdr:rowOff>0</xdr:rowOff>
    </xdr:from>
    <xdr:to>
      <xdr:col>1</xdr:col>
      <xdr:colOff>193302</xdr:colOff>
      <xdr:row>3</xdr:row>
      <xdr:rowOff>46357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16" y="95250"/>
          <a:ext cx="554561" cy="541657"/>
        </a:xfrm>
        <a:prstGeom prst="rect">
          <a:avLst/>
        </a:prstGeom>
      </xdr:spPr>
    </xdr:pic>
    <xdr:clientData/>
  </xdr:twoCellAnchor>
  <xdr:oneCellAnchor>
    <xdr:from>
      <xdr:col>27</xdr:col>
      <xdr:colOff>51549</xdr:colOff>
      <xdr:row>40</xdr:row>
      <xdr:rowOff>85164</xdr:rowOff>
    </xdr:from>
    <xdr:ext cx="544599" cy="497541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5549" y="11286564"/>
          <a:ext cx="544599" cy="497541"/>
        </a:xfrm>
        <a:prstGeom prst="rect">
          <a:avLst/>
        </a:prstGeom>
      </xdr:spPr>
    </xdr:pic>
    <xdr:clientData/>
  </xdr:oneCellAnchor>
  <xdr:oneCellAnchor>
    <xdr:from>
      <xdr:col>0</xdr:col>
      <xdr:colOff>90339</xdr:colOff>
      <xdr:row>40</xdr:row>
      <xdr:rowOff>64433</xdr:rowOff>
    </xdr:from>
    <xdr:ext cx="492367" cy="481463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39" y="11265833"/>
          <a:ext cx="492367" cy="481463"/>
        </a:xfrm>
        <a:prstGeom prst="rect">
          <a:avLst/>
        </a:prstGeom>
      </xdr:spPr>
    </xdr:pic>
    <xdr:clientData/>
  </xdr:oneCellAnchor>
  <xdr:oneCellAnchor>
    <xdr:from>
      <xdr:col>27</xdr:col>
      <xdr:colOff>85165</xdr:colOff>
      <xdr:row>79</xdr:row>
      <xdr:rowOff>85165</xdr:rowOff>
    </xdr:from>
    <xdr:ext cx="495537" cy="452718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39165" y="22707040"/>
          <a:ext cx="495537" cy="452718"/>
        </a:xfrm>
        <a:prstGeom prst="rect">
          <a:avLst/>
        </a:prstGeom>
      </xdr:spPr>
    </xdr:pic>
    <xdr:clientData/>
  </xdr:oneCellAnchor>
  <xdr:oneCellAnchor>
    <xdr:from>
      <xdr:col>0</xdr:col>
      <xdr:colOff>79133</xdr:colOff>
      <xdr:row>79</xdr:row>
      <xdr:rowOff>75641</xdr:rowOff>
    </xdr:from>
    <xdr:ext cx="458749" cy="44859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33" y="22697516"/>
          <a:ext cx="458749" cy="448590"/>
        </a:xfrm>
        <a:prstGeom prst="rect">
          <a:avLst/>
        </a:prstGeom>
      </xdr:spPr>
    </xdr:pic>
    <xdr:clientData/>
  </xdr:oneCellAnchor>
  <xdr:oneCellAnchor>
    <xdr:from>
      <xdr:col>27</xdr:col>
      <xdr:colOff>40341</xdr:colOff>
      <xdr:row>118</xdr:row>
      <xdr:rowOff>108421</xdr:rowOff>
    </xdr:from>
    <xdr:ext cx="550209" cy="502666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94341" y="34169821"/>
          <a:ext cx="550209" cy="502666"/>
        </a:xfrm>
        <a:prstGeom prst="rect">
          <a:avLst/>
        </a:prstGeom>
      </xdr:spPr>
    </xdr:pic>
    <xdr:clientData/>
  </xdr:oneCellAnchor>
  <xdr:oneCellAnchor>
    <xdr:from>
      <xdr:col>0</xdr:col>
      <xdr:colOff>79132</xdr:colOff>
      <xdr:row>118</xdr:row>
      <xdr:rowOff>68320</xdr:rowOff>
    </xdr:from>
    <xdr:ext cx="530468" cy="518721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32" y="34129720"/>
          <a:ext cx="530468" cy="518721"/>
        </a:xfrm>
        <a:prstGeom prst="rect">
          <a:avLst/>
        </a:prstGeom>
      </xdr:spPr>
    </xdr:pic>
    <xdr:clientData/>
  </xdr:oneCellAnchor>
  <xdr:oneCellAnchor>
    <xdr:from>
      <xdr:col>27</xdr:col>
      <xdr:colOff>40342</xdr:colOff>
      <xdr:row>157</xdr:row>
      <xdr:rowOff>41973</xdr:rowOff>
    </xdr:from>
    <xdr:ext cx="578784" cy="528772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94342" y="45523848"/>
          <a:ext cx="578784" cy="528772"/>
        </a:xfrm>
        <a:prstGeom prst="rect">
          <a:avLst/>
        </a:prstGeom>
      </xdr:spPr>
    </xdr:pic>
    <xdr:clientData/>
  </xdr:oneCellAnchor>
  <xdr:oneCellAnchor>
    <xdr:from>
      <xdr:col>0</xdr:col>
      <xdr:colOff>79132</xdr:colOff>
      <xdr:row>157</xdr:row>
      <xdr:rowOff>54241</xdr:rowOff>
    </xdr:from>
    <xdr:ext cx="501893" cy="490778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32" y="45536116"/>
          <a:ext cx="501893" cy="490778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214032</xdr:colOff>
      <xdr:row>1</xdr:row>
      <xdr:rowOff>25213</xdr:rowOff>
    </xdr:from>
    <xdr:to>
      <xdr:col>27</xdr:col>
      <xdr:colOff>313765</xdr:colOff>
      <xdr:row>3</xdr:row>
      <xdr:rowOff>56029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01357" y="120463"/>
          <a:ext cx="585508" cy="526116"/>
        </a:xfrm>
        <a:prstGeom prst="rect">
          <a:avLst/>
        </a:prstGeom>
      </xdr:spPr>
    </xdr:pic>
    <xdr:clientData/>
  </xdr:twoCellAnchor>
  <xdr:twoCellAnchor editAs="oneCell">
    <xdr:from>
      <xdr:col>0</xdr:col>
      <xdr:colOff>162616</xdr:colOff>
      <xdr:row>1</xdr:row>
      <xdr:rowOff>0</xdr:rowOff>
    </xdr:from>
    <xdr:to>
      <xdr:col>1</xdr:col>
      <xdr:colOff>246530</xdr:colOff>
      <xdr:row>3</xdr:row>
      <xdr:rowOff>22412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16" y="95250"/>
          <a:ext cx="712564" cy="517712"/>
        </a:xfrm>
        <a:prstGeom prst="rect">
          <a:avLst/>
        </a:prstGeom>
      </xdr:spPr>
    </xdr:pic>
    <xdr:clientData/>
  </xdr:twoCellAnchor>
  <xdr:oneCellAnchor>
    <xdr:from>
      <xdr:col>27</xdr:col>
      <xdr:colOff>51549</xdr:colOff>
      <xdr:row>40</xdr:row>
      <xdr:rowOff>85164</xdr:rowOff>
    </xdr:from>
    <xdr:ext cx="544599" cy="497541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24649" y="11286564"/>
          <a:ext cx="544599" cy="497541"/>
        </a:xfrm>
        <a:prstGeom prst="rect">
          <a:avLst/>
        </a:prstGeom>
      </xdr:spPr>
    </xdr:pic>
    <xdr:clientData/>
  </xdr:oneCellAnchor>
  <xdr:oneCellAnchor>
    <xdr:from>
      <xdr:col>0</xdr:col>
      <xdr:colOff>90339</xdr:colOff>
      <xdr:row>40</xdr:row>
      <xdr:rowOff>64433</xdr:rowOff>
    </xdr:from>
    <xdr:ext cx="492367" cy="481463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39" y="11265833"/>
          <a:ext cx="492367" cy="481463"/>
        </a:xfrm>
        <a:prstGeom prst="rect">
          <a:avLst/>
        </a:prstGeom>
      </xdr:spPr>
    </xdr:pic>
    <xdr:clientData/>
  </xdr:oneCellAnchor>
  <xdr:oneCellAnchor>
    <xdr:from>
      <xdr:col>27</xdr:col>
      <xdr:colOff>85165</xdr:colOff>
      <xdr:row>79</xdr:row>
      <xdr:rowOff>85165</xdr:rowOff>
    </xdr:from>
    <xdr:ext cx="495537" cy="452718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58265" y="22707040"/>
          <a:ext cx="495537" cy="452718"/>
        </a:xfrm>
        <a:prstGeom prst="rect">
          <a:avLst/>
        </a:prstGeom>
      </xdr:spPr>
    </xdr:pic>
    <xdr:clientData/>
  </xdr:oneCellAnchor>
  <xdr:oneCellAnchor>
    <xdr:from>
      <xdr:col>0</xdr:col>
      <xdr:colOff>79133</xdr:colOff>
      <xdr:row>79</xdr:row>
      <xdr:rowOff>75641</xdr:rowOff>
    </xdr:from>
    <xdr:ext cx="458749" cy="44859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33" y="22697516"/>
          <a:ext cx="458749" cy="448590"/>
        </a:xfrm>
        <a:prstGeom prst="rect">
          <a:avLst/>
        </a:prstGeom>
      </xdr:spPr>
    </xdr:pic>
    <xdr:clientData/>
  </xdr:oneCellAnchor>
  <xdr:oneCellAnchor>
    <xdr:from>
      <xdr:col>27</xdr:col>
      <xdr:colOff>40341</xdr:colOff>
      <xdr:row>118</xdr:row>
      <xdr:rowOff>108421</xdr:rowOff>
    </xdr:from>
    <xdr:ext cx="550209" cy="502666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441" y="34169821"/>
          <a:ext cx="550209" cy="502666"/>
        </a:xfrm>
        <a:prstGeom prst="rect">
          <a:avLst/>
        </a:prstGeom>
      </xdr:spPr>
    </xdr:pic>
    <xdr:clientData/>
  </xdr:oneCellAnchor>
  <xdr:oneCellAnchor>
    <xdr:from>
      <xdr:col>0</xdr:col>
      <xdr:colOff>79132</xdr:colOff>
      <xdr:row>118</xdr:row>
      <xdr:rowOff>68320</xdr:rowOff>
    </xdr:from>
    <xdr:ext cx="530468" cy="518721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32" y="34129720"/>
          <a:ext cx="530468" cy="518721"/>
        </a:xfrm>
        <a:prstGeom prst="rect">
          <a:avLst/>
        </a:prstGeom>
      </xdr:spPr>
    </xdr:pic>
    <xdr:clientData/>
  </xdr:oneCellAnchor>
  <xdr:oneCellAnchor>
    <xdr:from>
      <xdr:col>27</xdr:col>
      <xdr:colOff>40342</xdr:colOff>
      <xdr:row>157</xdr:row>
      <xdr:rowOff>41973</xdr:rowOff>
    </xdr:from>
    <xdr:ext cx="578784" cy="528772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442" y="45523848"/>
          <a:ext cx="578784" cy="528772"/>
        </a:xfrm>
        <a:prstGeom prst="rect">
          <a:avLst/>
        </a:prstGeom>
      </xdr:spPr>
    </xdr:pic>
    <xdr:clientData/>
  </xdr:oneCellAnchor>
  <xdr:oneCellAnchor>
    <xdr:from>
      <xdr:col>0</xdr:col>
      <xdr:colOff>79132</xdr:colOff>
      <xdr:row>157</xdr:row>
      <xdr:rowOff>54241</xdr:rowOff>
    </xdr:from>
    <xdr:ext cx="501893" cy="490778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32" y="45536116"/>
          <a:ext cx="501893" cy="490778"/>
        </a:xfrm>
        <a:prstGeom prst="rect">
          <a:avLst/>
        </a:prstGeom>
      </xdr:spPr>
    </xdr:pic>
    <xdr:clientData/>
  </xdr:oneCellAnchor>
  <xdr:twoCellAnchor editAs="oneCell">
    <xdr:from>
      <xdr:col>26</xdr:col>
      <xdr:colOff>214032</xdr:colOff>
      <xdr:row>1</xdr:row>
      <xdr:rowOff>25213</xdr:rowOff>
    </xdr:from>
    <xdr:to>
      <xdr:col>27</xdr:col>
      <xdr:colOff>313765</xdr:colOff>
      <xdr:row>3</xdr:row>
      <xdr:rowOff>56029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01357" y="120463"/>
          <a:ext cx="585508" cy="526116"/>
        </a:xfrm>
        <a:prstGeom prst="rect">
          <a:avLst/>
        </a:prstGeom>
      </xdr:spPr>
    </xdr:pic>
    <xdr:clientData/>
  </xdr:twoCellAnchor>
  <xdr:twoCellAnchor editAs="oneCell">
    <xdr:from>
      <xdr:col>0</xdr:col>
      <xdr:colOff>162616</xdr:colOff>
      <xdr:row>1</xdr:row>
      <xdr:rowOff>0</xdr:rowOff>
    </xdr:from>
    <xdr:to>
      <xdr:col>1</xdr:col>
      <xdr:colOff>246530</xdr:colOff>
      <xdr:row>3</xdr:row>
      <xdr:rowOff>22412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16" y="95250"/>
          <a:ext cx="712564" cy="517712"/>
        </a:xfrm>
        <a:prstGeom prst="rect">
          <a:avLst/>
        </a:prstGeom>
      </xdr:spPr>
    </xdr:pic>
    <xdr:clientData/>
  </xdr:twoCellAnchor>
  <xdr:oneCellAnchor>
    <xdr:from>
      <xdr:col>27</xdr:col>
      <xdr:colOff>51549</xdr:colOff>
      <xdr:row>40</xdr:row>
      <xdr:rowOff>85164</xdr:rowOff>
    </xdr:from>
    <xdr:ext cx="544599" cy="497541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24649" y="11286564"/>
          <a:ext cx="544599" cy="497541"/>
        </a:xfrm>
        <a:prstGeom prst="rect">
          <a:avLst/>
        </a:prstGeom>
      </xdr:spPr>
    </xdr:pic>
    <xdr:clientData/>
  </xdr:oneCellAnchor>
  <xdr:oneCellAnchor>
    <xdr:from>
      <xdr:col>0</xdr:col>
      <xdr:colOff>90339</xdr:colOff>
      <xdr:row>40</xdr:row>
      <xdr:rowOff>64433</xdr:rowOff>
    </xdr:from>
    <xdr:ext cx="492367" cy="481463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39" y="11265833"/>
          <a:ext cx="492367" cy="481463"/>
        </a:xfrm>
        <a:prstGeom prst="rect">
          <a:avLst/>
        </a:prstGeom>
      </xdr:spPr>
    </xdr:pic>
    <xdr:clientData/>
  </xdr:oneCellAnchor>
  <xdr:oneCellAnchor>
    <xdr:from>
      <xdr:col>27</xdr:col>
      <xdr:colOff>85165</xdr:colOff>
      <xdr:row>79</xdr:row>
      <xdr:rowOff>85165</xdr:rowOff>
    </xdr:from>
    <xdr:ext cx="495537" cy="452718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58265" y="22707040"/>
          <a:ext cx="495537" cy="452718"/>
        </a:xfrm>
        <a:prstGeom prst="rect">
          <a:avLst/>
        </a:prstGeom>
      </xdr:spPr>
    </xdr:pic>
    <xdr:clientData/>
  </xdr:oneCellAnchor>
  <xdr:oneCellAnchor>
    <xdr:from>
      <xdr:col>0</xdr:col>
      <xdr:colOff>79133</xdr:colOff>
      <xdr:row>79</xdr:row>
      <xdr:rowOff>75641</xdr:rowOff>
    </xdr:from>
    <xdr:ext cx="458749" cy="44859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33" y="22697516"/>
          <a:ext cx="458749" cy="448590"/>
        </a:xfrm>
        <a:prstGeom prst="rect">
          <a:avLst/>
        </a:prstGeom>
      </xdr:spPr>
    </xdr:pic>
    <xdr:clientData/>
  </xdr:oneCellAnchor>
  <xdr:oneCellAnchor>
    <xdr:from>
      <xdr:col>27</xdr:col>
      <xdr:colOff>40341</xdr:colOff>
      <xdr:row>118</xdr:row>
      <xdr:rowOff>108421</xdr:rowOff>
    </xdr:from>
    <xdr:ext cx="550209" cy="502666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441" y="34169821"/>
          <a:ext cx="550209" cy="502666"/>
        </a:xfrm>
        <a:prstGeom prst="rect">
          <a:avLst/>
        </a:prstGeom>
      </xdr:spPr>
    </xdr:pic>
    <xdr:clientData/>
  </xdr:oneCellAnchor>
  <xdr:oneCellAnchor>
    <xdr:from>
      <xdr:col>0</xdr:col>
      <xdr:colOff>79132</xdr:colOff>
      <xdr:row>118</xdr:row>
      <xdr:rowOff>68320</xdr:rowOff>
    </xdr:from>
    <xdr:ext cx="530468" cy="518721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32" y="34129720"/>
          <a:ext cx="530468" cy="518721"/>
        </a:xfrm>
        <a:prstGeom prst="rect">
          <a:avLst/>
        </a:prstGeom>
      </xdr:spPr>
    </xdr:pic>
    <xdr:clientData/>
  </xdr:oneCellAnchor>
  <xdr:oneCellAnchor>
    <xdr:from>
      <xdr:col>27</xdr:col>
      <xdr:colOff>40342</xdr:colOff>
      <xdr:row>157</xdr:row>
      <xdr:rowOff>41973</xdr:rowOff>
    </xdr:from>
    <xdr:ext cx="578784" cy="528772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442" y="45523848"/>
          <a:ext cx="578784" cy="528772"/>
        </a:xfrm>
        <a:prstGeom prst="rect">
          <a:avLst/>
        </a:prstGeom>
      </xdr:spPr>
    </xdr:pic>
    <xdr:clientData/>
  </xdr:oneCellAnchor>
  <xdr:oneCellAnchor>
    <xdr:from>
      <xdr:col>0</xdr:col>
      <xdr:colOff>79132</xdr:colOff>
      <xdr:row>157</xdr:row>
      <xdr:rowOff>54241</xdr:rowOff>
    </xdr:from>
    <xdr:ext cx="501893" cy="490778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32" y="45536116"/>
          <a:ext cx="501893" cy="49077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00"/>
  </sheetPr>
  <dimension ref="A1:AF196"/>
  <sheetViews>
    <sheetView view="pageBreakPreview" topLeftCell="A61" zoomScale="78" zoomScaleNormal="100" zoomScaleSheetLayoutView="78" workbookViewId="0">
      <selection activeCell="N76" sqref="N76:P79"/>
    </sheetView>
  </sheetViews>
  <sheetFormatPr defaultColWidth="9.109375" defaultRowHeight="14.4" x14ac:dyDescent="0.3"/>
  <cols>
    <col min="1" max="1" width="8.5546875" style="1" customWidth="1"/>
    <col min="2" max="2" width="6.6640625" style="1" customWidth="1"/>
    <col min="3" max="3" width="11.5546875" style="1" customWidth="1"/>
    <col min="4" max="4" width="6.44140625" style="1" customWidth="1"/>
    <col min="5" max="7" width="7.33203125" style="1" customWidth="1"/>
    <col min="8" max="8" width="8.6640625" style="1" customWidth="1"/>
    <col min="9" max="9" width="8.33203125" style="1" customWidth="1"/>
    <col min="10" max="10" width="8.6640625" style="1" customWidth="1"/>
    <col min="11" max="11" width="11.6640625" style="1" customWidth="1"/>
    <col min="12" max="12" width="9.33203125" style="1" customWidth="1"/>
    <col min="13" max="28" width="7.6640625" style="1" customWidth="1"/>
    <col min="29" max="29" width="7.33203125" style="1" customWidth="1"/>
    <col min="30" max="16384" width="9.109375" style="1"/>
  </cols>
  <sheetData>
    <row r="1" spans="1:32" ht="7.5" customHeight="1" x14ac:dyDescent="0.3"/>
    <row r="2" spans="1:32" ht="18" customHeight="1" x14ac:dyDescent="0.45">
      <c r="A2" s="158" t="s">
        <v>15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</row>
    <row r="3" spans="1:32" ht="21" customHeight="1" x14ac:dyDescent="0.3">
      <c r="A3" s="159" t="s">
        <v>16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2"/>
      <c r="Y3" s="160" t="s">
        <v>17</v>
      </c>
      <c r="Z3" s="160"/>
      <c r="AA3" s="2"/>
      <c r="AB3" s="2"/>
      <c r="AC3" s="2"/>
    </row>
    <row r="4" spans="1:32" ht="30.9" customHeight="1" x14ac:dyDescent="0.3">
      <c r="A4" s="161" t="s">
        <v>93</v>
      </c>
      <c r="B4" s="161"/>
      <c r="C4" s="161"/>
      <c r="D4" s="161"/>
      <c r="E4" s="162" t="s">
        <v>94</v>
      </c>
      <c r="F4" s="162"/>
      <c r="G4" s="162"/>
      <c r="H4" s="162"/>
      <c r="I4" s="163" t="s">
        <v>20</v>
      </c>
      <c r="J4" s="163"/>
      <c r="K4" s="164" t="s">
        <v>95</v>
      </c>
      <c r="L4" s="164"/>
      <c r="M4" s="163" t="s">
        <v>21</v>
      </c>
      <c r="N4" s="163"/>
      <c r="O4" s="165" t="s">
        <v>96</v>
      </c>
      <c r="P4" s="165"/>
      <c r="Q4" s="165"/>
      <c r="R4" s="165"/>
      <c r="S4" s="43"/>
      <c r="T4" s="166" t="s">
        <v>22</v>
      </c>
      <c r="U4" s="166"/>
      <c r="V4" s="166"/>
      <c r="W4" s="166"/>
      <c r="X4" s="166"/>
      <c r="Y4" s="152" t="s">
        <v>23</v>
      </c>
      <c r="Z4" s="152"/>
      <c r="AA4" s="152"/>
      <c r="AB4" s="153" t="s">
        <v>83</v>
      </c>
      <c r="AC4" s="153"/>
    </row>
    <row r="5" spans="1:32" ht="5.25" customHeight="1" x14ac:dyDescent="0.3">
      <c r="T5" s="166"/>
      <c r="U5" s="166"/>
      <c r="V5" s="166"/>
      <c r="W5" s="166"/>
      <c r="X5" s="166"/>
      <c r="Y5" s="152"/>
      <c r="Z5" s="152"/>
      <c r="AA5" s="152"/>
      <c r="AB5" s="153"/>
      <c r="AC5" s="153"/>
    </row>
    <row r="6" spans="1:32" ht="18.75" customHeight="1" x14ac:dyDescent="0.35">
      <c r="A6" s="154" t="s">
        <v>24</v>
      </c>
      <c r="B6" s="154"/>
      <c r="C6" s="154"/>
      <c r="D6" s="154"/>
      <c r="E6" s="154"/>
      <c r="F6" s="154"/>
      <c r="G6" s="154"/>
      <c r="H6" s="155" t="s">
        <v>97</v>
      </c>
      <c r="I6" s="155"/>
      <c r="J6" s="155"/>
      <c r="K6" s="155"/>
      <c r="L6" s="155"/>
      <c r="M6" s="155"/>
      <c r="N6" s="155"/>
      <c r="O6" s="44"/>
      <c r="P6" s="44"/>
      <c r="T6" s="156" t="s">
        <v>26</v>
      </c>
      <c r="U6" s="156"/>
      <c r="V6" s="156"/>
      <c r="W6" s="156"/>
      <c r="X6" s="156"/>
      <c r="Y6" s="156"/>
      <c r="Z6" s="157"/>
      <c r="AA6" s="156"/>
      <c r="AB6" s="156"/>
      <c r="AC6" s="156"/>
      <c r="AE6" s="1" t="s">
        <v>28</v>
      </c>
      <c r="AF6" s="1" t="s">
        <v>28</v>
      </c>
    </row>
    <row r="7" spans="1:32" ht="7.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32" ht="15" customHeight="1" x14ac:dyDescent="0.3">
      <c r="A8" s="186" t="s">
        <v>29</v>
      </c>
      <c r="B8" s="187"/>
      <c r="C8" s="187"/>
      <c r="D8" s="187"/>
      <c r="E8" s="187"/>
      <c r="F8" s="187"/>
      <c r="G8" s="187"/>
      <c r="H8" s="187"/>
      <c r="I8" s="187"/>
      <c r="J8" s="188"/>
      <c r="K8" s="167" t="s">
        <v>30</v>
      </c>
      <c r="L8" s="168"/>
      <c r="M8" s="167" t="s">
        <v>31</v>
      </c>
      <c r="N8" s="168"/>
      <c r="O8" s="189" t="s">
        <v>32</v>
      </c>
      <c r="P8" s="190"/>
      <c r="Q8" s="191"/>
      <c r="R8" s="167" t="s">
        <v>33</v>
      </c>
      <c r="S8" s="198"/>
      <c r="T8" s="168"/>
      <c r="U8" s="183" t="s">
        <v>34</v>
      </c>
      <c r="V8" s="184"/>
      <c r="W8" s="184"/>
      <c r="X8" s="184"/>
      <c r="Y8" s="184"/>
      <c r="Z8" s="184"/>
      <c r="AA8" s="185"/>
      <c r="AB8" s="167" t="s">
        <v>7</v>
      </c>
      <c r="AC8" s="168"/>
    </row>
    <row r="9" spans="1:32" ht="23.25" customHeight="1" x14ac:dyDescent="0.3">
      <c r="A9" s="169" t="s">
        <v>35</v>
      </c>
      <c r="B9" s="173"/>
      <c r="C9" s="173"/>
      <c r="D9" s="173"/>
      <c r="E9" s="173"/>
      <c r="F9" s="173"/>
      <c r="G9" s="173"/>
      <c r="H9" s="173"/>
      <c r="I9" s="173"/>
      <c r="J9" s="170"/>
      <c r="K9" s="169"/>
      <c r="L9" s="170"/>
      <c r="M9" s="169"/>
      <c r="N9" s="170"/>
      <c r="O9" s="192"/>
      <c r="P9" s="193"/>
      <c r="Q9" s="194"/>
      <c r="R9" s="169"/>
      <c r="S9" s="173"/>
      <c r="T9" s="170"/>
      <c r="U9" s="175" t="s">
        <v>36</v>
      </c>
      <c r="V9" s="175"/>
      <c r="W9" s="175"/>
      <c r="X9" s="175" t="s">
        <v>37</v>
      </c>
      <c r="Y9" s="175"/>
      <c r="Z9" s="175" t="s">
        <v>38</v>
      </c>
      <c r="AA9" s="175"/>
      <c r="AB9" s="169"/>
      <c r="AC9" s="170"/>
    </row>
    <row r="10" spans="1:32" x14ac:dyDescent="0.3">
      <c r="A10" s="171"/>
      <c r="B10" s="174"/>
      <c r="C10" s="174"/>
      <c r="D10" s="174"/>
      <c r="E10" s="174"/>
      <c r="F10" s="174"/>
      <c r="G10" s="174"/>
      <c r="H10" s="174"/>
      <c r="I10" s="174"/>
      <c r="J10" s="172"/>
      <c r="K10" s="171"/>
      <c r="L10" s="172"/>
      <c r="M10" s="171"/>
      <c r="N10" s="172"/>
      <c r="O10" s="195"/>
      <c r="P10" s="196"/>
      <c r="Q10" s="197"/>
      <c r="R10" s="171"/>
      <c r="S10" s="174"/>
      <c r="T10" s="172"/>
      <c r="U10" s="176"/>
      <c r="V10" s="176"/>
      <c r="W10" s="176"/>
      <c r="X10" s="176"/>
      <c r="Y10" s="176"/>
      <c r="Z10" s="176"/>
      <c r="AA10" s="176"/>
      <c r="AB10" s="171"/>
      <c r="AC10" s="172"/>
    </row>
    <row r="11" spans="1:32" ht="18" customHeight="1" x14ac:dyDescent="0.3">
      <c r="A11" s="177" t="s">
        <v>39</v>
      </c>
      <c r="B11" s="178"/>
      <c r="C11" s="178"/>
      <c r="D11" s="178"/>
      <c r="E11" s="178"/>
      <c r="F11" s="178"/>
      <c r="G11" s="178"/>
      <c r="H11" s="178"/>
      <c r="I11" s="178"/>
      <c r="J11" s="179"/>
      <c r="K11" s="180">
        <v>2</v>
      </c>
      <c r="L11" s="181"/>
      <c r="M11" s="180">
        <v>0</v>
      </c>
      <c r="N11" s="181"/>
      <c r="O11" s="180">
        <v>0</v>
      </c>
      <c r="P11" s="182"/>
      <c r="Q11" s="181"/>
      <c r="R11" s="183">
        <v>2</v>
      </c>
      <c r="S11" s="184"/>
      <c r="T11" s="185"/>
      <c r="U11" s="180">
        <v>0</v>
      </c>
      <c r="V11" s="182"/>
      <c r="W11" s="181"/>
      <c r="X11" s="180">
        <v>0</v>
      </c>
      <c r="Y11" s="181"/>
      <c r="Z11" s="180">
        <v>1</v>
      </c>
      <c r="AA11" s="181"/>
      <c r="AB11" s="199">
        <v>3</v>
      </c>
      <c r="AC11" s="200"/>
    </row>
    <row r="12" spans="1:32" ht="18" customHeight="1" x14ac:dyDescent="0.3">
      <c r="A12" s="177" t="s">
        <v>40</v>
      </c>
      <c r="B12" s="178"/>
      <c r="C12" s="178"/>
      <c r="D12" s="178"/>
      <c r="E12" s="178"/>
      <c r="F12" s="178"/>
      <c r="G12" s="178"/>
      <c r="H12" s="178"/>
      <c r="I12" s="178"/>
      <c r="J12" s="179"/>
      <c r="K12" s="180">
        <v>0</v>
      </c>
      <c r="L12" s="181"/>
      <c r="M12" s="180">
        <v>0</v>
      </c>
      <c r="N12" s="181"/>
      <c r="O12" s="180">
        <v>0</v>
      </c>
      <c r="P12" s="182"/>
      <c r="Q12" s="181"/>
      <c r="R12" s="183">
        <v>0</v>
      </c>
      <c r="S12" s="184"/>
      <c r="T12" s="185"/>
      <c r="U12" s="180">
        <v>0</v>
      </c>
      <c r="V12" s="182"/>
      <c r="W12" s="181"/>
      <c r="X12" s="180">
        <v>0</v>
      </c>
      <c r="Y12" s="181"/>
      <c r="Z12" s="180">
        <v>0</v>
      </c>
      <c r="AA12" s="181"/>
      <c r="AB12" s="199">
        <v>0</v>
      </c>
      <c r="AC12" s="200"/>
    </row>
    <row r="13" spans="1:32" ht="18" customHeight="1" x14ac:dyDescent="0.3">
      <c r="A13" s="177" t="s">
        <v>41</v>
      </c>
      <c r="B13" s="178"/>
      <c r="C13" s="178"/>
      <c r="D13" s="178"/>
      <c r="E13" s="178"/>
      <c r="F13" s="178"/>
      <c r="G13" s="178"/>
      <c r="H13" s="178"/>
      <c r="I13" s="178"/>
      <c r="J13" s="179"/>
      <c r="K13" s="180">
        <v>0</v>
      </c>
      <c r="L13" s="181"/>
      <c r="M13" s="180">
        <v>0</v>
      </c>
      <c r="N13" s="181"/>
      <c r="O13" s="180">
        <v>0</v>
      </c>
      <c r="P13" s="182"/>
      <c r="Q13" s="181"/>
      <c r="R13" s="183">
        <v>0</v>
      </c>
      <c r="S13" s="184"/>
      <c r="T13" s="185"/>
      <c r="U13" s="180">
        <v>0</v>
      </c>
      <c r="V13" s="182"/>
      <c r="W13" s="181"/>
      <c r="X13" s="180">
        <v>0</v>
      </c>
      <c r="Y13" s="181"/>
      <c r="Z13" s="180">
        <v>0</v>
      </c>
      <c r="AA13" s="181"/>
      <c r="AB13" s="199">
        <v>0</v>
      </c>
      <c r="AC13" s="200"/>
    </row>
    <row r="14" spans="1:32" ht="18" customHeight="1" x14ac:dyDescent="0.3">
      <c r="A14" s="177" t="s">
        <v>42</v>
      </c>
      <c r="B14" s="178"/>
      <c r="C14" s="178"/>
      <c r="D14" s="178"/>
      <c r="E14" s="178"/>
      <c r="F14" s="178"/>
      <c r="G14" s="178"/>
      <c r="H14" s="178"/>
      <c r="I14" s="178"/>
      <c r="J14" s="179"/>
      <c r="K14" s="180">
        <v>1</v>
      </c>
      <c r="L14" s="181"/>
      <c r="M14" s="180">
        <v>0</v>
      </c>
      <c r="N14" s="181"/>
      <c r="O14" s="180">
        <v>0</v>
      </c>
      <c r="P14" s="182"/>
      <c r="Q14" s="181"/>
      <c r="R14" s="183">
        <v>1</v>
      </c>
      <c r="S14" s="184"/>
      <c r="T14" s="185"/>
      <c r="U14" s="180">
        <v>0</v>
      </c>
      <c r="V14" s="182"/>
      <c r="W14" s="181"/>
      <c r="X14" s="180">
        <v>0</v>
      </c>
      <c r="Y14" s="181"/>
      <c r="Z14" s="180">
        <v>0</v>
      </c>
      <c r="AA14" s="181"/>
      <c r="AB14" s="199">
        <v>1</v>
      </c>
      <c r="AC14" s="200"/>
    </row>
    <row r="15" spans="1:32" ht="18" customHeight="1" x14ac:dyDescent="0.3">
      <c r="A15" s="177" t="s">
        <v>7</v>
      </c>
      <c r="B15" s="178"/>
      <c r="C15" s="178"/>
      <c r="D15" s="178"/>
      <c r="E15" s="178"/>
      <c r="F15" s="178"/>
      <c r="G15" s="178"/>
      <c r="H15" s="178"/>
      <c r="I15" s="178"/>
      <c r="J15" s="179"/>
      <c r="K15" s="183">
        <v>3</v>
      </c>
      <c r="L15" s="185"/>
      <c r="M15" s="183">
        <v>0</v>
      </c>
      <c r="N15" s="185"/>
      <c r="O15" s="183">
        <v>0</v>
      </c>
      <c r="P15" s="184"/>
      <c r="Q15" s="185"/>
      <c r="R15" s="183">
        <v>3</v>
      </c>
      <c r="S15" s="184"/>
      <c r="T15" s="185"/>
      <c r="U15" s="183">
        <v>0</v>
      </c>
      <c r="V15" s="184"/>
      <c r="W15" s="185"/>
      <c r="X15" s="183">
        <v>0</v>
      </c>
      <c r="Y15" s="185"/>
      <c r="Z15" s="183">
        <v>1</v>
      </c>
      <c r="AA15" s="185"/>
      <c r="AB15" s="183">
        <v>4</v>
      </c>
      <c r="AC15" s="185"/>
    </row>
    <row r="16" spans="1:32" ht="15.6" x14ac:dyDescent="0.3">
      <c r="A16" s="45" t="s">
        <v>43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7"/>
      <c r="V16" s="47"/>
      <c r="W16" s="47"/>
      <c r="X16" s="47"/>
      <c r="Y16" s="47"/>
      <c r="Z16" s="47"/>
      <c r="AA16" s="47"/>
      <c r="AB16" s="47"/>
      <c r="AC16" s="4"/>
    </row>
    <row r="17" spans="1:32" ht="21.75" customHeight="1" x14ac:dyDescent="0.3">
      <c r="A17" s="205"/>
      <c r="B17" s="206"/>
      <c r="C17" s="206"/>
      <c r="D17" s="206"/>
      <c r="E17" s="206"/>
      <c r="F17" s="206"/>
      <c r="G17" s="206"/>
      <c r="H17" s="206"/>
      <c r="I17" s="206"/>
      <c r="J17" s="207"/>
      <c r="K17" s="183" t="s">
        <v>0</v>
      </c>
      <c r="L17" s="185"/>
      <c r="M17" s="211" t="s">
        <v>1</v>
      </c>
      <c r="N17" s="212"/>
      <c r="O17" s="201" t="s">
        <v>2</v>
      </c>
      <c r="P17" s="202"/>
      <c r="Q17" s="201" t="s">
        <v>3</v>
      </c>
      <c r="R17" s="202"/>
      <c r="S17" s="201" t="s">
        <v>4</v>
      </c>
      <c r="T17" s="202"/>
      <c r="U17" s="201" t="s">
        <v>5</v>
      </c>
      <c r="V17" s="202"/>
      <c r="W17" s="201" t="s">
        <v>6</v>
      </c>
      <c r="X17" s="202"/>
      <c r="Y17" s="201" t="s">
        <v>44</v>
      </c>
      <c r="Z17" s="202"/>
      <c r="AA17" s="201" t="s">
        <v>7</v>
      </c>
      <c r="AB17" s="202"/>
      <c r="AC17" s="203" t="s">
        <v>86</v>
      </c>
      <c r="AD17" s="5"/>
      <c r="AE17" s="6"/>
      <c r="AF17" s="6"/>
    </row>
    <row r="18" spans="1:32" x14ac:dyDescent="0.3">
      <c r="A18" s="208"/>
      <c r="B18" s="209"/>
      <c r="C18" s="209"/>
      <c r="D18" s="209"/>
      <c r="E18" s="209"/>
      <c r="F18" s="209"/>
      <c r="G18" s="209"/>
      <c r="H18" s="209"/>
      <c r="I18" s="209"/>
      <c r="J18" s="210"/>
      <c r="K18" s="48" t="s">
        <v>9</v>
      </c>
      <c r="L18" s="48" t="s">
        <v>10</v>
      </c>
      <c r="M18" s="48" t="s">
        <v>9</v>
      </c>
      <c r="N18" s="48" t="s">
        <v>10</v>
      </c>
      <c r="O18" s="48" t="s">
        <v>9</v>
      </c>
      <c r="P18" s="48" t="s">
        <v>10</v>
      </c>
      <c r="Q18" s="48" t="s">
        <v>9</v>
      </c>
      <c r="R18" s="48" t="s">
        <v>10</v>
      </c>
      <c r="S18" s="48" t="s">
        <v>9</v>
      </c>
      <c r="T18" s="48" t="s">
        <v>10</v>
      </c>
      <c r="U18" s="48" t="s">
        <v>9</v>
      </c>
      <c r="V18" s="48" t="s">
        <v>10</v>
      </c>
      <c r="W18" s="48" t="s">
        <v>9</v>
      </c>
      <c r="X18" s="48" t="s">
        <v>10</v>
      </c>
      <c r="Y18" s="48" t="s">
        <v>9</v>
      </c>
      <c r="Z18" s="48" t="s">
        <v>10</v>
      </c>
      <c r="AA18" s="48" t="s">
        <v>9</v>
      </c>
      <c r="AB18" s="48" t="s">
        <v>10</v>
      </c>
      <c r="AC18" s="204"/>
    </row>
    <row r="19" spans="1:32" ht="18" customHeight="1" x14ac:dyDescent="0.3">
      <c r="A19" s="177" t="s">
        <v>39</v>
      </c>
      <c r="B19" s="178"/>
      <c r="C19" s="178"/>
      <c r="D19" s="178"/>
      <c r="E19" s="178"/>
      <c r="F19" s="178"/>
      <c r="G19" s="178"/>
      <c r="H19" s="178"/>
      <c r="I19" s="178"/>
      <c r="J19" s="179"/>
      <c r="K19" s="49">
        <v>0</v>
      </c>
      <c r="L19" s="49">
        <v>0</v>
      </c>
      <c r="M19" s="49">
        <v>0</v>
      </c>
      <c r="N19" s="49">
        <v>0</v>
      </c>
      <c r="O19" s="49">
        <v>1</v>
      </c>
      <c r="P19" s="49">
        <v>0</v>
      </c>
      <c r="Q19" s="49">
        <v>0</v>
      </c>
      <c r="R19" s="49">
        <v>0</v>
      </c>
      <c r="S19" s="49">
        <v>0</v>
      </c>
      <c r="T19" s="49">
        <v>0</v>
      </c>
      <c r="U19" s="49">
        <v>0</v>
      </c>
      <c r="V19" s="49">
        <v>0</v>
      </c>
      <c r="W19" s="49">
        <v>0</v>
      </c>
      <c r="X19" s="49">
        <v>0</v>
      </c>
      <c r="Y19" s="49">
        <v>0</v>
      </c>
      <c r="Z19" s="49">
        <v>1</v>
      </c>
      <c r="AA19" s="48">
        <v>1</v>
      </c>
      <c r="AB19" s="48">
        <v>1</v>
      </c>
      <c r="AC19" s="48">
        <v>2</v>
      </c>
    </row>
    <row r="20" spans="1:32" ht="18" customHeight="1" x14ac:dyDescent="0.3">
      <c r="A20" s="177" t="s">
        <v>40</v>
      </c>
      <c r="B20" s="178"/>
      <c r="C20" s="178"/>
      <c r="D20" s="178"/>
      <c r="E20" s="178"/>
      <c r="F20" s="178"/>
      <c r="G20" s="178"/>
      <c r="H20" s="178"/>
      <c r="I20" s="178"/>
      <c r="J20" s="179"/>
      <c r="K20" s="49">
        <v>0</v>
      </c>
      <c r="L20" s="49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  <c r="W20" s="49">
        <v>0</v>
      </c>
      <c r="X20" s="49">
        <v>0</v>
      </c>
      <c r="Y20" s="49">
        <v>0</v>
      </c>
      <c r="Z20" s="49">
        <v>0</v>
      </c>
      <c r="AA20" s="48">
        <v>0</v>
      </c>
      <c r="AB20" s="48">
        <v>0</v>
      </c>
      <c r="AC20" s="48">
        <v>0</v>
      </c>
    </row>
    <row r="21" spans="1:32" ht="18" customHeight="1" x14ac:dyDescent="0.3">
      <c r="A21" s="177" t="s">
        <v>41</v>
      </c>
      <c r="B21" s="178"/>
      <c r="C21" s="178"/>
      <c r="D21" s="178"/>
      <c r="E21" s="178"/>
      <c r="F21" s="178"/>
      <c r="G21" s="178"/>
      <c r="H21" s="178"/>
      <c r="I21" s="178"/>
      <c r="J21" s="179"/>
      <c r="K21" s="49">
        <v>0</v>
      </c>
      <c r="L21" s="49">
        <v>0</v>
      </c>
      <c r="M21" s="49">
        <v>0</v>
      </c>
      <c r="N21" s="49">
        <v>0</v>
      </c>
      <c r="O21" s="49">
        <v>0</v>
      </c>
      <c r="P21" s="49">
        <v>0</v>
      </c>
      <c r="Q21" s="49">
        <v>0</v>
      </c>
      <c r="R21" s="49">
        <v>0</v>
      </c>
      <c r="S21" s="49">
        <v>0</v>
      </c>
      <c r="T21" s="49">
        <v>0</v>
      </c>
      <c r="U21" s="49">
        <v>0</v>
      </c>
      <c r="V21" s="49">
        <v>0</v>
      </c>
      <c r="W21" s="49">
        <v>0</v>
      </c>
      <c r="X21" s="49">
        <v>0</v>
      </c>
      <c r="Y21" s="49">
        <v>0</v>
      </c>
      <c r="Z21" s="49">
        <v>0</v>
      </c>
      <c r="AA21" s="48">
        <v>0</v>
      </c>
      <c r="AB21" s="48">
        <v>0</v>
      </c>
      <c r="AC21" s="48">
        <v>0</v>
      </c>
    </row>
    <row r="22" spans="1:32" ht="18" customHeight="1" x14ac:dyDescent="0.3">
      <c r="A22" s="177" t="s">
        <v>42</v>
      </c>
      <c r="B22" s="178"/>
      <c r="C22" s="178"/>
      <c r="D22" s="178"/>
      <c r="E22" s="178"/>
      <c r="F22" s="178"/>
      <c r="G22" s="178"/>
      <c r="H22" s="178"/>
      <c r="I22" s="178"/>
      <c r="J22" s="179"/>
      <c r="K22" s="49">
        <v>0</v>
      </c>
      <c r="L22" s="49">
        <v>0</v>
      </c>
      <c r="M22" s="49">
        <v>0</v>
      </c>
      <c r="N22" s="49">
        <v>1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  <c r="W22" s="49">
        <v>0</v>
      </c>
      <c r="X22" s="49">
        <v>0</v>
      </c>
      <c r="Y22" s="49">
        <v>0</v>
      </c>
      <c r="Z22" s="49">
        <v>0</v>
      </c>
      <c r="AA22" s="48">
        <v>0</v>
      </c>
      <c r="AB22" s="48">
        <v>1</v>
      </c>
      <c r="AC22" s="48">
        <v>1</v>
      </c>
    </row>
    <row r="23" spans="1:32" ht="18" customHeight="1" x14ac:dyDescent="0.3">
      <c r="A23" s="224" t="s">
        <v>7</v>
      </c>
      <c r="B23" s="225"/>
      <c r="C23" s="225"/>
      <c r="D23" s="225"/>
      <c r="E23" s="225"/>
      <c r="F23" s="225"/>
      <c r="G23" s="225"/>
      <c r="H23" s="225"/>
      <c r="I23" s="225"/>
      <c r="J23" s="226"/>
      <c r="K23" s="48">
        <v>0</v>
      </c>
      <c r="L23" s="48">
        <v>0</v>
      </c>
      <c r="M23" s="48">
        <v>0</v>
      </c>
      <c r="N23" s="48">
        <v>1</v>
      </c>
      <c r="O23" s="48">
        <v>1</v>
      </c>
      <c r="P23" s="48">
        <v>0</v>
      </c>
      <c r="Q23" s="48">
        <v>0</v>
      </c>
      <c r="R23" s="48">
        <v>0</v>
      </c>
      <c r="S23" s="48">
        <v>0</v>
      </c>
      <c r="T23" s="48">
        <v>0</v>
      </c>
      <c r="U23" s="48">
        <v>0</v>
      </c>
      <c r="V23" s="48">
        <v>0</v>
      </c>
      <c r="W23" s="48">
        <v>0</v>
      </c>
      <c r="X23" s="48">
        <v>0</v>
      </c>
      <c r="Y23" s="48">
        <v>0</v>
      </c>
      <c r="Z23" s="48">
        <v>1</v>
      </c>
      <c r="AA23" s="48">
        <v>1</v>
      </c>
      <c r="AB23" s="48">
        <v>2</v>
      </c>
      <c r="AC23" s="48">
        <v>3</v>
      </c>
    </row>
    <row r="24" spans="1:32" ht="6.75" customHeight="1" x14ac:dyDescent="0.3">
      <c r="A24" s="8"/>
      <c r="B24" s="9"/>
      <c r="C24" s="9"/>
      <c r="D24" s="9"/>
      <c r="E24" s="9"/>
      <c r="F24" s="10"/>
      <c r="G24" s="11"/>
      <c r="H24" s="11"/>
      <c r="I24" s="11"/>
      <c r="J24" s="11"/>
      <c r="K24" s="11"/>
      <c r="L24" s="11"/>
      <c r="M24" s="50"/>
      <c r="N24" s="11"/>
      <c r="O24" s="227"/>
      <c r="P24" s="228"/>
      <c r="Q24" s="12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3"/>
    </row>
    <row r="25" spans="1:32" ht="18" customHeight="1" x14ac:dyDescent="0.3">
      <c r="A25" s="14" t="s">
        <v>45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6"/>
      <c r="M25" s="17"/>
      <c r="N25" s="14" t="s">
        <v>46</v>
      </c>
      <c r="O25" s="15"/>
      <c r="P25" s="15"/>
      <c r="Q25" s="15"/>
      <c r="R25" s="15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9"/>
    </row>
    <row r="26" spans="1:32" ht="51" customHeight="1" x14ac:dyDescent="0.3">
      <c r="A26" s="213" t="s">
        <v>47</v>
      </c>
      <c r="B26" s="229" t="s">
        <v>48</v>
      </c>
      <c r="C26" s="230"/>
      <c r="D26" s="231" t="s">
        <v>49</v>
      </c>
      <c r="E26" s="232"/>
      <c r="F26" s="233"/>
      <c r="G26" s="231" t="s">
        <v>50</v>
      </c>
      <c r="H26" s="232"/>
      <c r="I26" s="232"/>
      <c r="J26" s="233"/>
      <c r="K26" s="213" t="s">
        <v>51</v>
      </c>
      <c r="L26" s="213" t="s">
        <v>52</v>
      </c>
      <c r="M26" s="20"/>
      <c r="N26" s="215" t="s">
        <v>53</v>
      </c>
      <c r="O26" s="216"/>
      <c r="P26" s="217"/>
      <c r="Q26" s="215" t="s">
        <v>54</v>
      </c>
      <c r="R26" s="216"/>
      <c r="S26" s="217"/>
      <c r="T26" s="215" t="s">
        <v>55</v>
      </c>
      <c r="U26" s="216"/>
      <c r="V26" s="216"/>
      <c r="W26" s="216"/>
      <c r="X26" s="216"/>
      <c r="Y26" s="216"/>
      <c r="Z26" s="216"/>
      <c r="AA26" s="216"/>
      <c r="AB26" s="216"/>
      <c r="AC26" s="217"/>
    </row>
    <row r="27" spans="1:32" ht="54" customHeight="1" x14ac:dyDescent="0.3">
      <c r="A27" s="214"/>
      <c r="B27" s="51" t="s">
        <v>7</v>
      </c>
      <c r="C27" s="52" t="s">
        <v>87</v>
      </c>
      <c r="D27" s="52" t="s">
        <v>56</v>
      </c>
      <c r="E27" s="52" t="s">
        <v>88</v>
      </c>
      <c r="F27" s="52" t="s">
        <v>89</v>
      </c>
      <c r="G27" s="53" t="s">
        <v>56</v>
      </c>
      <c r="H27" s="52" t="s">
        <v>90</v>
      </c>
      <c r="I27" s="53" t="s">
        <v>57</v>
      </c>
      <c r="J27" s="53" t="s">
        <v>58</v>
      </c>
      <c r="K27" s="214"/>
      <c r="L27" s="214"/>
      <c r="M27" s="20"/>
      <c r="N27" s="218">
        <v>0</v>
      </c>
      <c r="O27" s="219"/>
      <c r="P27" s="220"/>
      <c r="Q27" s="221">
        <v>0</v>
      </c>
      <c r="R27" s="222"/>
      <c r="S27" s="223"/>
      <c r="T27" s="218">
        <v>0</v>
      </c>
      <c r="U27" s="219"/>
      <c r="V27" s="219"/>
      <c r="W27" s="219"/>
      <c r="X27" s="219"/>
      <c r="Y27" s="219"/>
      <c r="Z27" s="219"/>
      <c r="AA27" s="219"/>
      <c r="AB27" s="219"/>
      <c r="AC27" s="220"/>
    </row>
    <row r="28" spans="1:32" ht="38.25" customHeight="1" x14ac:dyDescent="0.3">
      <c r="A28" s="243">
        <v>2080</v>
      </c>
      <c r="B28" s="246">
        <v>42</v>
      </c>
      <c r="C28" s="246">
        <v>0</v>
      </c>
      <c r="D28" s="246">
        <v>27</v>
      </c>
      <c r="E28" s="246">
        <v>1</v>
      </c>
      <c r="F28" s="246">
        <v>0</v>
      </c>
      <c r="G28" s="246">
        <v>1</v>
      </c>
      <c r="H28" s="246">
        <v>1</v>
      </c>
      <c r="I28" s="246">
        <v>1</v>
      </c>
      <c r="J28" s="246">
        <v>3</v>
      </c>
      <c r="K28" s="246">
        <v>3</v>
      </c>
      <c r="L28" s="246">
        <v>2</v>
      </c>
      <c r="M28" s="20"/>
      <c r="N28" s="215" t="s">
        <v>59</v>
      </c>
      <c r="O28" s="216"/>
      <c r="P28" s="217"/>
      <c r="Q28" s="215" t="s">
        <v>60</v>
      </c>
      <c r="R28" s="216"/>
      <c r="S28" s="217"/>
      <c r="T28" s="195" t="s">
        <v>61</v>
      </c>
      <c r="U28" s="196"/>
      <c r="V28" s="196"/>
      <c r="W28" s="197"/>
      <c r="X28" s="195" t="s">
        <v>62</v>
      </c>
      <c r="Y28" s="196"/>
      <c r="Z28" s="196"/>
      <c r="AA28" s="196"/>
      <c r="AB28" s="196"/>
      <c r="AC28" s="197"/>
    </row>
    <row r="29" spans="1:32" ht="19.5" customHeight="1" x14ac:dyDescent="0.3">
      <c r="A29" s="244"/>
      <c r="B29" s="247"/>
      <c r="C29" s="247"/>
      <c r="D29" s="247"/>
      <c r="E29" s="247"/>
      <c r="F29" s="247"/>
      <c r="G29" s="247"/>
      <c r="H29" s="247"/>
      <c r="I29" s="247"/>
      <c r="J29" s="247"/>
      <c r="K29" s="247"/>
      <c r="L29" s="247"/>
      <c r="M29" s="54"/>
      <c r="N29" s="221">
        <v>0</v>
      </c>
      <c r="O29" s="222"/>
      <c r="P29" s="223"/>
      <c r="Q29" s="221">
        <v>0</v>
      </c>
      <c r="R29" s="222"/>
      <c r="S29" s="223"/>
      <c r="T29" s="221">
        <v>0</v>
      </c>
      <c r="U29" s="222"/>
      <c r="V29" s="222"/>
      <c r="W29" s="223"/>
      <c r="X29" s="55"/>
      <c r="Y29" s="215" t="s">
        <v>0</v>
      </c>
      <c r="Z29" s="217"/>
      <c r="AA29" s="56" t="s">
        <v>1</v>
      </c>
      <c r="AB29" s="215" t="s">
        <v>63</v>
      </c>
      <c r="AC29" s="217"/>
    </row>
    <row r="30" spans="1:32" ht="18" customHeight="1" x14ac:dyDescent="0.3">
      <c r="A30" s="244"/>
      <c r="B30" s="247"/>
      <c r="C30" s="247"/>
      <c r="D30" s="247"/>
      <c r="E30" s="247"/>
      <c r="F30" s="247"/>
      <c r="G30" s="247"/>
      <c r="H30" s="247"/>
      <c r="I30" s="247"/>
      <c r="J30" s="247"/>
      <c r="K30" s="247"/>
      <c r="L30" s="247"/>
      <c r="M30" s="54"/>
      <c r="N30" s="234"/>
      <c r="O30" s="235"/>
      <c r="P30" s="236"/>
      <c r="Q30" s="234"/>
      <c r="R30" s="235"/>
      <c r="S30" s="236"/>
      <c r="T30" s="234"/>
      <c r="U30" s="235"/>
      <c r="V30" s="235"/>
      <c r="W30" s="236"/>
      <c r="X30" s="57" t="s">
        <v>64</v>
      </c>
      <c r="Y30" s="240">
        <v>0</v>
      </c>
      <c r="Z30" s="240"/>
      <c r="AA30" s="58">
        <v>0</v>
      </c>
      <c r="AB30" s="241">
        <v>0</v>
      </c>
      <c r="AC30" s="242"/>
    </row>
    <row r="31" spans="1:32" ht="18" customHeight="1" x14ac:dyDescent="0.3">
      <c r="A31" s="244"/>
      <c r="B31" s="247"/>
      <c r="C31" s="247"/>
      <c r="D31" s="247"/>
      <c r="E31" s="247"/>
      <c r="F31" s="247"/>
      <c r="G31" s="247"/>
      <c r="H31" s="247"/>
      <c r="I31" s="247"/>
      <c r="J31" s="247"/>
      <c r="K31" s="247"/>
      <c r="L31" s="247"/>
      <c r="M31" s="54"/>
      <c r="N31" s="234"/>
      <c r="O31" s="235"/>
      <c r="P31" s="236"/>
      <c r="Q31" s="234"/>
      <c r="R31" s="235"/>
      <c r="S31" s="236"/>
      <c r="T31" s="234"/>
      <c r="U31" s="235"/>
      <c r="V31" s="235"/>
      <c r="W31" s="236"/>
      <c r="X31" s="57" t="s">
        <v>65</v>
      </c>
      <c r="Y31" s="218">
        <v>0</v>
      </c>
      <c r="Z31" s="220"/>
      <c r="AA31" s="58">
        <v>0</v>
      </c>
      <c r="AB31" s="241">
        <v>0</v>
      </c>
      <c r="AC31" s="242"/>
    </row>
    <row r="32" spans="1:32" ht="18" customHeight="1" x14ac:dyDescent="0.3">
      <c r="A32" s="245"/>
      <c r="B32" s="248"/>
      <c r="C32" s="248"/>
      <c r="D32" s="248"/>
      <c r="E32" s="248"/>
      <c r="F32" s="248"/>
      <c r="G32" s="248"/>
      <c r="H32" s="248"/>
      <c r="I32" s="248"/>
      <c r="J32" s="248"/>
      <c r="K32" s="248"/>
      <c r="L32" s="248"/>
      <c r="M32" s="54"/>
      <c r="N32" s="237"/>
      <c r="O32" s="238"/>
      <c r="P32" s="239"/>
      <c r="Q32" s="237"/>
      <c r="R32" s="238"/>
      <c r="S32" s="239"/>
      <c r="T32" s="237"/>
      <c r="U32" s="238"/>
      <c r="V32" s="238"/>
      <c r="W32" s="239"/>
      <c r="X32" s="57" t="s">
        <v>66</v>
      </c>
      <c r="Y32" s="218">
        <v>0</v>
      </c>
      <c r="Z32" s="220"/>
      <c r="AA32" s="58">
        <v>0</v>
      </c>
      <c r="AB32" s="241">
        <v>0</v>
      </c>
      <c r="AC32" s="242"/>
    </row>
    <row r="33" spans="1:29" ht="8.25" customHeight="1" x14ac:dyDescent="0.3">
      <c r="A33" s="27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59"/>
      <c r="N33" s="28"/>
      <c r="O33" s="28"/>
      <c r="P33" s="28"/>
      <c r="Q33" s="28"/>
      <c r="R33" s="28"/>
      <c r="S33" s="28"/>
      <c r="T33" s="28"/>
      <c r="U33" s="29"/>
      <c r="V33" s="29"/>
      <c r="W33" s="29"/>
      <c r="X33" s="29"/>
      <c r="Y33" s="29"/>
      <c r="Z33" s="29"/>
      <c r="AA33" s="28"/>
      <c r="AB33" s="28"/>
      <c r="AC33" s="4"/>
    </row>
    <row r="34" spans="1:29" ht="18" customHeight="1" x14ac:dyDescent="0.3">
      <c r="A34" s="14" t="s">
        <v>67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6"/>
      <c r="M34" s="30"/>
      <c r="N34" s="14" t="s">
        <v>68</v>
      </c>
      <c r="O34" s="16"/>
      <c r="P34" s="15"/>
      <c r="Q34" s="31"/>
      <c r="R34" s="15"/>
      <c r="S34" s="15"/>
      <c r="T34" s="15"/>
      <c r="U34" s="15"/>
      <c r="V34" s="15"/>
      <c r="W34" s="15"/>
      <c r="X34" s="15"/>
      <c r="Y34" s="15"/>
      <c r="Z34" s="15"/>
      <c r="AA34" s="18"/>
      <c r="AB34" s="18"/>
      <c r="AC34" s="32"/>
    </row>
    <row r="35" spans="1:29" ht="57" customHeight="1" x14ac:dyDescent="0.3">
      <c r="A35" s="258"/>
      <c r="B35" s="259"/>
      <c r="C35" s="259"/>
      <c r="D35" s="259"/>
      <c r="E35" s="259"/>
      <c r="F35" s="260"/>
      <c r="G35" s="183" t="s">
        <v>11</v>
      </c>
      <c r="H35" s="185"/>
      <c r="I35" s="183" t="s">
        <v>12</v>
      </c>
      <c r="J35" s="185"/>
      <c r="K35" s="60" t="s">
        <v>69</v>
      </c>
      <c r="L35" s="61"/>
      <c r="M35" s="62"/>
      <c r="N35" s="215" t="s">
        <v>70</v>
      </c>
      <c r="O35" s="216"/>
      <c r="P35" s="217"/>
      <c r="Q35" s="215" t="s">
        <v>71</v>
      </c>
      <c r="R35" s="216"/>
      <c r="S35" s="217"/>
      <c r="T35" s="215" t="s">
        <v>72</v>
      </c>
      <c r="U35" s="216"/>
      <c r="V35" s="217"/>
      <c r="W35" s="215" t="s">
        <v>73</v>
      </c>
      <c r="X35" s="216"/>
      <c r="Y35" s="216"/>
      <c r="Z35" s="217"/>
      <c r="AA35" s="215" t="s">
        <v>74</v>
      </c>
      <c r="AB35" s="216"/>
      <c r="AC35" s="217"/>
    </row>
    <row r="36" spans="1:29" ht="13.5" customHeight="1" x14ac:dyDescent="0.3">
      <c r="A36" s="261"/>
      <c r="B36" s="262"/>
      <c r="C36" s="262"/>
      <c r="D36" s="262"/>
      <c r="E36" s="262"/>
      <c r="F36" s="263"/>
      <c r="G36" s="48" t="s">
        <v>75</v>
      </c>
      <c r="H36" s="48" t="s">
        <v>13</v>
      </c>
      <c r="I36" s="48" t="s">
        <v>75</v>
      </c>
      <c r="J36" s="48" t="s">
        <v>13</v>
      </c>
      <c r="K36" s="48" t="s">
        <v>75</v>
      </c>
      <c r="L36" s="48" t="s">
        <v>13</v>
      </c>
      <c r="M36" s="63"/>
      <c r="N36" s="64" t="s">
        <v>0</v>
      </c>
      <c r="O36" s="65" t="s">
        <v>1</v>
      </c>
      <c r="P36" s="65" t="s">
        <v>91</v>
      </c>
      <c r="Q36" s="64" t="s">
        <v>0</v>
      </c>
      <c r="R36" s="65" t="s">
        <v>1</v>
      </c>
      <c r="S36" s="65" t="s">
        <v>91</v>
      </c>
      <c r="T36" s="64" t="s">
        <v>0</v>
      </c>
      <c r="U36" s="65" t="s">
        <v>1</v>
      </c>
      <c r="V36" s="65" t="s">
        <v>91</v>
      </c>
      <c r="W36" s="48"/>
      <c r="X36" s="64" t="s">
        <v>0</v>
      </c>
      <c r="Y36" s="66" t="s">
        <v>1</v>
      </c>
      <c r="Z36" s="55" t="s">
        <v>76</v>
      </c>
      <c r="AA36" s="64" t="s">
        <v>0</v>
      </c>
      <c r="AB36" s="66" t="s">
        <v>1</v>
      </c>
      <c r="AC36" s="55" t="s">
        <v>76</v>
      </c>
    </row>
    <row r="37" spans="1:29" ht="18" customHeight="1" x14ac:dyDescent="0.3">
      <c r="A37" s="199" t="s">
        <v>77</v>
      </c>
      <c r="B37" s="249"/>
      <c r="C37" s="249"/>
      <c r="D37" s="249"/>
      <c r="E37" s="249"/>
      <c r="F37" s="200"/>
      <c r="G37" s="49">
        <v>0</v>
      </c>
      <c r="H37" s="49">
        <v>0</v>
      </c>
      <c r="I37" s="49">
        <v>0</v>
      </c>
      <c r="J37" s="49">
        <v>0</v>
      </c>
      <c r="K37" s="49">
        <v>0</v>
      </c>
      <c r="L37" s="49">
        <v>0</v>
      </c>
      <c r="M37" s="63"/>
      <c r="N37" s="252">
        <v>1</v>
      </c>
      <c r="O37" s="252">
        <v>8</v>
      </c>
      <c r="P37" s="255">
        <v>0</v>
      </c>
      <c r="Q37" s="255">
        <v>0</v>
      </c>
      <c r="R37" s="255">
        <v>0</v>
      </c>
      <c r="S37" s="255">
        <v>0</v>
      </c>
      <c r="T37" s="255">
        <v>0</v>
      </c>
      <c r="U37" s="255">
        <v>0</v>
      </c>
      <c r="V37" s="255">
        <v>0</v>
      </c>
      <c r="W37" s="57" t="s">
        <v>64</v>
      </c>
      <c r="X37" s="67">
        <v>0</v>
      </c>
      <c r="Y37" s="67">
        <v>0</v>
      </c>
      <c r="Z37" s="67">
        <v>0</v>
      </c>
      <c r="AA37" s="67">
        <v>0</v>
      </c>
      <c r="AB37" s="67">
        <v>0</v>
      </c>
      <c r="AC37" s="67">
        <v>0</v>
      </c>
    </row>
    <row r="38" spans="1:29" ht="18" customHeight="1" x14ac:dyDescent="0.3">
      <c r="A38" s="199" t="s">
        <v>8</v>
      </c>
      <c r="B38" s="249"/>
      <c r="C38" s="249"/>
      <c r="D38" s="249"/>
      <c r="E38" s="249"/>
      <c r="F38" s="200"/>
      <c r="G38" s="49">
        <v>0</v>
      </c>
      <c r="H38" s="68">
        <v>0</v>
      </c>
      <c r="I38" s="49">
        <v>0</v>
      </c>
      <c r="J38" s="69">
        <v>0</v>
      </c>
      <c r="K38" s="49">
        <v>0</v>
      </c>
      <c r="L38" s="49">
        <v>0</v>
      </c>
      <c r="M38" s="63"/>
      <c r="N38" s="253"/>
      <c r="O38" s="253"/>
      <c r="P38" s="256"/>
      <c r="Q38" s="256"/>
      <c r="R38" s="256"/>
      <c r="S38" s="256"/>
      <c r="T38" s="256"/>
      <c r="U38" s="256"/>
      <c r="V38" s="256"/>
      <c r="W38" s="57" t="s">
        <v>65</v>
      </c>
      <c r="X38" s="67">
        <v>0</v>
      </c>
      <c r="Y38" s="67">
        <v>0</v>
      </c>
      <c r="Z38" s="67">
        <v>0</v>
      </c>
      <c r="AA38" s="67">
        <v>0</v>
      </c>
      <c r="AB38" s="67">
        <v>0</v>
      </c>
      <c r="AC38" s="67">
        <v>0</v>
      </c>
    </row>
    <row r="39" spans="1:29" ht="18" customHeight="1" x14ac:dyDescent="0.3">
      <c r="A39" s="215" t="s">
        <v>78</v>
      </c>
      <c r="B39" s="216"/>
      <c r="C39" s="216"/>
      <c r="D39" s="216"/>
      <c r="E39" s="216"/>
      <c r="F39" s="217"/>
      <c r="G39" s="49">
        <v>0</v>
      </c>
      <c r="H39" s="49">
        <v>0</v>
      </c>
      <c r="I39" s="49">
        <v>0</v>
      </c>
      <c r="J39" s="49">
        <v>0</v>
      </c>
      <c r="K39" s="49">
        <v>0</v>
      </c>
      <c r="L39" s="49">
        <v>0</v>
      </c>
      <c r="M39" s="63"/>
      <c r="N39" s="253"/>
      <c r="O39" s="253"/>
      <c r="P39" s="256"/>
      <c r="Q39" s="256"/>
      <c r="R39" s="256"/>
      <c r="S39" s="256"/>
      <c r="T39" s="256"/>
      <c r="U39" s="256"/>
      <c r="V39" s="256"/>
      <c r="W39" s="250" t="s">
        <v>66</v>
      </c>
      <c r="X39" s="252">
        <v>0</v>
      </c>
      <c r="Y39" s="252">
        <v>0</v>
      </c>
      <c r="Z39" s="252">
        <v>0</v>
      </c>
      <c r="AA39" s="252">
        <v>0</v>
      </c>
      <c r="AB39" s="252">
        <v>0</v>
      </c>
      <c r="AC39" s="252">
        <v>0</v>
      </c>
    </row>
    <row r="40" spans="1:29" ht="18" customHeight="1" x14ac:dyDescent="0.3">
      <c r="A40" s="183" t="s">
        <v>7</v>
      </c>
      <c r="B40" s="184"/>
      <c r="C40" s="184"/>
      <c r="D40" s="184"/>
      <c r="E40" s="184"/>
      <c r="F40" s="185"/>
      <c r="G40" s="48">
        <v>0</v>
      </c>
      <c r="H40" s="48">
        <v>0</v>
      </c>
      <c r="I40" s="48">
        <v>0</v>
      </c>
      <c r="J40" s="48">
        <v>0</v>
      </c>
      <c r="K40" s="48">
        <v>0</v>
      </c>
      <c r="L40" s="48">
        <v>0</v>
      </c>
      <c r="M40" s="63"/>
      <c r="N40" s="254"/>
      <c r="O40" s="254"/>
      <c r="P40" s="257"/>
      <c r="Q40" s="257"/>
      <c r="R40" s="257"/>
      <c r="S40" s="257"/>
      <c r="T40" s="257"/>
      <c r="U40" s="257"/>
      <c r="V40" s="257"/>
      <c r="W40" s="251"/>
      <c r="X40" s="254"/>
      <c r="Y40" s="254"/>
      <c r="Z40" s="254"/>
      <c r="AA40" s="254"/>
      <c r="AB40" s="254"/>
      <c r="AC40" s="254"/>
    </row>
    <row r="41" spans="1:29" ht="23.4" x14ac:dyDescent="0.45">
      <c r="A41" s="158" t="s">
        <v>15</v>
      </c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  <c r="AA41" s="158"/>
      <c r="AB41" s="158"/>
      <c r="AC41" s="158"/>
    </row>
    <row r="42" spans="1:29" ht="23.4" x14ac:dyDescent="0.3">
      <c r="A42" s="159" t="s">
        <v>16</v>
      </c>
      <c r="B42" s="159"/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2"/>
      <c r="Y42" s="160" t="s">
        <v>17</v>
      </c>
      <c r="Z42" s="160"/>
      <c r="AA42" s="2"/>
      <c r="AB42" s="2"/>
      <c r="AC42" s="2"/>
    </row>
    <row r="43" spans="1:29" ht="15.75" customHeight="1" x14ac:dyDescent="0.3">
      <c r="A43" s="266" t="s">
        <v>98</v>
      </c>
      <c r="B43" s="266"/>
      <c r="C43" s="266"/>
      <c r="D43" s="266"/>
      <c r="E43" s="162" t="s">
        <v>94</v>
      </c>
      <c r="F43" s="162"/>
      <c r="G43" s="162"/>
      <c r="H43" s="162"/>
      <c r="I43" s="163" t="s">
        <v>20</v>
      </c>
      <c r="J43" s="163"/>
      <c r="K43" s="164" t="s">
        <v>95</v>
      </c>
      <c r="L43" s="164"/>
      <c r="M43" s="163" t="s">
        <v>21</v>
      </c>
      <c r="N43" s="163"/>
      <c r="O43" s="163" t="s">
        <v>96</v>
      </c>
      <c r="P43" s="163"/>
      <c r="Q43" s="163"/>
      <c r="R43" s="163"/>
      <c r="S43" s="43"/>
      <c r="T43" s="166" t="s">
        <v>22</v>
      </c>
      <c r="U43" s="166"/>
      <c r="V43" s="166"/>
      <c r="W43" s="166"/>
      <c r="X43" s="166"/>
      <c r="Y43" s="152" t="s">
        <v>79</v>
      </c>
      <c r="Z43" s="152"/>
      <c r="AA43" s="152"/>
      <c r="AB43" s="153" t="s">
        <v>83</v>
      </c>
      <c r="AC43" s="153"/>
    </row>
    <row r="44" spans="1:29" ht="15" customHeight="1" x14ac:dyDescent="0.3">
      <c r="T44" s="166"/>
      <c r="U44" s="166"/>
      <c r="V44" s="166"/>
      <c r="W44" s="166"/>
      <c r="X44" s="166"/>
      <c r="Y44" s="152"/>
      <c r="Z44" s="152"/>
      <c r="AA44" s="152"/>
      <c r="AB44" s="153"/>
      <c r="AC44" s="153"/>
    </row>
    <row r="45" spans="1:29" ht="15.75" customHeight="1" x14ac:dyDescent="0.35">
      <c r="A45" s="264" t="s">
        <v>24</v>
      </c>
      <c r="B45" s="264"/>
      <c r="C45" s="264"/>
      <c r="D45" s="264"/>
      <c r="E45" s="264"/>
      <c r="F45" s="264"/>
      <c r="G45" s="264"/>
      <c r="H45" s="155" t="s">
        <v>97</v>
      </c>
      <c r="I45" s="155"/>
      <c r="J45" s="155"/>
      <c r="K45" s="155"/>
      <c r="L45" s="155"/>
      <c r="M45" s="155"/>
      <c r="N45" s="155"/>
      <c r="O45" s="44"/>
      <c r="P45" s="44"/>
      <c r="T45" s="156" t="s">
        <v>26</v>
      </c>
      <c r="U45" s="156"/>
      <c r="V45" s="156"/>
      <c r="W45" s="156"/>
      <c r="X45" s="156"/>
      <c r="Y45" s="156"/>
      <c r="Z45" s="265" t="s">
        <v>27</v>
      </c>
      <c r="AA45" s="265"/>
      <c r="AB45" s="265"/>
      <c r="AC45" s="265"/>
    </row>
    <row r="46" spans="1:29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" customHeight="1" x14ac:dyDescent="0.3">
      <c r="A47" s="186" t="s">
        <v>29</v>
      </c>
      <c r="B47" s="187"/>
      <c r="C47" s="187"/>
      <c r="D47" s="187"/>
      <c r="E47" s="187"/>
      <c r="F47" s="187"/>
      <c r="G47" s="187"/>
      <c r="H47" s="187"/>
      <c r="I47" s="187"/>
      <c r="J47" s="188"/>
      <c r="K47" s="167" t="s">
        <v>30</v>
      </c>
      <c r="L47" s="168"/>
      <c r="M47" s="167" t="s">
        <v>31</v>
      </c>
      <c r="N47" s="168"/>
      <c r="O47" s="189" t="s">
        <v>32</v>
      </c>
      <c r="P47" s="190"/>
      <c r="Q47" s="191"/>
      <c r="R47" s="167" t="s">
        <v>33</v>
      </c>
      <c r="S47" s="198"/>
      <c r="T47" s="168"/>
      <c r="U47" s="183" t="s">
        <v>34</v>
      </c>
      <c r="V47" s="184"/>
      <c r="W47" s="184"/>
      <c r="X47" s="184"/>
      <c r="Y47" s="184"/>
      <c r="Z47" s="184"/>
      <c r="AA47" s="185"/>
      <c r="AB47" s="167" t="s">
        <v>7</v>
      </c>
      <c r="AC47" s="168"/>
    </row>
    <row r="48" spans="1:29" ht="23.25" customHeight="1" x14ac:dyDescent="0.3">
      <c r="A48" s="169" t="s">
        <v>35</v>
      </c>
      <c r="B48" s="173"/>
      <c r="C48" s="173"/>
      <c r="D48" s="173"/>
      <c r="E48" s="173"/>
      <c r="F48" s="173"/>
      <c r="G48" s="173"/>
      <c r="H48" s="173"/>
      <c r="I48" s="173"/>
      <c r="J48" s="170"/>
      <c r="K48" s="169"/>
      <c r="L48" s="170"/>
      <c r="M48" s="169"/>
      <c r="N48" s="170"/>
      <c r="O48" s="192"/>
      <c r="P48" s="193"/>
      <c r="Q48" s="194"/>
      <c r="R48" s="169"/>
      <c r="S48" s="173"/>
      <c r="T48" s="170"/>
      <c r="U48" s="175" t="s">
        <v>36</v>
      </c>
      <c r="V48" s="175"/>
      <c r="W48" s="175"/>
      <c r="X48" s="175" t="s">
        <v>37</v>
      </c>
      <c r="Y48" s="175"/>
      <c r="Z48" s="175" t="s">
        <v>38</v>
      </c>
      <c r="AA48" s="175"/>
      <c r="AB48" s="169"/>
      <c r="AC48" s="170"/>
    </row>
    <row r="49" spans="1:32" x14ac:dyDescent="0.3">
      <c r="A49" s="171"/>
      <c r="B49" s="174"/>
      <c r="C49" s="174"/>
      <c r="D49" s="174"/>
      <c r="E49" s="174"/>
      <c r="F49" s="174"/>
      <c r="G49" s="174"/>
      <c r="H49" s="174"/>
      <c r="I49" s="174"/>
      <c r="J49" s="172"/>
      <c r="K49" s="171"/>
      <c r="L49" s="172"/>
      <c r="M49" s="171"/>
      <c r="N49" s="172"/>
      <c r="O49" s="195"/>
      <c r="P49" s="196"/>
      <c r="Q49" s="197"/>
      <c r="R49" s="171"/>
      <c r="S49" s="174"/>
      <c r="T49" s="172"/>
      <c r="U49" s="176"/>
      <c r="V49" s="176"/>
      <c r="W49" s="176"/>
      <c r="X49" s="176"/>
      <c r="Y49" s="176"/>
      <c r="Z49" s="176"/>
      <c r="AA49" s="176"/>
      <c r="AB49" s="171"/>
      <c r="AC49" s="172"/>
    </row>
    <row r="50" spans="1:32" ht="18" customHeight="1" x14ac:dyDescent="0.3">
      <c r="A50" s="177" t="s">
        <v>39</v>
      </c>
      <c r="B50" s="178"/>
      <c r="C50" s="178"/>
      <c r="D50" s="178"/>
      <c r="E50" s="178"/>
      <c r="F50" s="178"/>
      <c r="G50" s="178"/>
      <c r="H50" s="178"/>
      <c r="I50" s="178"/>
      <c r="J50" s="179"/>
      <c r="K50" s="180">
        <v>3</v>
      </c>
      <c r="L50" s="181"/>
      <c r="M50" s="180">
        <v>0</v>
      </c>
      <c r="N50" s="181"/>
      <c r="O50" s="180">
        <v>0</v>
      </c>
      <c r="P50" s="182"/>
      <c r="Q50" s="181"/>
      <c r="R50" s="183">
        <v>3</v>
      </c>
      <c r="S50" s="184"/>
      <c r="T50" s="185"/>
      <c r="U50" s="180">
        <v>0</v>
      </c>
      <c r="V50" s="182"/>
      <c r="W50" s="181"/>
      <c r="X50" s="180">
        <v>0</v>
      </c>
      <c r="Y50" s="181"/>
      <c r="Z50" s="180">
        <v>0</v>
      </c>
      <c r="AA50" s="181"/>
      <c r="AB50" s="199">
        <v>3</v>
      </c>
      <c r="AC50" s="200"/>
    </row>
    <row r="51" spans="1:32" ht="18" customHeight="1" x14ac:dyDescent="0.3">
      <c r="A51" s="177" t="s">
        <v>40</v>
      </c>
      <c r="B51" s="178"/>
      <c r="C51" s="178"/>
      <c r="D51" s="178"/>
      <c r="E51" s="178"/>
      <c r="F51" s="178"/>
      <c r="G51" s="178"/>
      <c r="H51" s="178"/>
      <c r="I51" s="178"/>
      <c r="J51" s="179"/>
      <c r="K51" s="180">
        <v>0</v>
      </c>
      <c r="L51" s="181"/>
      <c r="M51" s="180">
        <v>0</v>
      </c>
      <c r="N51" s="181"/>
      <c r="O51" s="180">
        <v>0</v>
      </c>
      <c r="P51" s="182"/>
      <c r="Q51" s="181"/>
      <c r="R51" s="183">
        <v>0</v>
      </c>
      <c r="S51" s="184"/>
      <c r="T51" s="185"/>
      <c r="U51" s="180">
        <v>0</v>
      </c>
      <c r="V51" s="182"/>
      <c r="W51" s="181"/>
      <c r="X51" s="180">
        <v>0</v>
      </c>
      <c r="Y51" s="181"/>
      <c r="Z51" s="180">
        <v>0</v>
      </c>
      <c r="AA51" s="181"/>
      <c r="AB51" s="199">
        <v>0</v>
      </c>
      <c r="AC51" s="200"/>
    </row>
    <row r="52" spans="1:32" ht="18" customHeight="1" x14ac:dyDescent="0.3">
      <c r="A52" s="177" t="s">
        <v>41</v>
      </c>
      <c r="B52" s="178"/>
      <c r="C52" s="178"/>
      <c r="D52" s="178"/>
      <c r="E52" s="178"/>
      <c r="F52" s="178"/>
      <c r="G52" s="178"/>
      <c r="H52" s="178"/>
      <c r="I52" s="178"/>
      <c r="J52" s="179"/>
      <c r="K52" s="180">
        <v>0</v>
      </c>
      <c r="L52" s="181"/>
      <c r="M52" s="180">
        <v>0</v>
      </c>
      <c r="N52" s="181"/>
      <c r="O52" s="180">
        <v>0</v>
      </c>
      <c r="P52" s="182"/>
      <c r="Q52" s="181"/>
      <c r="R52" s="183">
        <v>0</v>
      </c>
      <c r="S52" s="184"/>
      <c r="T52" s="185"/>
      <c r="U52" s="180">
        <v>0</v>
      </c>
      <c r="V52" s="182"/>
      <c r="W52" s="181"/>
      <c r="X52" s="180">
        <v>0</v>
      </c>
      <c r="Y52" s="181"/>
      <c r="Z52" s="180">
        <v>0</v>
      </c>
      <c r="AA52" s="181"/>
      <c r="AB52" s="199">
        <v>0</v>
      </c>
      <c r="AC52" s="200"/>
    </row>
    <row r="53" spans="1:32" ht="18" customHeight="1" x14ac:dyDescent="0.3">
      <c r="A53" s="177" t="s">
        <v>42</v>
      </c>
      <c r="B53" s="178"/>
      <c r="C53" s="178"/>
      <c r="D53" s="178"/>
      <c r="E53" s="178"/>
      <c r="F53" s="178"/>
      <c r="G53" s="178"/>
      <c r="H53" s="178"/>
      <c r="I53" s="178"/>
      <c r="J53" s="179"/>
      <c r="K53" s="180">
        <v>0</v>
      </c>
      <c r="L53" s="181"/>
      <c r="M53" s="180">
        <v>0</v>
      </c>
      <c r="N53" s="181"/>
      <c r="O53" s="180">
        <v>0</v>
      </c>
      <c r="P53" s="182"/>
      <c r="Q53" s="181"/>
      <c r="R53" s="183">
        <v>0</v>
      </c>
      <c r="S53" s="184"/>
      <c r="T53" s="185"/>
      <c r="U53" s="180">
        <v>0</v>
      </c>
      <c r="V53" s="182"/>
      <c r="W53" s="181"/>
      <c r="X53" s="180">
        <v>0</v>
      </c>
      <c r="Y53" s="181"/>
      <c r="Z53" s="180">
        <v>0</v>
      </c>
      <c r="AA53" s="181"/>
      <c r="AB53" s="199">
        <v>0</v>
      </c>
      <c r="AC53" s="200"/>
    </row>
    <row r="54" spans="1:32" ht="18" customHeight="1" x14ac:dyDescent="0.3">
      <c r="A54" s="177" t="s">
        <v>7</v>
      </c>
      <c r="B54" s="178"/>
      <c r="C54" s="178"/>
      <c r="D54" s="178"/>
      <c r="E54" s="178"/>
      <c r="F54" s="178"/>
      <c r="G54" s="178"/>
      <c r="H54" s="178"/>
      <c r="I54" s="178"/>
      <c r="J54" s="179"/>
      <c r="K54" s="183">
        <v>3</v>
      </c>
      <c r="L54" s="185"/>
      <c r="M54" s="183">
        <v>0</v>
      </c>
      <c r="N54" s="185"/>
      <c r="O54" s="183">
        <v>0</v>
      </c>
      <c r="P54" s="184"/>
      <c r="Q54" s="185"/>
      <c r="R54" s="183">
        <v>3</v>
      </c>
      <c r="S54" s="184"/>
      <c r="T54" s="185"/>
      <c r="U54" s="183">
        <v>0</v>
      </c>
      <c r="V54" s="184"/>
      <c r="W54" s="185"/>
      <c r="X54" s="183">
        <v>0</v>
      </c>
      <c r="Y54" s="185"/>
      <c r="Z54" s="183">
        <v>0</v>
      </c>
      <c r="AA54" s="185"/>
      <c r="AB54" s="183">
        <v>3</v>
      </c>
      <c r="AC54" s="185"/>
    </row>
    <row r="55" spans="1:32" ht="15.6" x14ac:dyDescent="0.3">
      <c r="A55" s="45" t="s">
        <v>43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7"/>
      <c r="V55" s="47"/>
      <c r="W55" s="47"/>
      <c r="X55" s="47"/>
      <c r="Y55" s="47"/>
      <c r="Z55" s="47"/>
      <c r="AA55" s="47"/>
      <c r="AB55" s="47"/>
      <c r="AC55" s="4"/>
    </row>
    <row r="56" spans="1:32" ht="21.75" customHeight="1" x14ac:dyDescent="0.3">
      <c r="A56" s="205"/>
      <c r="B56" s="206"/>
      <c r="C56" s="206"/>
      <c r="D56" s="206"/>
      <c r="E56" s="206"/>
      <c r="F56" s="206"/>
      <c r="G56" s="206"/>
      <c r="H56" s="206"/>
      <c r="I56" s="206"/>
      <c r="J56" s="207"/>
      <c r="K56" s="183" t="s">
        <v>0</v>
      </c>
      <c r="L56" s="185"/>
      <c r="M56" s="211" t="s">
        <v>1</v>
      </c>
      <c r="N56" s="212"/>
      <c r="O56" s="201" t="s">
        <v>2</v>
      </c>
      <c r="P56" s="202"/>
      <c r="Q56" s="201" t="s">
        <v>3</v>
      </c>
      <c r="R56" s="202"/>
      <c r="S56" s="201" t="s">
        <v>4</v>
      </c>
      <c r="T56" s="202"/>
      <c r="U56" s="201" t="s">
        <v>5</v>
      </c>
      <c r="V56" s="202"/>
      <c r="W56" s="201" t="s">
        <v>6</v>
      </c>
      <c r="X56" s="202"/>
      <c r="Y56" s="201" t="s">
        <v>44</v>
      </c>
      <c r="Z56" s="202"/>
      <c r="AA56" s="201" t="s">
        <v>7</v>
      </c>
      <c r="AB56" s="202"/>
      <c r="AC56" s="203" t="s">
        <v>86</v>
      </c>
      <c r="AD56" s="5"/>
      <c r="AE56" s="6"/>
      <c r="AF56" s="6"/>
    </row>
    <row r="57" spans="1:32" x14ac:dyDescent="0.3">
      <c r="A57" s="208"/>
      <c r="B57" s="209"/>
      <c r="C57" s="209"/>
      <c r="D57" s="209"/>
      <c r="E57" s="209"/>
      <c r="F57" s="209"/>
      <c r="G57" s="209"/>
      <c r="H57" s="209"/>
      <c r="I57" s="209"/>
      <c r="J57" s="210"/>
      <c r="K57" s="48" t="s">
        <v>9</v>
      </c>
      <c r="L57" s="48" t="s">
        <v>10</v>
      </c>
      <c r="M57" s="48" t="s">
        <v>9</v>
      </c>
      <c r="N57" s="48" t="s">
        <v>10</v>
      </c>
      <c r="O57" s="48" t="s">
        <v>9</v>
      </c>
      <c r="P57" s="48" t="s">
        <v>10</v>
      </c>
      <c r="Q57" s="48" t="s">
        <v>9</v>
      </c>
      <c r="R57" s="48" t="s">
        <v>10</v>
      </c>
      <c r="S57" s="48" t="s">
        <v>9</v>
      </c>
      <c r="T57" s="48" t="s">
        <v>10</v>
      </c>
      <c r="U57" s="48" t="s">
        <v>9</v>
      </c>
      <c r="V57" s="48" t="s">
        <v>10</v>
      </c>
      <c r="W57" s="48" t="s">
        <v>9</v>
      </c>
      <c r="X57" s="48" t="s">
        <v>10</v>
      </c>
      <c r="Y57" s="48" t="s">
        <v>9</v>
      </c>
      <c r="Z57" s="48" t="s">
        <v>10</v>
      </c>
      <c r="AA57" s="48" t="s">
        <v>9</v>
      </c>
      <c r="AB57" s="48" t="s">
        <v>10</v>
      </c>
      <c r="AC57" s="204"/>
    </row>
    <row r="58" spans="1:32" ht="18" customHeight="1" x14ac:dyDescent="0.3">
      <c r="A58" s="177" t="s">
        <v>39</v>
      </c>
      <c r="B58" s="178"/>
      <c r="C58" s="178"/>
      <c r="D58" s="178"/>
      <c r="E58" s="178"/>
      <c r="F58" s="178"/>
      <c r="G58" s="178"/>
      <c r="H58" s="178"/>
      <c r="I58" s="178"/>
      <c r="J58" s="179"/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v>1</v>
      </c>
      <c r="R58" s="49">
        <v>0</v>
      </c>
      <c r="S58" s="49">
        <v>1</v>
      </c>
      <c r="T58" s="49">
        <v>0</v>
      </c>
      <c r="U58" s="49">
        <v>0</v>
      </c>
      <c r="V58" s="49">
        <v>0</v>
      </c>
      <c r="W58" s="49">
        <v>0</v>
      </c>
      <c r="X58" s="49">
        <v>1</v>
      </c>
      <c r="Y58" s="49">
        <v>0</v>
      </c>
      <c r="Z58" s="49">
        <v>0</v>
      </c>
      <c r="AA58" s="48">
        <v>2</v>
      </c>
      <c r="AB58" s="48">
        <v>1</v>
      </c>
      <c r="AC58" s="48">
        <v>3</v>
      </c>
    </row>
    <row r="59" spans="1:32" ht="18" customHeight="1" x14ac:dyDescent="0.3">
      <c r="A59" s="177" t="s">
        <v>40</v>
      </c>
      <c r="B59" s="178"/>
      <c r="C59" s="178"/>
      <c r="D59" s="178"/>
      <c r="E59" s="178"/>
      <c r="F59" s="178"/>
      <c r="G59" s="178"/>
      <c r="H59" s="178"/>
      <c r="I59" s="178"/>
      <c r="J59" s="179"/>
      <c r="K59" s="49">
        <v>0</v>
      </c>
      <c r="L59" s="49">
        <v>0</v>
      </c>
      <c r="M59" s="49">
        <v>0</v>
      </c>
      <c r="N59" s="49">
        <v>0</v>
      </c>
      <c r="O59" s="49">
        <v>0</v>
      </c>
      <c r="P59" s="49">
        <v>0</v>
      </c>
      <c r="Q59" s="49">
        <v>0</v>
      </c>
      <c r="R59" s="49">
        <v>0</v>
      </c>
      <c r="S59" s="49">
        <v>0</v>
      </c>
      <c r="T59" s="49">
        <v>0</v>
      </c>
      <c r="U59" s="49">
        <v>0</v>
      </c>
      <c r="V59" s="49">
        <v>0</v>
      </c>
      <c r="W59" s="49">
        <v>0</v>
      </c>
      <c r="X59" s="49">
        <v>0</v>
      </c>
      <c r="Y59" s="49">
        <v>0</v>
      </c>
      <c r="Z59" s="49">
        <v>0</v>
      </c>
      <c r="AA59" s="48">
        <v>0</v>
      </c>
      <c r="AB59" s="48">
        <v>0</v>
      </c>
      <c r="AC59" s="48">
        <v>0</v>
      </c>
    </row>
    <row r="60" spans="1:32" ht="18" customHeight="1" x14ac:dyDescent="0.3">
      <c r="A60" s="177" t="s">
        <v>41</v>
      </c>
      <c r="B60" s="178"/>
      <c r="C60" s="178"/>
      <c r="D60" s="178"/>
      <c r="E60" s="178"/>
      <c r="F60" s="178"/>
      <c r="G60" s="178"/>
      <c r="H60" s="178"/>
      <c r="I60" s="178"/>
      <c r="J60" s="179"/>
      <c r="K60" s="49">
        <v>0</v>
      </c>
      <c r="L60" s="49">
        <v>0</v>
      </c>
      <c r="M60" s="49">
        <v>0</v>
      </c>
      <c r="N60" s="49">
        <v>0</v>
      </c>
      <c r="O60" s="49">
        <v>0</v>
      </c>
      <c r="P60" s="49">
        <v>0</v>
      </c>
      <c r="Q60" s="49">
        <v>0</v>
      </c>
      <c r="R60" s="49">
        <v>0</v>
      </c>
      <c r="S60" s="49">
        <v>0</v>
      </c>
      <c r="T60" s="49">
        <v>0</v>
      </c>
      <c r="U60" s="49">
        <v>0</v>
      </c>
      <c r="V60" s="49">
        <v>0</v>
      </c>
      <c r="W60" s="49">
        <v>0</v>
      </c>
      <c r="X60" s="49">
        <v>0</v>
      </c>
      <c r="Y60" s="49">
        <v>0</v>
      </c>
      <c r="Z60" s="49">
        <v>0</v>
      </c>
      <c r="AA60" s="48">
        <v>0</v>
      </c>
      <c r="AB60" s="48">
        <v>0</v>
      </c>
      <c r="AC60" s="48">
        <v>0</v>
      </c>
    </row>
    <row r="61" spans="1:32" ht="18" customHeight="1" x14ac:dyDescent="0.3">
      <c r="A61" s="177" t="s">
        <v>42</v>
      </c>
      <c r="B61" s="178"/>
      <c r="C61" s="178"/>
      <c r="D61" s="178"/>
      <c r="E61" s="178"/>
      <c r="F61" s="178"/>
      <c r="G61" s="178"/>
      <c r="H61" s="178"/>
      <c r="I61" s="178"/>
      <c r="J61" s="179"/>
      <c r="K61" s="49">
        <v>0</v>
      </c>
      <c r="L61" s="49">
        <v>0</v>
      </c>
      <c r="M61" s="49">
        <v>0</v>
      </c>
      <c r="N61" s="49">
        <v>0</v>
      </c>
      <c r="O61" s="49">
        <v>0</v>
      </c>
      <c r="P61" s="49">
        <v>0</v>
      </c>
      <c r="Q61" s="49">
        <v>0</v>
      </c>
      <c r="R61" s="49">
        <v>0</v>
      </c>
      <c r="S61" s="49">
        <v>0</v>
      </c>
      <c r="T61" s="49">
        <v>0</v>
      </c>
      <c r="U61" s="49">
        <v>0</v>
      </c>
      <c r="V61" s="49">
        <v>0</v>
      </c>
      <c r="W61" s="49">
        <v>0</v>
      </c>
      <c r="X61" s="49">
        <v>0</v>
      </c>
      <c r="Y61" s="49">
        <v>0</v>
      </c>
      <c r="Z61" s="49">
        <v>0</v>
      </c>
      <c r="AA61" s="48">
        <v>0</v>
      </c>
      <c r="AB61" s="48">
        <v>0</v>
      </c>
      <c r="AC61" s="48">
        <v>0</v>
      </c>
    </row>
    <row r="62" spans="1:32" ht="18" customHeight="1" x14ac:dyDescent="0.3">
      <c r="A62" s="224" t="s">
        <v>7</v>
      </c>
      <c r="B62" s="225"/>
      <c r="C62" s="225"/>
      <c r="D62" s="225"/>
      <c r="E62" s="225"/>
      <c r="F62" s="225"/>
      <c r="G62" s="225"/>
      <c r="H62" s="225"/>
      <c r="I62" s="225"/>
      <c r="J62" s="226"/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1</v>
      </c>
      <c r="R62" s="48">
        <v>0</v>
      </c>
      <c r="S62" s="48">
        <v>1</v>
      </c>
      <c r="T62" s="48">
        <v>0</v>
      </c>
      <c r="U62" s="48">
        <v>0</v>
      </c>
      <c r="V62" s="48">
        <v>0</v>
      </c>
      <c r="W62" s="48">
        <v>0</v>
      </c>
      <c r="X62" s="48">
        <v>1</v>
      </c>
      <c r="Y62" s="48">
        <v>0</v>
      </c>
      <c r="Z62" s="48">
        <v>0</v>
      </c>
      <c r="AA62" s="48">
        <v>2</v>
      </c>
      <c r="AB62" s="48">
        <v>1</v>
      </c>
      <c r="AC62" s="48">
        <v>3</v>
      </c>
    </row>
    <row r="63" spans="1:32" ht="6.75" customHeight="1" x14ac:dyDescent="0.3">
      <c r="A63" s="8"/>
      <c r="B63" s="9"/>
      <c r="C63" s="9"/>
      <c r="D63" s="9"/>
      <c r="E63" s="9"/>
      <c r="F63" s="10"/>
      <c r="G63" s="11"/>
      <c r="H63" s="11"/>
      <c r="I63" s="11"/>
      <c r="J63" s="11"/>
      <c r="K63" s="11"/>
      <c r="L63" s="11"/>
      <c r="M63" s="50"/>
      <c r="N63" s="11"/>
      <c r="O63" s="227"/>
      <c r="P63" s="228"/>
      <c r="Q63" s="12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3"/>
    </row>
    <row r="64" spans="1:32" ht="18" customHeight="1" x14ac:dyDescent="0.3">
      <c r="A64" s="14" t="s">
        <v>45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6"/>
      <c r="M64" s="17"/>
      <c r="N64" s="14" t="s">
        <v>46</v>
      </c>
      <c r="O64" s="15"/>
      <c r="P64" s="15"/>
      <c r="Q64" s="15"/>
      <c r="R64" s="15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9"/>
    </row>
    <row r="65" spans="1:29" ht="52.5" customHeight="1" x14ac:dyDescent="0.3">
      <c r="A65" s="213" t="s">
        <v>47</v>
      </c>
      <c r="B65" s="229" t="s">
        <v>48</v>
      </c>
      <c r="C65" s="230"/>
      <c r="D65" s="231" t="s">
        <v>49</v>
      </c>
      <c r="E65" s="232"/>
      <c r="F65" s="233"/>
      <c r="G65" s="231" t="s">
        <v>50</v>
      </c>
      <c r="H65" s="232"/>
      <c r="I65" s="232"/>
      <c r="J65" s="233"/>
      <c r="K65" s="213" t="s">
        <v>51</v>
      </c>
      <c r="L65" s="213" t="s">
        <v>52</v>
      </c>
      <c r="M65" s="20"/>
      <c r="N65" s="215" t="s">
        <v>53</v>
      </c>
      <c r="O65" s="216"/>
      <c r="P65" s="217"/>
      <c r="Q65" s="215" t="s">
        <v>54</v>
      </c>
      <c r="R65" s="216"/>
      <c r="S65" s="217"/>
      <c r="T65" s="215" t="s">
        <v>55</v>
      </c>
      <c r="U65" s="216"/>
      <c r="V65" s="216"/>
      <c r="W65" s="216"/>
      <c r="X65" s="216"/>
      <c r="Y65" s="216"/>
      <c r="Z65" s="216"/>
      <c r="AA65" s="216"/>
      <c r="AB65" s="216"/>
      <c r="AC65" s="217"/>
    </row>
    <row r="66" spans="1:29" ht="60" customHeight="1" x14ac:dyDescent="0.3">
      <c r="A66" s="214"/>
      <c r="B66" s="51" t="s">
        <v>7</v>
      </c>
      <c r="C66" s="52" t="s">
        <v>87</v>
      </c>
      <c r="D66" s="52" t="s">
        <v>56</v>
      </c>
      <c r="E66" s="52" t="s">
        <v>88</v>
      </c>
      <c r="F66" s="52" t="s">
        <v>89</v>
      </c>
      <c r="G66" s="53" t="s">
        <v>56</v>
      </c>
      <c r="H66" s="52" t="s">
        <v>90</v>
      </c>
      <c r="I66" s="53" t="s">
        <v>57</v>
      </c>
      <c r="J66" s="53" t="s">
        <v>58</v>
      </c>
      <c r="K66" s="214"/>
      <c r="L66" s="214"/>
      <c r="M66" s="20"/>
      <c r="N66" s="218">
        <v>0</v>
      </c>
      <c r="O66" s="219"/>
      <c r="P66" s="220"/>
      <c r="Q66" s="221">
        <v>0</v>
      </c>
      <c r="R66" s="222"/>
      <c r="S66" s="223"/>
      <c r="T66" s="218">
        <v>0</v>
      </c>
      <c r="U66" s="219"/>
      <c r="V66" s="219"/>
      <c r="W66" s="219"/>
      <c r="X66" s="219"/>
      <c r="Y66" s="219"/>
      <c r="Z66" s="219"/>
      <c r="AA66" s="219"/>
      <c r="AB66" s="219"/>
      <c r="AC66" s="220"/>
    </row>
    <row r="67" spans="1:29" ht="38.25" customHeight="1" x14ac:dyDescent="0.3">
      <c r="A67" s="243">
        <v>1546</v>
      </c>
      <c r="B67" s="243">
        <v>28</v>
      </c>
      <c r="C67" s="243">
        <v>0</v>
      </c>
      <c r="D67" s="243">
        <v>5</v>
      </c>
      <c r="E67" s="243">
        <v>0</v>
      </c>
      <c r="F67" s="243">
        <v>0</v>
      </c>
      <c r="G67" s="243">
        <v>2</v>
      </c>
      <c r="H67" s="243">
        <v>0</v>
      </c>
      <c r="I67" s="243">
        <v>0</v>
      </c>
      <c r="J67" s="243">
        <v>2</v>
      </c>
      <c r="K67" s="243">
        <v>1</v>
      </c>
      <c r="L67" s="243">
        <v>3</v>
      </c>
      <c r="M67" s="20"/>
      <c r="N67" s="215" t="s">
        <v>59</v>
      </c>
      <c r="O67" s="216"/>
      <c r="P67" s="217"/>
      <c r="Q67" s="215" t="s">
        <v>60</v>
      </c>
      <c r="R67" s="216"/>
      <c r="S67" s="217"/>
      <c r="T67" s="195" t="s">
        <v>61</v>
      </c>
      <c r="U67" s="196"/>
      <c r="V67" s="196"/>
      <c r="W67" s="197"/>
      <c r="X67" s="195" t="s">
        <v>62</v>
      </c>
      <c r="Y67" s="196"/>
      <c r="Z67" s="196"/>
      <c r="AA67" s="196"/>
      <c r="AB67" s="196"/>
      <c r="AC67" s="197"/>
    </row>
    <row r="68" spans="1:29" ht="19.5" customHeight="1" x14ac:dyDescent="0.3">
      <c r="A68" s="244"/>
      <c r="B68" s="244"/>
      <c r="C68" s="244"/>
      <c r="D68" s="244"/>
      <c r="E68" s="244"/>
      <c r="F68" s="244"/>
      <c r="G68" s="244"/>
      <c r="H68" s="244"/>
      <c r="I68" s="244"/>
      <c r="J68" s="244"/>
      <c r="K68" s="244"/>
      <c r="L68" s="244"/>
      <c r="M68" s="54"/>
      <c r="N68" s="221">
        <v>0</v>
      </c>
      <c r="O68" s="222"/>
      <c r="P68" s="223"/>
      <c r="Q68" s="221">
        <v>0</v>
      </c>
      <c r="R68" s="222"/>
      <c r="S68" s="223"/>
      <c r="T68" s="221">
        <v>0</v>
      </c>
      <c r="U68" s="222"/>
      <c r="V68" s="222"/>
      <c r="W68" s="223"/>
      <c r="X68" s="55"/>
      <c r="Y68" s="215" t="s">
        <v>0</v>
      </c>
      <c r="Z68" s="217"/>
      <c r="AA68" s="56" t="s">
        <v>1</v>
      </c>
      <c r="AB68" s="215" t="s">
        <v>63</v>
      </c>
      <c r="AC68" s="217"/>
    </row>
    <row r="69" spans="1:29" ht="18" customHeight="1" x14ac:dyDescent="0.3">
      <c r="A69" s="244"/>
      <c r="B69" s="244"/>
      <c r="C69" s="244"/>
      <c r="D69" s="244"/>
      <c r="E69" s="244"/>
      <c r="F69" s="244"/>
      <c r="G69" s="244"/>
      <c r="H69" s="244"/>
      <c r="I69" s="244"/>
      <c r="J69" s="244"/>
      <c r="K69" s="244"/>
      <c r="L69" s="244"/>
      <c r="M69" s="54"/>
      <c r="N69" s="234"/>
      <c r="O69" s="235"/>
      <c r="P69" s="236"/>
      <c r="Q69" s="234"/>
      <c r="R69" s="235"/>
      <c r="S69" s="236"/>
      <c r="T69" s="234"/>
      <c r="U69" s="235"/>
      <c r="V69" s="235"/>
      <c r="W69" s="236"/>
      <c r="X69" s="57" t="s">
        <v>64</v>
      </c>
      <c r="Y69" s="240">
        <v>0</v>
      </c>
      <c r="Z69" s="240"/>
      <c r="AA69" s="58">
        <v>0</v>
      </c>
      <c r="AB69" s="241">
        <v>0</v>
      </c>
      <c r="AC69" s="242"/>
    </row>
    <row r="70" spans="1:29" ht="18" customHeight="1" x14ac:dyDescent="0.3">
      <c r="A70" s="244"/>
      <c r="B70" s="244"/>
      <c r="C70" s="244"/>
      <c r="D70" s="244"/>
      <c r="E70" s="244"/>
      <c r="F70" s="244"/>
      <c r="G70" s="244"/>
      <c r="H70" s="244"/>
      <c r="I70" s="244"/>
      <c r="J70" s="244"/>
      <c r="K70" s="244"/>
      <c r="L70" s="244"/>
      <c r="M70" s="54"/>
      <c r="N70" s="234"/>
      <c r="O70" s="235"/>
      <c r="P70" s="236"/>
      <c r="Q70" s="234"/>
      <c r="R70" s="235"/>
      <c r="S70" s="236"/>
      <c r="T70" s="234"/>
      <c r="U70" s="235"/>
      <c r="V70" s="235"/>
      <c r="W70" s="236"/>
      <c r="X70" s="57" t="s">
        <v>65</v>
      </c>
      <c r="Y70" s="218">
        <v>0</v>
      </c>
      <c r="Z70" s="220"/>
      <c r="AA70" s="58">
        <v>0</v>
      </c>
      <c r="AB70" s="241">
        <v>0</v>
      </c>
      <c r="AC70" s="242"/>
    </row>
    <row r="71" spans="1:29" ht="18" customHeight="1" x14ac:dyDescent="0.3">
      <c r="A71" s="245"/>
      <c r="B71" s="245"/>
      <c r="C71" s="245"/>
      <c r="D71" s="245"/>
      <c r="E71" s="245"/>
      <c r="F71" s="245"/>
      <c r="G71" s="245"/>
      <c r="H71" s="245"/>
      <c r="I71" s="245"/>
      <c r="J71" s="245"/>
      <c r="K71" s="245"/>
      <c r="L71" s="245"/>
      <c r="M71" s="54"/>
      <c r="N71" s="237"/>
      <c r="O71" s="238"/>
      <c r="P71" s="239"/>
      <c r="Q71" s="237"/>
      <c r="R71" s="238"/>
      <c r="S71" s="239"/>
      <c r="T71" s="237"/>
      <c r="U71" s="238"/>
      <c r="V71" s="238"/>
      <c r="W71" s="239"/>
      <c r="X71" s="57" t="s">
        <v>66</v>
      </c>
      <c r="Y71" s="218">
        <v>0</v>
      </c>
      <c r="Z71" s="220"/>
      <c r="AA71" s="58">
        <v>0</v>
      </c>
      <c r="AB71" s="241">
        <v>0</v>
      </c>
      <c r="AC71" s="242"/>
    </row>
    <row r="72" spans="1:29" ht="8.25" customHeight="1" x14ac:dyDescent="0.3">
      <c r="A72" s="27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59"/>
      <c r="N72" s="28"/>
      <c r="O72" s="28"/>
      <c r="P72" s="28"/>
      <c r="Q72" s="28"/>
      <c r="R72" s="28"/>
      <c r="S72" s="28"/>
      <c r="T72" s="28"/>
      <c r="U72" s="29"/>
      <c r="V72" s="29"/>
      <c r="W72" s="29"/>
      <c r="X72" s="29"/>
      <c r="Y72" s="29"/>
      <c r="Z72" s="29"/>
      <c r="AA72" s="28"/>
      <c r="AB72" s="28"/>
      <c r="AC72" s="4"/>
    </row>
    <row r="73" spans="1:29" ht="18" customHeight="1" x14ac:dyDescent="0.3">
      <c r="A73" s="14" t="s">
        <v>67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6"/>
      <c r="M73" s="30"/>
      <c r="N73" s="14" t="s">
        <v>68</v>
      </c>
      <c r="O73" s="16"/>
      <c r="P73" s="15"/>
      <c r="Q73" s="31"/>
      <c r="R73" s="15"/>
      <c r="S73" s="15"/>
      <c r="T73" s="15"/>
      <c r="U73" s="15"/>
      <c r="V73" s="15"/>
      <c r="W73" s="15"/>
      <c r="X73" s="15"/>
      <c r="Y73" s="15"/>
      <c r="Z73" s="15"/>
      <c r="AA73" s="18"/>
      <c r="AB73" s="18"/>
      <c r="AC73" s="32"/>
    </row>
    <row r="74" spans="1:29" ht="57" customHeight="1" x14ac:dyDescent="0.3">
      <c r="A74" s="258"/>
      <c r="B74" s="259"/>
      <c r="C74" s="259"/>
      <c r="D74" s="259"/>
      <c r="E74" s="259"/>
      <c r="F74" s="260"/>
      <c r="G74" s="183" t="s">
        <v>11</v>
      </c>
      <c r="H74" s="185"/>
      <c r="I74" s="183" t="s">
        <v>12</v>
      </c>
      <c r="J74" s="185"/>
      <c r="K74" s="60" t="s">
        <v>69</v>
      </c>
      <c r="L74" s="61"/>
      <c r="M74" s="62"/>
      <c r="N74" s="215" t="s">
        <v>70</v>
      </c>
      <c r="O74" s="216"/>
      <c r="P74" s="217"/>
      <c r="Q74" s="215" t="s">
        <v>71</v>
      </c>
      <c r="R74" s="216"/>
      <c r="S74" s="217"/>
      <c r="T74" s="215" t="s">
        <v>72</v>
      </c>
      <c r="U74" s="216"/>
      <c r="V74" s="217"/>
      <c r="W74" s="215" t="s">
        <v>73</v>
      </c>
      <c r="X74" s="216"/>
      <c r="Y74" s="216"/>
      <c r="Z74" s="217"/>
      <c r="AA74" s="215" t="s">
        <v>74</v>
      </c>
      <c r="AB74" s="216"/>
      <c r="AC74" s="217"/>
    </row>
    <row r="75" spans="1:29" ht="13.5" customHeight="1" x14ac:dyDescent="0.3">
      <c r="A75" s="261"/>
      <c r="B75" s="262"/>
      <c r="C75" s="262"/>
      <c r="D75" s="262"/>
      <c r="E75" s="262"/>
      <c r="F75" s="263"/>
      <c r="G75" s="48" t="s">
        <v>75</v>
      </c>
      <c r="H75" s="48" t="s">
        <v>13</v>
      </c>
      <c r="I75" s="48" t="s">
        <v>75</v>
      </c>
      <c r="J75" s="48" t="s">
        <v>13</v>
      </c>
      <c r="K75" s="48" t="s">
        <v>75</v>
      </c>
      <c r="L75" s="48" t="s">
        <v>13</v>
      </c>
      <c r="M75" s="63"/>
      <c r="N75" s="64" t="s">
        <v>0</v>
      </c>
      <c r="O75" s="65" t="s">
        <v>1</v>
      </c>
      <c r="P75" s="65" t="s">
        <v>91</v>
      </c>
      <c r="Q75" s="64" t="s">
        <v>0</v>
      </c>
      <c r="R75" s="65" t="s">
        <v>1</v>
      </c>
      <c r="S75" s="65" t="s">
        <v>91</v>
      </c>
      <c r="T75" s="64" t="s">
        <v>0</v>
      </c>
      <c r="U75" s="65" t="s">
        <v>1</v>
      </c>
      <c r="V75" s="65" t="s">
        <v>91</v>
      </c>
      <c r="W75" s="48"/>
      <c r="X75" s="64" t="s">
        <v>0</v>
      </c>
      <c r="Y75" s="66" t="s">
        <v>1</v>
      </c>
      <c r="Z75" s="55" t="s">
        <v>76</v>
      </c>
      <c r="AA75" s="64" t="s">
        <v>0</v>
      </c>
      <c r="AB75" s="66" t="s">
        <v>1</v>
      </c>
      <c r="AC75" s="55" t="s">
        <v>76</v>
      </c>
    </row>
    <row r="76" spans="1:29" ht="18" customHeight="1" x14ac:dyDescent="0.3">
      <c r="A76" s="199" t="s">
        <v>77</v>
      </c>
      <c r="B76" s="249"/>
      <c r="C76" s="249"/>
      <c r="D76" s="249"/>
      <c r="E76" s="249"/>
      <c r="F76" s="200"/>
      <c r="G76" s="49">
        <v>0</v>
      </c>
      <c r="H76" s="49">
        <v>0</v>
      </c>
      <c r="I76" s="49">
        <v>0</v>
      </c>
      <c r="J76" s="49">
        <v>0</v>
      </c>
      <c r="K76" s="49">
        <v>0</v>
      </c>
      <c r="L76" s="49">
        <v>0</v>
      </c>
      <c r="M76" s="63"/>
      <c r="N76" s="252">
        <v>0</v>
      </c>
      <c r="O76" s="252">
        <v>7</v>
      </c>
      <c r="P76" s="255">
        <v>8</v>
      </c>
      <c r="Q76" s="255">
        <v>0</v>
      </c>
      <c r="R76" s="255">
        <v>0</v>
      </c>
      <c r="S76" s="255">
        <v>0</v>
      </c>
      <c r="T76" s="255">
        <v>0</v>
      </c>
      <c r="U76" s="255">
        <v>0</v>
      </c>
      <c r="V76" s="255">
        <v>0</v>
      </c>
      <c r="W76" s="57" t="s">
        <v>64</v>
      </c>
      <c r="X76" s="67">
        <v>0</v>
      </c>
      <c r="Y76" s="67">
        <v>0</v>
      </c>
      <c r="Z76" s="67">
        <v>0</v>
      </c>
      <c r="AA76" s="67">
        <v>0</v>
      </c>
      <c r="AB76" s="67">
        <v>0</v>
      </c>
      <c r="AC76" s="67">
        <v>0</v>
      </c>
    </row>
    <row r="77" spans="1:29" ht="18" customHeight="1" x14ac:dyDescent="0.3">
      <c r="A77" s="199" t="s">
        <v>8</v>
      </c>
      <c r="B77" s="249"/>
      <c r="C77" s="249"/>
      <c r="D77" s="249"/>
      <c r="E77" s="249"/>
      <c r="F77" s="200"/>
      <c r="G77" s="49">
        <v>0</v>
      </c>
      <c r="H77" s="49">
        <v>0</v>
      </c>
      <c r="I77" s="49">
        <v>0</v>
      </c>
      <c r="J77" s="49">
        <v>0</v>
      </c>
      <c r="K77" s="49">
        <v>0</v>
      </c>
      <c r="L77" s="49">
        <v>0</v>
      </c>
      <c r="M77" s="63"/>
      <c r="N77" s="253"/>
      <c r="O77" s="253"/>
      <c r="P77" s="256"/>
      <c r="Q77" s="256"/>
      <c r="R77" s="256"/>
      <c r="S77" s="256"/>
      <c r="T77" s="256"/>
      <c r="U77" s="256"/>
      <c r="V77" s="256"/>
      <c r="W77" s="57" t="s">
        <v>65</v>
      </c>
      <c r="X77" s="67">
        <v>0</v>
      </c>
      <c r="Y77" s="67">
        <v>0</v>
      </c>
      <c r="Z77" s="67">
        <v>0</v>
      </c>
      <c r="AA77" s="67">
        <v>0</v>
      </c>
      <c r="AB77" s="67">
        <v>0</v>
      </c>
      <c r="AC77" s="67">
        <v>0</v>
      </c>
    </row>
    <row r="78" spans="1:29" ht="18" customHeight="1" x14ac:dyDescent="0.3">
      <c r="A78" s="215" t="s">
        <v>78</v>
      </c>
      <c r="B78" s="216"/>
      <c r="C78" s="216"/>
      <c r="D78" s="216"/>
      <c r="E78" s="216"/>
      <c r="F78" s="217"/>
      <c r="G78" s="49">
        <v>0</v>
      </c>
      <c r="H78" s="49">
        <v>0</v>
      </c>
      <c r="I78" s="49">
        <v>0</v>
      </c>
      <c r="J78" s="49">
        <v>0</v>
      </c>
      <c r="K78" s="49">
        <v>0</v>
      </c>
      <c r="L78" s="49">
        <v>0</v>
      </c>
      <c r="M78" s="63"/>
      <c r="N78" s="253"/>
      <c r="O78" s="253"/>
      <c r="P78" s="256"/>
      <c r="Q78" s="256"/>
      <c r="R78" s="256"/>
      <c r="S78" s="256"/>
      <c r="T78" s="256"/>
      <c r="U78" s="256"/>
      <c r="V78" s="256"/>
      <c r="W78" s="250" t="s">
        <v>66</v>
      </c>
      <c r="X78" s="252">
        <v>0</v>
      </c>
      <c r="Y78" s="252">
        <v>0</v>
      </c>
      <c r="Z78" s="252">
        <v>0</v>
      </c>
      <c r="AA78" s="252">
        <v>0</v>
      </c>
      <c r="AB78" s="252">
        <v>0</v>
      </c>
      <c r="AC78" s="252">
        <v>0</v>
      </c>
    </row>
    <row r="79" spans="1:29" ht="18" customHeight="1" x14ac:dyDescent="0.3">
      <c r="A79" s="183" t="s">
        <v>7</v>
      </c>
      <c r="B79" s="184"/>
      <c r="C79" s="184"/>
      <c r="D79" s="184"/>
      <c r="E79" s="184"/>
      <c r="F79" s="185"/>
      <c r="G79" s="48">
        <v>0</v>
      </c>
      <c r="H79" s="48">
        <v>0</v>
      </c>
      <c r="I79" s="48">
        <v>0</v>
      </c>
      <c r="J79" s="48">
        <v>0</v>
      </c>
      <c r="K79" s="48">
        <v>0</v>
      </c>
      <c r="L79" s="48">
        <v>0</v>
      </c>
      <c r="M79" s="63"/>
      <c r="N79" s="254"/>
      <c r="O79" s="254"/>
      <c r="P79" s="257"/>
      <c r="Q79" s="257"/>
      <c r="R79" s="257"/>
      <c r="S79" s="257"/>
      <c r="T79" s="257"/>
      <c r="U79" s="257"/>
      <c r="V79" s="257"/>
      <c r="W79" s="251"/>
      <c r="X79" s="254"/>
      <c r="Y79" s="254"/>
      <c r="Z79" s="254"/>
      <c r="AA79" s="254"/>
      <c r="AB79" s="254"/>
      <c r="AC79" s="254"/>
    </row>
    <row r="80" spans="1:29" ht="23.4" x14ac:dyDescent="0.45">
      <c r="A80" s="158" t="s">
        <v>15</v>
      </c>
      <c r="B80" s="158"/>
      <c r="C80" s="158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  <c r="AA80" s="158"/>
      <c r="AB80" s="158"/>
      <c r="AC80" s="158"/>
    </row>
    <row r="81" spans="1:32" ht="23.4" x14ac:dyDescent="0.3">
      <c r="A81" s="159" t="s">
        <v>16</v>
      </c>
      <c r="B81" s="159"/>
      <c r="C81" s="159"/>
      <c r="D81" s="159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2"/>
      <c r="Y81" s="160" t="s">
        <v>17</v>
      </c>
      <c r="Z81" s="160"/>
      <c r="AA81" s="2"/>
      <c r="AB81" s="2"/>
      <c r="AC81" s="2"/>
    </row>
    <row r="82" spans="1:32" ht="15.75" customHeight="1" x14ac:dyDescent="0.3">
      <c r="A82" s="266" t="s">
        <v>98</v>
      </c>
      <c r="B82" s="266"/>
      <c r="C82" s="266"/>
      <c r="D82" s="266"/>
      <c r="E82" s="162" t="s">
        <v>94</v>
      </c>
      <c r="F82" s="162"/>
      <c r="G82" s="162"/>
      <c r="H82" s="162"/>
      <c r="I82" s="163" t="s">
        <v>20</v>
      </c>
      <c r="J82" s="163"/>
      <c r="K82" s="164" t="s">
        <v>95</v>
      </c>
      <c r="L82" s="164"/>
      <c r="M82" s="163" t="s">
        <v>21</v>
      </c>
      <c r="N82" s="163"/>
      <c r="O82" s="163" t="s">
        <v>96</v>
      </c>
      <c r="P82" s="163"/>
      <c r="Q82" s="163"/>
      <c r="R82" s="163"/>
      <c r="S82" s="43"/>
      <c r="T82" s="166" t="s">
        <v>22</v>
      </c>
      <c r="U82" s="166"/>
      <c r="V82" s="166"/>
      <c r="W82" s="166"/>
      <c r="X82" s="166"/>
      <c r="Y82" s="152" t="s">
        <v>80</v>
      </c>
      <c r="Z82" s="152"/>
      <c r="AA82" s="152"/>
      <c r="AB82" s="153" t="s">
        <v>83</v>
      </c>
      <c r="AC82" s="153"/>
    </row>
    <row r="83" spans="1:32" ht="15" customHeight="1" x14ac:dyDescent="0.3">
      <c r="T83" s="166"/>
      <c r="U83" s="166"/>
      <c r="V83" s="166"/>
      <c r="W83" s="166"/>
      <c r="X83" s="166"/>
      <c r="Y83" s="152"/>
      <c r="Z83" s="152"/>
      <c r="AA83" s="152"/>
      <c r="AB83" s="153"/>
      <c r="AC83" s="153"/>
    </row>
    <row r="84" spans="1:32" ht="15.75" customHeight="1" x14ac:dyDescent="0.35">
      <c r="A84" s="264" t="s">
        <v>24</v>
      </c>
      <c r="B84" s="264"/>
      <c r="C84" s="264"/>
      <c r="D84" s="264"/>
      <c r="E84" s="264"/>
      <c r="F84" s="264"/>
      <c r="G84" s="264"/>
      <c r="H84" s="155" t="s">
        <v>97</v>
      </c>
      <c r="I84" s="155"/>
      <c r="J84" s="155"/>
      <c r="K84" s="155"/>
      <c r="L84" s="155"/>
      <c r="M84" s="155"/>
      <c r="N84" s="155"/>
      <c r="O84" s="44"/>
      <c r="P84" s="44"/>
      <c r="T84" s="156" t="s">
        <v>26</v>
      </c>
      <c r="U84" s="156"/>
      <c r="V84" s="156"/>
      <c r="W84" s="156"/>
      <c r="X84" s="156"/>
      <c r="Y84" s="156"/>
      <c r="Z84" s="265" t="s">
        <v>27</v>
      </c>
      <c r="AA84" s="265"/>
      <c r="AB84" s="265"/>
      <c r="AC84" s="265"/>
    </row>
    <row r="85" spans="1:32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32" ht="15" customHeight="1" x14ac:dyDescent="0.3">
      <c r="A86" s="186" t="s">
        <v>29</v>
      </c>
      <c r="B86" s="187"/>
      <c r="C86" s="187"/>
      <c r="D86" s="187"/>
      <c r="E86" s="187"/>
      <c r="F86" s="187"/>
      <c r="G86" s="187"/>
      <c r="H86" s="187"/>
      <c r="I86" s="187"/>
      <c r="J86" s="188"/>
      <c r="K86" s="167" t="s">
        <v>30</v>
      </c>
      <c r="L86" s="168"/>
      <c r="M86" s="167" t="s">
        <v>31</v>
      </c>
      <c r="N86" s="168"/>
      <c r="O86" s="189" t="s">
        <v>32</v>
      </c>
      <c r="P86" s="190"/>
      <c r="Q86" s="191"/>
      <c r="R86" s="167" t="s">
        <v>33</v>
      </c>
      <c r="S86" s="198"/>
      <c r="T86" s="168"/>
      <c r="U86" s="183" t="s">
        <v>34</v>
      </c>
      <c r="V86" s="184"/>
      <c r="W86" s="184"/>
      <c r="X86" s="184"/>
      <c r="Y86" s="184"/>
      <c r="Z86" s="184"/>
      <c r="AA86" s="185"/>
      <c r="AB86" s="167" t="s">
        <v>7</v>
      </c>
      <c r="AC86" s="168"/>
    </row>
    <row r="87" spans="1:32" ht="23.25" customHeight="1" x14ac:dyDescent="0.3">
      <c r="A87" s="169" t="s">
        <v>35</v>
      </c>
      <c r="B87" s="173"/>
      <c r="C87" s="173"/>
      <c r="D87" s="173"/>
      <c r="E87" s="173"/>
      <c r="F87" s="173"/>
      <c r="G87" s="173"/>
      <c r="H87" s="173"/>
      <c r="I87" s="173"/>
      <c r="J87" s="170"/>
      <c r="K87" s="169"/>
      <c r="L87" s="170"/>
      <c r="M87" s="169"/>
      <c r="N87" s="170"/>
      <c r="O87" s="192"/>
      <c r="P87" s="193"/>
      <c r="Q87" s="194"/>
      <c r="R87" s="169"/>
      <c r="S87" s="173"/>
      <c r="T87" s="170"/>
      <c r="U87" s="175" t="s">
        <v>36</v>
      </c>
      <c r="V87" s="175"/>
      <c r="W87" s="175"/>
      <c r="X87" s="175" t="s">
        <v>37</v>
      </c>
      <c r="Y87" s="175"/>
      <c r="Z87" s="175" t="s">
        <v>38</v>
      </c>
      <c r="AA87" s="175"/>
      <c r="AB87" s="169"/>
      <c r="AC87" s="170"/>
    </row>
    <row r="88" spans="1:32" x14ac:dyDescent="0.3">
      <c r="A88" s="171"/>
      <c r="B88" s="174"/>
      <c r="C88" s="174"/>
      <c r="D88" s="174"/>
      <c r="E88" s="174"/>
      <c r="F88" s="174"/>
      <c r="G88" s="174"/>
      <c r="H88" s="174"/>
      <c r="I88" s="174"/>
      <c r="J88" s="172"/>
      <c r="K88" s="171"/>
      <c r="L88" s="172"/>
      <c r="M88" s="171"/>
      <c r="N88" s="172"/>
      <c r="O88" s="195"/>
      <c r="P88" s="196"/>
      <c r="Q88" s="197"/>
      <c r="R88" s="171"/>
      <c r="S88" s="174"/>
      <c r="T88" s="172"/>
      <c r="U88" s="176"/>
      <c r="V88" s="176"/>
      <c r="W88" s="176"/>
      <c r="X88" s="176"/>
      <c r="Y88" s="176"/>
      <c r="Z88" s="176"/>
      <c r="AA88" s="176"/>
      <c r="AB88" s="171"/>
      <c r="AC88" s="172"/>
    </row>
    <row r="89" spans="1:32" ht="18" customHeight="1" x14ac:dyDescent="0.3">
      <c r="A89" s="177" t="s">
        <v>39</v>
      </c>
      <c r="B89" s="178"/>
      <c r="C89" s="178"/>
      <c r="D89" s="178"/>
      <c r="E89" s="178"/>
      <c r="F89" s="178"/>
      <c r="G89" s="178"/>
      <c r="H89" s="178"/>
      <c r="I89" s="178"/>
      <c r="J89" s="179"/>
      <c r="K89" s="180">
        <v>5</v>
      </c>
      <c r="L89" s="181"/>
      <c r="M89" s="180">
        <v>1</v>
      </c>
      <c r="N89" s="181"/>
      <c r="O89" s="180">
        <v>0</v>
      </c>
      <c r="P89" s="182"/>
      <c r="Q89" s="181"/>
      <c r="R89" s="183">
        <v>6</v>
      </c>
      <c r="S89" s="184"/>
      <c r="T89" s="185"/>
      <c r="U89" s="180">
        <v>0</v>
      </c>
      <c r="V89" s="182"/>
      <c r="W89" s="181"/>
      <c r="X89" s="180">
        <v>0</v>
      </c>
      <c r="Y89" s="181"/>
      <c r="Z89" s="180">
        <v>0</v>
      </c>
      <c r="AA89" s="181"/>
      <c r="AB89" s="199">
        <v>6</v>
      </c>
      <c r="AC89" s="200"/>
    </row>
    <row r="90" spans="1:32" ht="18" customHeight="1" x14ac:dyDescent="0.3">
      <c r="A90" s="177" t="s">
        <v>40</v>
      </c>
      <c r="B90" s="178"/>
      <c r="C90" s="178"/>
      <c r="D90" s="178"/>
      <c r="E90" s="178"/>
      <c r="F90" s="178"/>
      <c r="G90" s="178"/>
      <c r="H90" s="178"/>
      <c r="I90" s="178"/>
      <c r="J90" s="179"/>
      <c r="K90" s="180">
        <v>0</v>
      </c>
      <c r="L90" s="181"/>
      <c r="M90" s="180">
        <v>0</v>
      </c>
      <c r="N90" s="181"/>
      <c r="O90" s="180">
        <v>0</v>
      </c>
      <c r="P90" s="182"/>
      <c r="Q90" s="181"/>
      <c r="R90" s="183">
        <v>0</v>
      </c>
      <c r="S90" s="184"/>
      <c r="T90" s="185"/>
      <c r="U90" s="180">
        <v>0</v>
      </c>
      <c r="V90" s="182"/>
      <c r="W90" s="181"/>
      <c r="X90" s="180">
        <v>0</v>
      </c>
      <c r="Y90" s="181"/>
      <c r="Z90" s="180">
        <v>0</v>
      </c>
      <c r="AA90" s="181"/>
      <c r="AB90" s="199">
        <v>0</v>
      </c>
      <c r="AC90" s="200"/>
    </row>
    <row r="91" spans="1:32" ht="18" customHeight="1" x14ac:dyDescent="0.3">
      <c r="A91" s="177" t="s">
        <v>41</v>
      </c>
      <c r="B91" s="178"/>
      <c r="C91" s="178"/>
      <c r="D91" s="178"/>
      <c r="E91" s="178"/>
      <c r="F91" s="178"/>
      <c r="G91" s="178"/>
      <c r="H91" s="178"/>
      <c r="I91" s="178"/>
      <c r="J91" s="179"/>
      <c r="K91" s="180">
        <v>0</v>
      </c>
      <c r="L91" s="181"/>
      <c r="M91" s="180">
        <v>0</v>
      </c>
      <c r="N91" s="181"/>
      <c r="O91" s="180">
        <v>0</v>
      </c>
      <c r="P91" s="182"/>
      <c r="Q91" s="181"/>
      <c r="R91" s="183">
        <v>0</v>
      </c>
      <c r="S91" s="184"/>
      <c r="T91" s="185"/>
      <c r="U91" s="180">
        <v>0</v>
      </c>
      <c r="V91" s="182"/>
      <c r="W91" s="181"/>
      <c r="X91" s="180">
        <v>0</v>
      </c>
      <c r="Y91" s="181"/>
      <c r="Z91" s="180">
        <v>0</v>
      </c>
      <c r="AA91" s="181"/>
      <c r="AB91" s="199">
        <v>0</v>
      </c>
      <c r="AC91" s="200"/>
    </row>
    <row r="92" spans="1:32" ht="18" customHeight="1" x14ac:dyDescent="0.3">
      <c r="A92" s="177" t="s">
        <v>42</v>
      </c>
      <c r="B92" s="178"/>
      <c r="C92" s="178"/>
      <c r="D92" s="178"/>
      <c r="E92" s="178"/>
      <c r="F92" s="178"/>
      <c r="G92" s="178"/>
      <c r="H92" s="178"/>
      <c r="I92" s="178"/>
      <c r="J92" s="179"/>
      <c r="K92" s="180">
        <v>1</v>
      </c>
      <c r="L92" s="181"/>
      <c r="M92" s="180">
        <v>0</v>
      </c>
      <c r="N92" s="181"/>
      <c r="O92" s="180">
        <v>0</v>
      </c>
      <c r="P92" s="182"/>
      <c r="Q92" s="181"/>
      <c r="R92" s="183">
        <v>1</v>
      </c>
      <c r="S92" s="184"/>
      <c r="T92" s="185"/>
      <c r="U92" s="180">
        <v>0</v>
      </c>
      <c r="V92" s="182"/>
      <c r="W92" s="181"/>
      <c r="X92" s="180">
        <v>0</v>
      </c>
      <c r="Y92" s="181"/>
      <c r="Z92" s="180">
        <v>0</v>
      </c>
      <c r="AA92" s="181"/>
      <c r="AB92" s="199">
        <v>1</v>
      </c>
      <c r="AC92" s="200"/>
    </row>
    <row r="93" spans="1:32" ht="18" customHeight="1" x14ac:dyDescent="0.3">
      <c r="A93" s="177" t="s">
        <v>7</v>
      </c>
      <c r="B93" s="178"/>
      <c r="C93" s="178"/>
      <c r="D93" s="178"/>
      <c r="E93" s="178"/>
      <c r="F93" s="178"/>
      <c r="G93" s="178"/>
      <c r="H93" s="178"/>
      <c r="I93" s="178"/>
      <c r="J93" s="179"/>
      <c r="K93" s="183">
        <v>6</v>
      </c>
      <c r="L93" s="185"/>
      <c r="M93" s="183">
        <v>1</v>
      </c>
      <c r="N93" s="185"/>
      <c r="O93" s="183">
        <v>0</v>
      </c>
      <c r="P93" s="184"/>
      <c r="Q93" s="185"/>
      <c r="R93" s="183">
        <v>7</v>
      </c>
      <c r="S93" s="184"/>
      <c r="T93" s="185"/>
      <c r="U93" s="183">
        <v>0</v>
      </c>
      <c r="V93" s="184"/>
      <c r="W93" s="185"/>
      <c r="X93" s="183">
        <v>0</v>
      </c>
      <c r="Y93" s="185"/>
      <c r="Z93" s="183">
        <v>0</v>
      </c>
      <c r="AA93" s="185"/>
      <c r="AB93" s="183">
        <v>7</v>
      </c>
      <c r="AC93" s="185"/>
    </row>
    <row r="94" spans="1:32" ht="15.6" x14ac:dyDescent="0.3">
      <c r="A94" s="45" t="s">
        <v>43</v>
      </c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7"/>
      <c r="V94" s="47"/>
      <c r="W94" s="47"/>
      <c r="X94" s="47"/>
      <c r="Y94" s="47"/>
      <c r="Z94" s="47"/>
      <c r="AA94" s="47"/>
      <c r="AB94" s="47"/>
      <c r="AC94" s="4"/>
    </row>
    <row r="95" spans="1:32" ht="21.75" customHeight="1" x14ac:dyDescent="0.3">
      <c r="A95" s="205"/>
      <c r="B95" s="206"/>
      <c r="C95" s="206"/>
      <c r="D95" s="206"/>
      <c r="E95" s="206"/>
      <c r="F95" s="206"/>
      <c r="G95" s="206"/>
      <c r="H95" s="206"/>
      <c r="I95" s="206"/>
      <c r="J95" s="207"/>
      <c r="K95" s="183" t="s">
        <v>0</v>
      </c>
      <c r="L95" s="185"/>
      <c r="M95" s="211" t="s">
        <v>1</v>
      </c>
      <c r="N95" s="212"/>
      <c r="O95" s="201" t="s">
        <v>2</v>
      </c>
      <c r="P95" s="202"/>
      <c r="Q95" s="201" t="s">
        <v>3</v>
      </c>
      <c r="R95" s="202"/>
      <c r="S95" s="201" t="s">
        <v>4</v>
      </c>
      <c r="T95" s="202"/>
      <c r="U95" s="201" t="s">
        <v>5</v>
      </c>
      <c r="V95" s="202"/>
      <c r="W95" s="201" t="s">
        <v>6</v>
      </c>
      <c r="X95" s="202"/>
      <c r="Y95" s="201" t="s">
        <v>44</v>
      </c>
      <c r="Z95" s="202"/>
      <c r="AA95" s="201" t="s">
        <v>7</v>
      </c>
      <c r="AB95" s="202"/>
      <c r="AC95" s="203" t="s">
        <v>86</v>
      </c>
      <c r="AD95" s="5"/>
      <c r="AE95" s="6"/>
      <c r="AF95" s="6"/>
    </row>
    <row r="96" spans="1:32" x14ac:dyDescent="0.3">
      <c r="A96" s="208"/>
      <c r="B96" s="209"/>
      <c r="C96" s="209"/>
      <c r="D96" s="209"/>
      <c r="E96" s="209"/>
      <c r="F96" s="209"/>
      <c r="G96" s="209"/>
      <c r="H96" s="209"/>
      <c r="I96" s="209"/>
      <c r="J96" s="210"/>
      <c r="K96" s="48" t="s">
        <v>9</v>
      </c>
      <c r="L96" s="48" t="s">
        <v>10</v>
      </c>
      <c r="M96" s="48" t="s">
        <v>9</v>
      </c>
      <c r="N96" s="48" t="s">
        <v>10</v>
      </c>
      <c r="O96" s="48" t="s">
        <v>9</v>
      </c>
      <c r="P96" s="48" t="s">
        <v>10</v>
      </c>
      <c r="Q96" s="48" t="s">
        <v>9</v>
      </c>
      <c r="R96" s="48" t="s">
        <v>10</v>
      </c>
      <c r="S96" s="48" t="s">
        <v>9</v>
      </c>
      <c r="T96" s="48" t="s">
        <v>10</v>
      </c>
      <c r="U96" s="48" t="s">
        <v>9</v>
      </c>
      <c r="V96" s="48" t="s">
        <v>10</v>
      </c>
      <c r="W96" s="48" t="s">
        <v>9</v>
      </c>
      <c r="X96" s="48" t="s">
        <v>10</v>
      </c>
      <c r="Y96" s="48" t="s">
        <v>9</v>
      </c>
      <c r="Z96" s="48" t="s">
        <v>10</v>
      </c>
      <c r="AA96" s="48" t="s">
        <v>9</v>
      </c>
      <c r="AB96" s="48" t="s">
        <v>10</v>
      </c>
      <c r="AC96" s="204"/>
    </row>
    <row r="97" spans="1:29" ht="18" customHeight="1" x14ac:dyDescent="0.3">
      <c r="A97" s="177" t="s">
        <v>39</v>
      </c>
      <c r="B97" s="178"/>
      <c r="C97" s="178"/>
      <c r="D97" s="178"/>
      <c r="E97" s="178"/>
      <c r="F97" s="178"/>
      <c r="G97" s="178"/>
      <c r="H97" s="178"/>
      <c r="I97" s="178"/>
      <c r="J97" s="179"/>
      <c r="K97" s="49">
        <v>0</v>
      </c>
      <c r="L97" s="49">
        <v>0</v>
      </c>
      <c r="M97" s="49">
        <v>0</v>
      </c>
      <c r="N97" s="49">
        <v>0</v>
      </c>
      <c r="O97" s="49">
        <v>0</v>
      </c>
      <c r="P97" s="49">
        <v>1</v>
      </c>
      <c r="Q97" s="49">
        <v>1</v>
      </c>
      <c r="R97" s="49">
        <v>0</v>
      </c>
      <c r="S97" s="49">
        <v>1</v>
      </c>
      <c r="T97" s="49">
        <v>1</v>
      </c>
      <c r="U97" s="49">
        <v>0</v>
      </c>
      <c r="V97" s="49">
        <v>2</v>
      </c>
      <c r="W97" s="49">
        <v>0</v>
      </c>
      <c r="X97" s="49">
        <v>0</v>
      </c>
      <c r="Y97" s="49">
        <v>0</v>
      </c>
      <c r="Z97" s="49">
        <v>0</v>
      </c>
      <c r="AA97" s="48">
        <v>2</v>
      </c>
      <c r="AB97" s="48">
        <v>4</v>
      </c>
      <c r="AC97" s="48">
        <v>6</v>
      </c>
    </row>
    <row r="98" spans="1:29" ht="18" customHeight="1" x14ac:dyDescent="0.3">
      <c r="A98" s="177" t="s">
        <v>40</v>
      </c>
      <c r="B98" s="178"/>
      <c r="C98" s="178"/>
      <c r="D98" s="178"/>
      <c r="E98" s="178"/>
      <c r="F98" s="178"/>
      <c r="G98" s="178"/>
      <c r="H98" s="178"/>
      <c r="I98" s="178"/>
      <c r="J98" s="179"/>
      <c r="K98" s="49">
        <v>0</v>
      </c>
      <c r="L98" s="49">
        <v>0</v>
      </c>
      <c r="M98" s="49">
        <v>0</v>
      </c>
      <c r="N98" s="49">
        <v>0</v>
      </c>
      <c r="O98" s="49">
        <v>0</v>
      </c>
      <c r="P98" s="49">
        <v>0</v>
      </c>
      <c r="Q98" s="49">
        <v>0</v>
      </c>
      <c r="R98" s="49">
        <v>0</v>
      </c>
      <c r="S98" s="49">
        <v>0</v>
      </c>
      <c r="T98" s="49">
        <v>0</v>
      </c>
      <c r="U98" s="49">
        <v>0</v>
      </c>
      <c r="V98" s="49">
        <v>0</v>
      </c>
      <c r="W98" s="49">
        <v>0</v>
      </c>
      <c r="X98" s="49">
        <v>0</v>
      </c>
      <c r="Y98" s="49">
        <v>0</v>
      </c>
      <c r="Z98" s="49">
        <v>0</v>
      </c>
      <c r="AA98" s="48">
        <v>0</v>
      </c>
      <c r="AB98" s="48">
        <v>0</v>
      </c>
      <c r="AC98" s="48">
        <v>0</v>
      </c>
    </row>
    <row r="99" spans="1:29" ht="18" customHeight="1" x14ac:dyDescent="0.3">
      <c r="A99" s="177" t="s">
        <v>41</v>
      </c>
      <c r="B99" s="178"/>
      <c r="C99" s="178"/>
      <c r="D99" s="178"/>
      <c r="E99" s="178"/>
      <c r="F99" s="178"/>
      <c r="G99" s="178"/>
      <c r="H99" s="178"/>
      <c r="I99" s="178"/>
      <c r="J99" s="179"/>
      <c r="K99" s="49">
        <v>0</v>
      </c>
      <c r="L99" s="49">
        <v>0</v>
      </c>
      <c r="M99" s="49">
        <v>0</v>
      </c>
      <c r="N99" s="49">
        <v>0</v>
      </c>
      <c r="O99" s="49">
        <v>0</v>
      </c>
      <c r="P99" s="49">
        <v>0</v>
      </c>
      <c r="Q99" s="49">
        <v>0</v>
      </c>
      <c r="R99" s="49">
        <v>0</v>
      </c>
      <c r="S99" s="49">
        <v>0</v>
      </c>
      <c r="T99" s="49">
        <v>0</v>
      </c>
      <c r="U99" s="49">
        <v>0</v>
      </c>
      <c r="V99" s="49">
        <v>0</v>
      </c>
      <c r="W99" s="49">
        <v>0</v>
      </c>
      <c r="X99" s="49">
        <v>0</v>
      </c>
      <c r="Y99" s="49">
        <v>0</v>
      </c>
      <c r="Z99" s="49">
        <v>0</v>
      </c>
      <c r="AA99" s="48">
        <v>0</v>
      </c>
      <c r="AB99" s="48">
        <v>0</v>
      </c>
      <c r="AC99" s="48">
        <v>0</v>
      </c>
    </row>
    <row r="100" spans="1:29" ht="18" customHeight="1" x14ac:dyDescent="0.3">
      <c r="A100" s="177" t="s">
        <v>42</v>
      </c>
      <c r="B100" s="178"/>
      <c r="C100" s="178"/>
      <c r="D100" s="178"/>
      <c r="E100" s="178"/>
      <c r="F100" s="178"/>
      <c r="G100" s="178"/>
      <c r="H100" s="178"/>
      <c r="I100" s="178"/>
      <c r="J100" s="179"/>
      <c r="K100" s="49">
        <v>0</v>
      </c>
      <c r="L100" s="49">
        <v>0</v>
      </c>
      <c r="M100" s="49">
        <v>0</v>
      </c>
      <c r="N100" s="49">
        <v>0</v>
      </c>
      <c r="O100" s="49">
        <v>0</v>
      </c>
      <c r="P100" s="49">
        <v>0</v>
      </c>
      <c r="Q100" s="49">
        <v>0</v>
      </c>
      <c r="R100" s="49">
        <v>0</v>
      </c>
      <c r="S100" s="49">
        <v>0</v>
      </c>
      <c r="T100" s="49">
        <v>0</v>
      </c>
      <c r="U100" s="49">
        <v>1</v>
      </c>
      <c r="V100" s="49">
        <v>0</v>
      </c>
      <c r="W100" s="49">
        <v>0</v>
      </c>
      <c r="X100" s="49">
        <v>0</v>
      </c>
      <c r="Y100" s="49">
        <v>0</v>
      </c>
      <c r="Z100" s="49">
        <v>0</v>
      </c>
      <c r="AA100" s="48">
        <v>1</v>
      </c>
      <c r="AB100" s="48">
        <v>0</v>
      </c>
      <c r="AC100" s="48">
        <v>1</v>
      </c>
    </row>
    <row r="101" spans="1:29" ht="18" customHeight="1" x14ac:dyDescent="0.3">
      <c r="A101" s="224" t="s">
        <v>7</v>
      </c>
      <c r="B101" s="225"/>
      <c r="C101" s="225"/>
      <c r="D101" s="225"/>
      <c r="E101" s="225"/>
      <c r="F101" s="225"/>
      <c r="G101" s="225"/>
      <c r="H101" s="225"/>
      <c r="I101" s="225"/>
      <c r="J101" s="226"/>
      <c r="K101" s="48">
        <v>0</v>
      </c>
      <c r="L101" s="48">
        <v>0</v>
      </c>
      <c r="M101" s="48">
        <v>0</v>
      </c>
      <c r="N101" s="48">
        <v>0</v>
      </c>
      <c r="O101" s="48">
        <v>0</v>
      </c>
      <c r="P101" s="48">
        <v>1</v>
      </c>
      <c r="Q101" s="48">
        <v>1</v>
      </c>
      <c r="R101" s="48">
        <v>0</v>
      </c>
      <c r="S101" s="48">
        <v>1</v>
      </c>
      <c r="T101" s="48">
        <v>1</v>
      </c>
      <c r="U101" s="48">
        <v>1</v>
      </c>
      <c r="V101" s="48">
        <v>2</v>
      </c>
      <c r="W101" s="48">
        <v>0</v>
      </c>
      <c r="X101" s="48">
        <v>0</v>
      </c>
      <c r="Y101" s="48">
        <v>0</v>
      </c>
      <c r="Z101" s="48">
        <v>0</v>
      </c>
      <c r="AA101" s="48">
        <v>3</v>
      </c>
      <c r="AB101" s="48">
        <v>4</v>
      </c>
      <c r="AC101" s="48">
        <v>7</v>
      </c>
    </row>
    <row r="102" spans="1:29" ht="6.75" customHeight="1" x14ac:dyDescent="0.3">
      <c r="A102" s="8"/>
      <c r="B102" s="9"/>
      <c r="C102" s="9"/>
      <c r="D102" s="9"/>
      <c r="E102" s="9"/>
      <c r="F102" s="10"/>
      <c r="G102" s="11"/>
      <c r="H102" s="11"/>
      <c r="I102" s="11"/>
      <c r="J102" s="11"/>
      <c r="K102" s="11"/>
      <c r="L102" s="11"/>
      <c r="M102" s="50"/>
      <c r="N102" s="11"/>
      <c r="O102" s="227"/>
      <c r="P102" s="228"/>
      <c r="Q102" s="12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3"/>
    </row>
    <row r="103" spans="1:29" ht="18" customHeight="1" x14ac:dyDescent="0.3">
      <c r="A103" s="14" t="s">
        <v>45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6"/>
      <c r="M103" s="17"/>
      <c r="N103" s="14" t="s">
        <v>46</v>
      </c>
      <c r="O103" s="15"/>
      <c r="P103" s="15"/>
      <c r="Q103" s="15"/>
      <c r="R103" s="15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9"/>
    </row>
    <row r="104" spans="1:29" ht="57.75" customHeight="1" x14ac:dyDescent="0.3">
      <c r="A104" s="213" t="s">
        <v>47</v>
      </c>
      <c r="B104" s="229" t="s">
        <v>48</v>
      </c>
      <c r="C104" s="230"/>
      <c r="D104" s="231" t="s">
        <v>49</v>
      </c>
      <c r="E104" s="232"/>
      <c r="F104" s="233"/>
      <c r="G104" s="231" t="s">
        <v>50</v>
      </c>
      <c r="H104" s="232"/>
      <c r="I104" s="232"/>
      <c r="J104" s="233"/>
      <c r="K104" s="213" t="s">
        <v>51</v>
      </c>
      <c r="L104" s="213" t="s">
        <v>52</v>
      </c>
      <c r="M104" s="20"/>
      <c r="N104" s="215" t="s">
        <v>53</v>
      </c>
      <c r="O104" s="216"/>
      <c r="P104" s="217"/>
      <c r="Q104" s="215" t="s">
        <v>54</v>
      </c>
      <c r="R104" s="216"/>
      <c r="S104" s="217"/>
      <c r="T104" s="215" t="s">
        <v>55</v>
      </c>
      <c r="U104" s="216"/>
      <c r="V104" s="216"/>
      <c r="W104" s="216"/>
      <c r="X104" s="216"/>
      <c r="Y104" s="216"/>
      <c r="Z104" s="216"/>
      <c r="AA104" s="216"/>
      <c r="AB104" s="216"/>
      <c r="AC104" s="217"/>
    </row>
    <row r="105" spans="1:29" ht="57.75" customHeight="1" x14ac:dyDescent="0.3">
      <c r="A105" s="214"/>
      <c r="B105" s="51" t="s">
        <v>7</v>
      </c>
      <c r="C105" s="52" t="s">
        <v>87</v>
      </c>
      <c r="D105" s="52" t="s">
        <v>56</v>
      </c>
      <c r="E105" s="52" t="s">
        <v>88</v>
      </c>
      <c r="F105" s="52" t="s">
        <v>89</v>
      </c>
      <c r="G105" s="53" t="s">
        <v>56</v>
      </c>
      <c r="H105" s="52" t="s">
        <v>90</v>
      </c>
      <c r="I105" s="53" t="s">
        <v>57</v>
      </c>
      <c r="J105" s="53" t="s">
        <v>58</v>
      </c>
      <c r="K105" s="214"/>
      <c r="L105" s="214"/>
      <c r="M105" s="20"/>
      <c r="N105" s="215">
        <v>0</v>
      </c>
      <c r="O105" s="216"/>
      <c r="P105" s="217"/>
      <c r="Q105" s="189">
        <v>0</v>
      </c>
      <c r="R105" s="190"/>
      <c r="S105" s="191"/>
      <c r="T105" s="215">
        <v>0</v>
      </c>
      <c r="U105" s="216"/>
      <c r="V105" s="216"/>
      <c r="W105" s="216"/>
      <c r="X105" s="216"/>
      <c r="Y105" s="216"/>
      <c r="Z105" s="216"/>
      <c r="AA105" s="216"/>
      <c r="AB105" s="216"/>
      <c r="AC105" s="217"/>
    </row>
    <row r="106" spans="1:29" ht="38.25" customHeight="1" x14ac:dyDescent="0.3">
      <c r="A106" s="270">
        <v>1846</v>
      </c>
      <c r="B106" s="270">
        <v>34</v>
      </c>
      <c r="C106" s="270">
        <v>0</v>
      </c>
      <c r="D106" s="270">
        <v>22</v>
      </c>
      <c r="E106" s="270">
        <v>1</v>
      </c>
      <c r="F106" s="270">
        <v>0</v>
      </c>
      <c r="G106" s="270">
        <v>4</v>
      </c>
      <c r="H106" s="270">
        <v>2</v>
      </c>
      <c r="I106" s="270">
        <v>0</v>
      </c>
      <c r="J106" s="270">
        <v>6</v>
      </c>
      <c r="K106" s="270">
        <v>5</v>
      </c>
      <c r="L106" s="270">
        <v>6</v>
      </c>
      <c r="M106" s="20"/>
      <c r="N106" s="215" t="s">
        <v>59</v>
      </c>
      <c r="O106" s="216"/>
      <c r="P106" s="217"/>
      <c r="Q106" s="215" t="s">
        <v>60</v>
      </c>
      <c r="R106" s="216"/>
      <c r="S106" s="217"/>
      <c r="T106" s="195" t="s">
        <v>61</v>
      </c>
      <c r="U106" s="196"/>
      <c r="V106" s="196"/>
      <c r="W106" s="197"/>
      <c r="X106" s="195" t="s">
        <v>62</v>
      </c>
      <c r="Y106" s="196"/>
      <c r="Z106" s="196"/>
      <c r="AA106" s="196"/>
      <c r="AB106" s="196"/>
      <c r="AC106" s="197"/>
    </row>
    <row r="107" spans="1:29" ht="19.5" customHeight="1" x14ac:dyDescent="0.3">
      <c r="A107" s="271"/>
      <c r="B107" s="271"/>
      <c r="C107" s="271"/>
      <c r="D107" s="271"/>
      <c r="E107" s="271"/>
      <c r="F107" s="271"/>
      <c r="G107" s="271"/>
      <c r="H107" s="271"/>
      <c r="I107" s="271"/>
      <c r="J107" s="271"/>
      <c r="K107" s="271"/>
      <c r="L107" s="271"/>
      <c r="M107" s="54"/>
      <c r="N107" s="189">
        <v>0</v>
      </c>
      <c r="O107" s="190"/>
      <c r="P107" s="191"/>
      <c r="Q107" s="189">
        <v>0</v>
      </c>
      <c r="R107" s="190"/>
      <c r="S107" s="191"/>
      <c r="T107" s="189">
        <v>0</v>
      </c>
      <c r="U107" s="190"/>
      <c r="V107" s="190"/>
      <c r="W107" s="191"/>
      <c r="X107" s="55"/>
      <c r="Y107" s="215" t="s">
        <v>0</v>
      </c>
      <c r="Z107" s="217"/>
      <c r="AA107" s="56" t="s">
        <v>1</v>
      </c>
      <c r="AB107" s="215" t="s">
        <v>63</v>
      </c>
      <c r="AC107" s="217"/>
    </row>
    <row r="108" spans="1:29" ht="18" customHeight="1" x14ac:dyDescent="0.3">
      <c r="A108" s="271"/>
      <c r="B108" s="271"/>
      <c r="C108" s="271"/>
      <c r="D108" s="271"/>
      <c r="E108" s="271"/>
      <c r="F108" s="271"/>
      <c r="G108" s="271"/>
      <c r="H108" s="271"/>
      <c r="I108" s="271"/>
      <c r="J108" s="271"/>
      <c r="K108" s="271"/>
      <c r="L108" s="271"/>
      <c r="M108" s="54"/>
      <c r="N108" s="192"/>
      <c r="O108" s="193"/>
      <c r="P108" s="194"/>
      <c r="Q108" s="192"/>
      <c r="R108" s="193"/>
      <c r="S108" s="194"/>
      <c r="T108" s="192"/>
      <c r="U108" s="193"/>
      <c r="V108" s="193"/>
      <c r="W108" s="194"/>
      <c r="X108" s="57" t="s">
        <v>64</v>
      </c>
      <c r="Y108" s="267">
        <v>0</v>
      </c>
      <c r="Z108" s="267"/>
      <c r="AA108" s="56">
        <v>0</v>
      </c>
      <c r="AB108" s="268">
        <v>0</v>
      </c>
      <c r="AC108" s="269"/>
    </row>
    <row r="109" spans="1:29" ht="18" customHeight="1" x14ac:dyDescent="0.3">
      <c r="A109" s="271"/>
      <c r="B109" s="271"/>
      <c r="C109" s="271"/>
      <c r="D109" s="271"/>
      <c r="E109" s="271"/>
      <c r="F109" s="271"/>
      <c r="G109" s="271"/>
      <c r="H109" s="271"/>
      <c r="I109" s="271"/>
      <c r="J109" s="271"/>
      <c r="K109" s="271"/>
      <c r="L109" s="271"/>
      <c r="M109" s="54"/>
      <c r="N109" s="192"/>
      <c r="O109" s="193"/>
      <c r="P109" s="194"/>
      <c r="Q109" s="192"/>
      <c r="R109" s="193"/>
      <c r="S109" s="194"/>
      <c r="T109" s="192"/>
      <c r="U109" s="193"/>
      <c r="V109" s="193"/>
      <c r="W109" s="194"/>
      <c r="X109" s="57" t="s">
        <v>65</v>
      </c>
      <c r="Y109" s="215">
        <v>0</v>
      </c>
      <c r="Z109" s="217"/>
      <c r="AA109" s="56">
        <v>0</v>
      </c>
      <c r="AB109" s="268">
        <v>0</v>
      </c>
      <c r="AC109" s="269"/>
    </row>
    <row r="110" spans="1:29" ht="18" customHeight="1" x14ac:dyDescent="0.3">
      <c r="A110" s="272"/>
      <c r="B110" s="272"/>
      <c r="C110" s="272"/>
      <c r="D110" s="272"/>
      <c r="E110" s="272"/>
      <c r="F110" s="272"/>
      <c r="G110" s="272"/>
      <c r="H110" s="272"/>
      <c r="I110" s="272"/>
      <c r="J110" s="272"/>
      <c r="K110" s="272"/>
      <c r="L110" s="272"/>
      <c r="M110" s="54"/>
      <c r="N110" s="195"/>
      <c r="O110" s="196"/>
      <c r="P110" s="197"/>
      <c r="Q110" s="195"/>
      <c r="R110" s="196"/>
      <c r="S110" s="197"/>
      <c r="T110" s="195"/>
      <c r="U110" s="196"/>
      <c r="V110" s="196"/>
      <c r="W110" s="197"/>
      <c r="X110" s="57" t="s">
        <v>66</v>
      </c>
      <c r="Y110" s="215">
        <v>0</v>
      </c>
      <c r="Z110" s="217"/>
      <c r="AA110" s="56">
        <v>0</v>
      </c>
      <c r="AB110" s="268">
        <v>0</v>
      </c>
      <c r="AC110" s="269"/>
    </row>
    <row r="111" spans="1:29" ht="8.25" customHeight="1" x14ac:dyDescent="0.3">
      <c r="A111" s="27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59"/>
      <c r="N111" s="28"/>
      <c r="O111" s="28"/>
      <c r="P111" s="28"/>
      <c r="Q111" s="28"/>
      <c r="R111" s="28"/>
      <c r="S111" s="28"/>
      <c r="T111" s="28"/>
      <c r="U111" s="29"/>
      <c r="V111" s="29"/>
      <c r="W111" s="29"/>
      <c r="X111" s="29"/>
      <c r="Y111" s="29"/>
      <c r="Z111" s="29"/>
      <c r="AA111" s="28"/>
      <c r="AB111" s="28"/>
      <c r="AC111" s="4"/>
    </row>
    <row r="112" spans="1:29" ht="18" customHeight="1" x14ac:dyDescent="0.3">
      <c r="A112" s="14" t="s">
        <v>67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6"/>
      <c r="M112" s="30"/>
      <c r="N112" s="14" t="s">
        <v>68</v>
      </c>
      <c r="O112" s="16"/>
      <c r="P112" s="15"/>
      <c r="Q112" s="31"/>
      <c r="R112" s="15"/>
      <c r="S112" s="15"/>
      <c r="T112" s="15"/>
      <c r="U112" s="15"/>
      <c r="V112" s="15"/>
      <c r="W112" s="15"/>
      <c r="X112" s="15"/>
      <c r="Y112" s="15"/>
      <c r="Z112" s="15"/>
      <c r="AA112" s="18"/>
      <c r="AB112" s="18"/>
      <c r="AC112" s="32"/>
    </row>
    <row r="113" spans="1:29" ht="57" customHeight="1" x14ac:dyDescent="0.3">
      <c r="A113" s="258"/>
      <c r="B113" s="259"/>
      <c r="C113" s="259"/>
      <c r="D113" s="259"/>
      <c r="E113" s="259"/>
      <c r="F113" s="260"/>
      <c r="G113" s="183" t="s">
        <v>11</v>
      </c>
      <c r="H113" s="185"/>
      <c r="I113" s="183" t="s">
        <v>12</v>
      </c>
      <c r="J113" s="185"/>
      <c r="K113" s="60" t="s">
        <v>69</v>
      </c>
      <c r="L113" s="61"/>
      <c r="M113" s="62"/>
      <c r="N113" s="215" t="s">
        <v>70</v>
      </c>
      <c r="O113" s="216"/>
      <c r="P113" s="217"/>
      <c r="Q113" s="215" t="s">
        <v>71</v>
      </c>
      <c r="R113" s="216"/>
      <c r="S113" s="217"/>
      <c r="T113" s="215" t="s">
        <v>72</v>
      </c>
      <c r="U113" s="216"/>
      <c r="V113" s="217"/>
      <c r="W113" s="215" t="s">
        <v>73</v>
      </c>
      <c r="X113" s="216"/>
      <c r="Y113" s="216"/>
      <c r="Z113" s="217"/>
      <c r="AA113" s="215" t="s">
        <v>74</v>
      </c>
      <c r="AB113" s="216"/>
      <c r="AC113" s="217"/>
    </row>
    <row r="114" spans="1:29" ht="13.5" customHeight="1" x14ac:dyDescent="0.3">
      <c r="A114" s="261"/>
      <c r="B114" s="262"/>
      <c r="C114" s="262"/>
      <c r="D114" s="262"/>
      <c r="E114" s="262"/>
      <c r="F114" s="263"/>
      <c r="G114" s="48" t="s">
        <v>75</v>
      </c>
      <c r="H114" s="48" t="s">
        <v>13</v>
      </c>
      <c r="I114" s="48" t="s">
        <v>75</v>
      </c>
      <c r="J114" s="48" t="s">
        <v>13</v>
      </c>
      <c r="K114" s="48" t="s">
        <v>75</v>
      </c>
      <c r="L114" s="48" t="s">
        <v>13</v>
      </c>
      <c r="M114" s="63"/>
      <c r="N114" s="64" t="s">
        <v>0</v>
      </c>
      <c r="O114" s="65" t="s">
        <v>1</v>
      </c>
      <c r="P114" s="65" t="s">
        <v>91</v>
      </c>
      <c r="Q114" s="64" t="s">
        <v>0</v>
      </c>
      <c r="R114" s="65" t="s">
        <v>1</v>
      </c>
      <c r="S114" s="65" t="s">
        <v>91</v>
      </c>
      <c r="T114" s="64" t="s">
        <v>0</v>
      </c>
      <c r="U114" s="65" t="s">
        <v>1</v>
      </c>
      <c r="V114" s="65" t="s">
        <v>91</v>
      </c>
      <c r="W114" s="48"/>
      <c r="X114" s="64" t="s">
        <v>0</v>
      </c>
      <c r="Y114" s="66" t="s">
        <v>1</v>
      </c>
      <c r="Z114" s="55" t="s">
        <v>76</v>
      </c>
      <c r="AA114" s="64" t="s">
        <v>0</v>
      </c>
      <c r="AB114" s="66" t="s">
        <v>1</v>
      </c>
      <c r="AC114" s="55" t="s">
        <v>76</v>
      </c>
    </row>
    <row r="115" spans="1:29" ht="18" customHeight="1" x14ac:dyDescent="0.3">
      <c r="A115" s="199" t="s">
        <v>77</v>
      </c>
      <c r="B115" s="249"/>
      <c r="C115" s="249"/>
      <c r="D115" s="249"/>
      <c r="E115" s="249"/>
      <c r="F115" s="200"/>
      <c r="G115" s="49">
        <v>0</v>
      </c>
      <c r="H115" s="49">
        <v>0</v>
      </c>
      <c r="I115" s="49">
        <v>0</v>
      </c>
      <c r="J115" s="49">
        <v>0</v>
      </c>
      <c r="K115" s="49">
        <v>0</v>
      </c>
      <c r="L115" s="49">
        <v>0</v>
      </c>
      <c r="M115" s="63"/>
      <c r="N115" s="252">
        <v>3</v>
      </c>
      <c r="O115" s="252">
        <v>9</v>
      </c>
      <c r="P115" s="255">
        <v>22</v>
      </c>
      <c r="Q115" s="255">
        <v>3</v>
      </c>
      <c r="R115" s="255">
        <v>8</v>
      </c>
      <c r="S115" s="255">
        <v>15</v>
      </c>
      <c r="T115" s="255">
        <v>0</v>
      </c>
      <c r="U115" s="255">
        <v>0</v>
      </c>
      <c r="V115" s="255">
        <v>0</v>
      </c>
      <c r="W115" s="57" t="s">
        <v>64</v>
      </c>
      <c r="X115" s="67">
        <v>2</v>
      </c>
      <c r="Y115" s="67">
        <v>0</v>
      </c>
      <c r="Z115" s="67">
        <v>0</v>
      </c>
      <c r="AA115" s="67">
        <v>0</v>
      </c>
      <c r="AB115" s="67">
        <v>0</v>
      </c>
      <c r="AC115" s="67">
        <v>0</v>
      </c>
    </row>
    <row r="116" spans="1:29" ht="18" customHeight="1" x14ac:dyDescent="0.3">
      <c r="A116" s="199" t="s">
        <v>8</v>
      </c>
      <c r="B116" s="249"/>
      <c r="C116" s="249"/>
      <c r="D116" s="249"/>
      <c r="E116" s="249"/>
      <c r="F116" s="200"/>
      <c r="G116" s="49">
        <v>0</v>
      </c>
      <c r="H116" s="68">
        <v>0</v>
      </c>
      <c r="I116" s="49">
        <v>0</v>
      </c>
      <c r="J116" s="69">
        <v>0</v>
      </c>
      <c r="K116" s="49">
        <v>0</v>
      </c>
      <c r="L116" s="49">
        <v>0</v>
      </c>
      <c r="M116" s="63"/>
      <c r="N116" s="253"/>
      <c r="O116" s="253"/>
      <c r="P116" s="256"/>
      <c r="Q116" s="256"/>
      <c r="R116" s="256"/>
      <c r="S116" s="256"/>
      <c r="T116" s="256"/>
      <c r="U116" s="256"/>
      <c r="V116" s="256"/>
      <c r="W116" s="57" t="s">
        <v>65</v>
      </c>
      <c r="X116" s="67">
        <v>0</v>
      </c>
      <c r="Y116" s="67">
        <v>0</v>
      </c>
      <c r="Z116" s="67">
        <v>0</v>
      </c>
      <c r="AA116" s="67">
        <v>0</v>
      </c>
      <c r="AB116" s="67">
        <v>0</v>
      </c>
      <c r="AC116" s="67">
        <v>0</v>
      </c>
    </row>
    <row r="117" spans="1:29" ht="18" customHeight="1" x14ac:dyDescent="0.3">
      <c r="A117" s="215" t="s">
        <v>78</v>
      </c>
      <c r="B117" s="216"/>
      <c r="C117" s="216"/>
      <c r="D117" s="216"/>
      <c r="E117" s="216"/>
      <c r="F117" s="217"/>
      <c r="G117" s="49">
        <v>0</v>
      </c>
      <c r="H117" s="49">
        <v>0</v>
      </c>
      <c r="I117" s="49">
        <v>0</v>
      </c>
      <c r="J117" s="49">
        <v>0</v>
      </c>
      <c r="K117" s="49">
        <v>0</v>
      </c>
      <c r="L117" s="49">
        <v>0</v>
      </c>
      <c r="M117" s="63"/>
      <c r="N117" s="253"/>
      <c r="O117" s="253"/>
      <c r="P117" s="256"/>
      <c r="Q117" s="256"/>
      <c r="R117" s="256"/>
      <c r="S117" s="256"/>
      <c r="T117" s="256"/>
      <c r="U117" s="256"/>
      <c r="V117" s="256"/>
      <c r="W117" s="250" t="s">
        <v>66</v>
      </c>
      <c r="X117" s="252">
        <v>5</v>
      </c>
      <c r="Y117" s="252">
        <v>13</v>
      </c>
      <c r="Z117" s="252">
        <v>0</v>
      </c>
      <c r="AA117" s="252">
        <v>0</v>
      </c>
      <c r="AB117" s="252">
        <v>0</v>
      </c>
      <c r="AC117" s="252">
        <v>0</v>
      </c>
    </row>
    <row r="118" spans="1:29" ht="18" customHeight="1" x14ac:dyDescent="0.3">
      <c r="A118" s="183" t="s">
        <v>7</v>
      </c>
      <c r="B118" s="184"/>
      <c r="C118" s="184"/>
      <c r="D118" s="184"/>
      <c r="E118" s="184"/>
      <c r="F118" s="185"/>
      <c r="G118" s="48">
        <v>0</v>
      </c>
      <c r="H118" s="48">
        <v>0</v>
      </c>
      <c r="I118" s="48">
        <v>0</v>
      </c>
      <c r="J118" s="48">
        <v>0</v>
      </c>
      <c r="K118" s="48">
        <v>0</v>
      </c>
      <c r="L118" s="48">
        <v>0</v>
      </c>
      <c r="M118" s="63"/>
      <c r="N118" s="254"/>
      <c r="O118" s="254"/>
      <c r="P118" s="257"/>
      <c r="Q118" s="257"/>
      <c r="R118" s="257"/>
      <c r="S118" s="257"/>
      <c r="T118" s="257"/>
      <c r="U118" s="257"/>
      <c r="V118" s="257"/>
      <c r="W118" s="251"/>
      <c r="X118" s="254"/>
      <c r="Y118" s="254"/>
      <c r="Z118" s="254"/>
      <c r="AA118" s="254"/>
      <c r="AB118" s="254"/>
      <c r="AC118" s="254"/>
    </row>
    <row r="119" spans="1:29" ht="23.4" x14ac:dyDescent="0.45">
      <c r="A119" s="158" t="s">
        <v>15</v>
      </c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  <c r="Z119" s="158"/>
      <c r="AA119" s="158"/>
      <c r="AB119" s="158"/>
      <c r="AC119" s="158"/>
    </row>
    <row r="120" spans="1:29" ht="23.4" x14ac:dyDescent="0.3">
      <c r="A120" s="159" t="s">
        <v>16</v>
      </c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2"/>
      <c r="Y120" s="160" t="s">
        <v>17</v>
      </c>
      <c r="Z120" s="160"/>
      <c r="AA120" s="2"/>
      <c r="AB120" s="2"/>
      <c r="AC120" s="2"/>
    </row>
    <row r="121" spans="1:29" ht="15.75" customHeight="1" x14ac:dyDescent="0.3">
      <c r="A121" s="266" t="s">
        <v>98</v>
      </c>
      <c r="B121" s="266"/>
      <c r="C121" s="266"/>
      <c r="D121" s="266"/>
      <c r="E121" s="162" t="s">
        <v>94</v>
      </c>
      <c r="F121" s="162"/>
      <c r="G121" s="162"/>
      <c r="H121" s="162"/>
      <c r="I121" s="163" t="s">
        <v>20</v>
      </c>
      <c r="J121" s="163"/>
      <c r="K121" s="164" t="s">
        <v>95</v>
      </c>
      <c r="L121" s="164"/>
      <c r="M121" s="163" t="s">
        <v>21</v>
      </c>
      <c r="N121" s="163"/>
      <c r="O121" s="163" t="s">
        <v>96</v>
      </c>
      <c r="P121" s="163"/>
      <c r="Q121" s="163"/>
      <c r="R121" s="163"/>
      <c r="S121" s="43"/>
      <c r="T121" s="166" t="s">
        <v>22</v>
      </c>
      <c r="U121" s="166"/>
      <c r="V121" s="166"/>
      <c r="W121" s="166"/>
      <c r="X121" s="166"/>
      <c r="Y121" s="152" t="s">
        <v>81</v>
      </c>
      <c r="Z121" s="152"/>
      <c r="AA121" s="152"/>
      <c r="AB121" s="153" t="s">
        <v>83</v>
      </c>
      <c r="AC121" s="153"/>
    </row>
    <row r="122" spans="1:29" ht="15" customHeight="1" x14ac:dyDescent="0.3">
      <c r="T122" s="166"/>
      <c r="U122" s="166"/>
      <c r="V122" s="166"/>
      <c r="W122" s="166"/>
      <c r="X122" s="166"/>
      <c r="Y122" s="152"/>
      <c r="Z122" s="152"/>
      <c r="AA122" s="152"/>
      <c r="AB122" s="153"/>
      <c r="AC122" s="153"/>
    </row>
    <row r="123" spans="1:29" ht="15.75" customHeight="1" x14ac:dyDescent="0.35">
      <c r="A123" s="264" t="s">
        <v>24</v>
      </c>
      <c r="B123" s="264"/>
      <c r="C123" s="264"/>
      <c r="D123" s="264"/>
      <c r="E123" s="264"/>
      <c r="F123" s="264"/>
      <c r="G123" s="264"/>
      <c r="H123" s="155" t="s">
        <v>97</v>
      </c>
      <c r="I123" s="155"/>
      <c r="J123" s="155"/>
      <c r="K123" s="155"/>
      <c r="L123" s="155"/>
      <c r="M123" s="155"/>
      <c r="N123" s="155"/>
      <c r="O123" s="44"/>
      <c r="P123" s="44"/>
      <c r="T123" s="156" t="s">
        <v>26</v>
      </c>
      <c r="U123" s="156"/>
      <c r="V123" s="156"/>
      <c r="W123" s="156"/>
      <c r="X123" s="156"/>
      <c r="Y123" s="156"/>
      <c r="Z123" s="265" t="s">
        <v>27</v>
      </c>
      <c r="AA123" s="265"/>
      <c r="AB123" s="265"/>
      <c r="AC123" s="265"/>
    </row>
    <row r="124" spans="1:29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5" customHeight="1" x14ac:dyDescent="0.3">
      <c r="A125" s="186" t="s">
        <v>29</v>
      </c>
      <c r="B125" s="187"/>
      <c r="C125" s="187"/>
      <c r="D125" s="187"/>
      <c r="E125" s="187"/>
      <c r="F125" s="187"/>
      <c r="G125" s="187"/>
      <c r="H125" s="187"/>
      <c r="I125" s="187"/>
      <c r="J125" s="188"/>
      <c r="K125" s="167" t="s">
        <v>30</v>
      </c>
      <c r="L125" s="168"/>
      <c r="M125" s="167" t="s">
        <v>31</v>
      </c>
      <c r="N125" s="168"/>
      <c r="O125" s="189" t="s">
        <v>32</v>
      </c>
      <c r="P125" s="190"/>
      <c r="Q125" s="191"/>
      <c r="R125" s="167" t="s">
        <v>33</v>
      </c>
      <c r="S125" s="198"/>
      <c r="T125" s="168"/>
      <c r="U125" s="183" t="s">
        <v>34</v>
      </c>
      <c r="V125" s="184"/>
      <c r="W125" s="184"/>
      <c r="X125" s="184"/>
      <c r="Y125" s="184"/>
      <c r="Z125" s="184"/>
      <c r="AA125" s="185"/>
      <c r="AB125" s="167" t="s">
        <v>7</v>
      </c>
      <c r="AC125" s="168"/>
    </row>
    <row r="126" spans="1:29" ht="23.25" customHeight="1" x14ac:dyDescent="0.3">
      <c r="A126" s="169" t="s">
        <v>35</v>
      </c>
      <c r="B126" s="173"/>
      <c r="C126" s="173"/>
      <c r="D126" s="173"/>
      <c r="E126" s="173"/>
      <c r="F126" s="173"/>
      <c r="G126" s="173"/>
      <c r="H126" s="173"/>
      <c r="I126" s="173"/>
      <c r="J126" s="170"/>
      <c r="K126" s="169"/>
      <c r="L126" s="170"/>
      <c r="M126" s="169"/>
      <c r="N126" s="170"/>
      <c r="O126" s="192"/>
      <c r="P126" s="193"/>
      <c r="Q126" s="194"/>
      <c r="R126" s="169"/>
      <c r="S126" s="173"/>
      <c r="T126" s="170"/>
      <c r="U126" s="175" t="s">
        <v>36</v>
      </c>
      <c r="V126" s="175"/>
      <c r="W126" s="175"/>
      <c r="X126" s="175" t="s">
        <v>37</v>
      </c>
      <c r="Y126" s="175"/>
      <c r="Z126" s="175" t="s">
        <v>38</v>
      </c>
      <c r="AA126" s="175"/>
      <c r="AB126" s="169"/>
      <c r="AC126" s="170"/>
    </row>
    <row r="127" spans="1:29" x14ac:dyDescent="0.3">
      <c r="A127" s="171"/>
      <c r="B127" s="174"/>
      <c r="C127" s="174"/>
      <c r="D127" s="174"/>
      <c r="E127" s="174"/>
      <c r="F127" s="174"/>
      <c r="G127" s="174"/>
      <c r="H127" s="174"/>
      <c r="I127" s="174"/>
      <c r="J127" s="172"/>
      <c r="K127" s="171"/>
      <c r="L127" s="172"/>
      <c r="M127" s="171"/>
      <c r="N127" s="172"/>
      <c r="O127" s="195"/>
      <c r="P127" s="196"/>
      <c r="Q127" s="197"/>
      <c r="R127" s="171"/>
      <c r="S127" s="174"/>
      <c r="T127" s="172"/>
      <c r="U127" s="176"/>
      <c r="V127" s="176"/>
      <c r="W127" s="176"/>
      <c r="X127" s="176"/>
      <c r="Y127" s="176"/>
      <c r="Z127" s="176"/>
      <c r="AA127" s="176"/>
      <c r="AB127" s="171"/>
      <c r="AC127" s="172"/>
    </row>
    <row r="128" spans="1:29" ht="18" customHeight="1" x14ac:dyDescent="0.3">
      <c r="A128" s="177" t="s">
        <v>39</v>
      </c>
      <c r="B128" s="178"/>
      <c r="C128" s="178"/>
      <c r="D128" s="178"/>
      <c r="E128" s="178"/>
      <c r="F128" s="178"/>
      <c r="G128" s="178"/>
      <c r="H128" s="178"/>
      <c r="I128" s="178"/>
      <c r="J128" s="179"/>
      <c r="K128" s="180">
        <v>6</v>
      </c>
      <c r="L128" s="181"/>
      <c r="M128" s="180">
        <v>1</v>
      </c>
      <c r="N128" s="181"/>
      <c r="O128" s="180">
        <v>0</v>
      </c>
      <c r="P128" s="182"/>
      <c r="Q128" s="181"/>
      <c r="R128" s="183">
        <v>7</v>
      </c>
      <c r="S128" s="184"/>
      <c r="T128" s="185"/>
      <c r="U128" s="180">
        <v>0</v>
      </c>
      <c r="V128" s="182"/>
      <c r="W128" s="181"/>
      <c r="X128" s="180">
        <v>0</v>
      </c>
      <c r="Y128" s="181"/>
      <c r="Z128" s="180">
        <v>0</v>
      </c>
      <c r="AA128" s="181"/>
      <c r="AB128" s="199">
        <v>7</v>
      </c>
      <c r="AC128" s="200"/>
    </row>
    <row r="129" spans="1:32" ht="18" customHeight="1" x14ac:dyDescent="0.3">
      <c r="A129" s="177" t="s">
        <v>40</v>
      </c>
      <c r="B129" s="178"/>
      <c r="C129" s="178"/>
      <c r="D129" s="178"/>
      <c r="E129" s="178"/>
      <c r="F129" s="178"/>
      <c r="G129" s="178"/>
      <c r="H129" s="178"/>
      <c r="I129" s="178"/>
      <c r="J129" s="179"/>
      <c r="K129" s="180">
        <v>1</v>
      </c>
      <c r="L129" s="181"/>
      <c r="M129" s="180">
        <v>0</v>
      </c>
      <c r="N129" s="181"/>
      <c r="O129" s="180">
        <v>0</v>
      </c>
      <c r="P129" s="182"/>
      <c r="Q129" s="181"/>
      <c r="R129" s="183">
        <v>1</v>
      </c>
      <c r="S129" s="184"/>
      <c r="T129" s="185"/>
      <c r="U129" s="180">
        <v>0</v>
      </c>
      <c r="V129" s="182"/>
      <c r="W129" s="181"/>
      <c r="X129" s="180">
        <v>0</v>
      </c>
      <c r="Y129" s="181"/>
      <c r="Z129" s="180">
        <v>0</v>
      </c>
      <c r="AA129" s="181"/>
      <c r="AB129" s="199">
        <v>1</v>
      </c>
      <c r="AC129" s="200"/>
    </row>
    <row r="130" spans="1:32" ht="18" customHeight="1" x14ac:dyDescent="0.3">
      <c r="A130" s="177" t="s">
        <v>41</v>
      </c>
      <c r="B130" s="178"/>
      <c r="C130" s="178"/>
      <c r="D130" s="178"/>
      <c r="E130" s="178"/>
      <c r="F130" s="178"/>
      <c r="G130" s="178"/>
      <c r="H130" s="178"/>
      <c r="I130" s="178"/>
      <c r="J130" s="179"/>
      <c r="K130" s="180">
        <v>0</v>
      </c>
      <c r="L130" s="181"/>
      <c r="M130" s="180">
        <v>0</v>
      </c>
      <c r="N130" s="181"/>
      <c r="O130" s="180">
        <v>0</v>
      </c>
      <c r="P130" s="182"/>
      <c r="Q130" s="181"/>
      <c r="R130" s="183">
        <v>0</v>
      </c>
      <c r="S130" s="184"/>
      <c r="T130" s="185"/>
      <c r="U130" s="180">
        <v>0</v>
      </c>
      <c r="V130" s="182"/>
      <c r="W130" s="181"/>
      <c r="X130" s="180">
        <v>0</v>
      </c>
      <c r="Y130" s="181"/>
      <c r="Z130" s="180">
        <v>0</v>
      </c>
      <c r="AA130" s="181"/>
      <c r="AB130" s="199">
        <v>0</v>
      </c>
      <c r="AC130" s="200"/>
    </row>
    <row r="131" spans="1:32" ht="18" customHeight="1" x14ac:dyDescent="0.3">
      <c r="A131" s="177" t="s">
        <v>42</v>
      </c>
      <c r="B131" s="178"/>
      <c r="C131" s="178"/>
      <c r="D131" s="178"/>
      <c r="E131" s="178"/>
      <c r="F131" s="178"/>
      <c r="G131" s="178"/>
      <c r="H131" s="178"/>
      <c r="I131" s="178"/>
      <c r="J131" s="179"/>
      <c r="K131" s="180">
        <v>3</v>
      </c>
      <c r="L131" s="181"/>
      <c r="M131" s="180">
        <v>0</v>
      </c>
      <c r="N131" s="181"/>
      <c r="O131" s="180">
        <v>0</v>
      </c>
      <c r="P131" s="182"/>
      <c r="Q131" s="181"/>
      <c r="R131" s="183">
        <v>3</v>
      </c>
      <c r="S131" s="184"/>
      <c r="T131" s="185"/>
      <c r="U131" s="180">
        <v>0</v>
      </c>
      <c r="V131" s="182"/>
      <c r="W131" s="181"/>
      <c r="X131" s="180">
        <v>0</v>
      </c>
      <c r="Y131" s="181"/>
      <c r="Z131" s="180">
        <v>0</v>
      </c>
      <c r="AA131" s="181"/>
      <c r="AB131" s="199">
        <v>3</v>
      </c>
      <c r="AC131" s="200"/>
    </row>
    <row r="132" spans="1:32" ht="18" customHeight="1" x14ac:dyDescent="0.3">
      <c r="A132" s="177" t="s">
        <v>7</v>
      </c>
      <c r="B132" s="178"/>
      <c r="C132" s="178"/>
      <c r="D132" s="178"/>
      <c r="E132" s="178"/>
      <c r="F132" s="178"/>
      <c r="G132" s="178"/>
      <c r="H132" s="178"/>
      <c r="I132" s="178"/>
      <c r="J132" s="179"/>
      <c r="K132" s="183">
        <v>10</v>
      </c>
      <c r="L132" s="185"/>
      <c r="M132" s="183">
        <v>1</v>
      </c>
      <c r="N132" s="185"/>
      <c r="O132" s="183">
        <v>0</v>
      </c>
      <c r="P132" s="184"/>
      <c r="Q132" s="185"/>
      <c r="R132" s="183">
        <v>11</v>
      </c>
      <c r="S132" s="184"/>
      <c r="T132" s="185"/>
      <c r="U132" s="183">
        <v>0</v>
      </c>
      <c r="V132" s="184"/>
      <c r="W132" s="185"/>
      <c r="X132" s="183">
        <v>0</v>
      </c>
      <c r="Y132" s="185"/>
      <c r="Z132" s="183">
        <v>0</v>
      </c>
      <c r="AA132" s="185"/>
      <c r="AB132" s="183">
        <v>11</v>
      </c>
      <c r="AC132" s="185"/>
    </row>
    <row r="133" spans="1:32" ht="15.6" x14ac:dyDescent="0.3">
      <c r="A133" s="45" t="s">
        <v>43</v>
      </c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7"/>
      <c r="V133" s="47"/>
      <c r="W133" s="47"/>
      <c r="X133" s="47"/>
      <c r="Y133" s="47"/>
      <c r="Z133" s="47"/>
      <c r="AA133" s="47"/>
      <c r="AB133" s="47"/>
      <c r="AC133" s="4"/>
    </row>
    <row r="134" spans="1:32" ht="21.75" customHeight="1" x14ac:dyDescent="0.3">
      <c r="A134" s="205"/>
      <c r="B134" s="206"/>
      <c r="C134" s="206"/>
      <c r="D134" s="206"/>
      <c r="E134" s="206"/>
      <c r="F134" s="206"/>
      <c r="G134" s="206"/>
      <c r="H134" s="206"/>
      <c r="I134" s="206"/>
      <c r="J134" s="207"/>
      <c r="K134" s="183" t="s">
        <v>0</v>
      </c>
      <c r="L134" s="185"/>
      <c r="M134" s="211" t="s">
        <v>1</v>
      </c>
      <c r="N134" s="212"/>
      <c r="O134" s="201" t="s">
        <v>2</v>
      </c>
      <c r="P134" s="202"/>
      <c r="Q134" s="201" t="s">
        <v>3</v>
      </c>
      <c r="R134" s="202"/>
      <c r="S134" s="201" t="s">
        <v>4</v>
      </c>
      <c r="T134" s="202"/>
      <c r="U134" s="201" t="s">
        <v>5</v>
      </c>
      <c r="V134" s="202"/>
      <c r="W134" s="201" t="s">
        <v>6</v>
      </c>
      <c r="X134" s="202"/>
      <c r="Y134" s="201" t="s">
        <v>44</v>
      </c>
      <c r="Z134" s="202"/>
      <c r="AA134" s="201" t="s">
        <v>7</v>
      </c>
      <c r="AB134" s="202"/>
      <c r="AC134" s="203" t="s">
        <v>86</v>
      </c>
      <c r="AD134" s="5"/>
      <c r="AE134" s="6"/>
      <c r="AF134" s="6"/>
    </row>
    <row r="135" spans="1:32" x14ac:dyDescent="0.3">
      <c r="A135" s="208"/>
      <c r="B135" s="209"/>
      <c r="C135" s="209"/>
      <c r="D135" s="209"/>
      <c r="E135" s="209"/>
      <c r="F135" s="209"/>
      <c r="G135" s="209"/>
      <c r="H135" s="209"/>
      <c r="I135" s="209"/>
      <c r="J135" s="210"/>
      <c r="K135" s="48" t="s">
        <v>9</v>
      </c>
      <c r="L135" s="48" t="s">
        <v>10</v>
      </c>
      <c r="M135" s="48" t="s">
        <v>9</v>
      </c>
      <c r="N135" s="48" t="s">
        <v>10</v>
      </c>
      <c r="O135" s="48" t="s">
        <v>9</v>
      </c>
      <c r="P135" s="48" t="s">
        <v>10</v>
      </c>
      <c r="Q135" s="48" t="s">
        <v>9</v>
      </c>
      <c r="R135" s="48" t="s">
        <v>10</v>
      </c>
      <c r="S135" s="48" t="s">
        <v>9</v>
      </c>
      <c r="T135" s="48" t="s">
        <v>10</v>
      </c>
      <c r="U135" s="48" t="s">
        <v>9</v>
      </c>
      <c r="V135" s="48" t="s">
        <v>10</v>
      </c>
      <c r="W135" s="48" t="s">
        <v>9</v>
      </c>
      <c r="X135" s="48" t="s">
        <v>10</v>
      </c>
      <c r="Y135" s="48" t="s">
        <v>9</v>
      </c>
      <c r="Z135" s="48" t="s">
        <v>10</v>
      </c>
      <c r="AA135" s="48" t="s">
        <v>9</v>
      </c>
      <c r="AB135" s="48" t="s">
        <v>10</v>
      </c>
      <c r="AC135" s="204"/>
    </row>
    <row r="136" spans="1:32" ht="18" customHeight="1" x14ac:dyDescent="0.3">
      <c r="A136" s="177" t="s">
        <v>39</v>
      </c>
      <c r="B136" s="178"/>
      <c r="C136" s="178"/>
      <c r="D136" s="178"/>
      <c r="E136" s="178"/>
      <c r="F136" s="178"/>
      <c r="G136" s="178"/>
      <c r="H136" s="178"/>
      <c r="I136" s="178"/>
      <c r="J136" s="179"/>
      <c r="K136" s="49">
        <v>0</v>
      </c>
      <c r="L136" s="49">
        <v>0</v>
      </c>
      <c r="M136" s="49">
        <v>0</v>
      </c>
      <c r="N136" s="49">
        <v>0</v>
      </c>
      <c r="O136" s="49">
        <v>0</v>
      </c>
      <c r="P136" s="49">
        <v>0</v>
      </c>
      <c r="Q136" s="49">
        <v>1</v>
      </c>
      <c r="R136" s="49">
        <v>1</v>
      </c>
      <c r="S136" s="49">
        <v>1</v>
      </c>
      <c r="T136" s="49">
        <v>1</v>
      </c>
      <c r="U136" s="49">
        <v>0</v>
      </c>
      <c r="V136" s="49">
        <v>1</v>
      </c>
      <c r="W136" s="49">
        <v>0</v>
      </c>
      <c r="X136" s="49">
        <v>1</v>
      </c>
      <c r="Y136" s="49">
        <v>0</v>
      </c>
      <c r="Z136" s="49">
        <v>1</v>
      </c>
      <c r="AA136" s="48">
        <v>2</v>
      </c>
      <c r="AB136" s="48">
        <v>5</v>
      </c>
      <c r="AC136" s="48">
        <v>7</v>
      </c>
    </row>
    <row r="137" spans="1:32" ht="18" customHeight="1" x14ac:dyDescent="0.3">
      <c r="A137" s="177" t="s">
        <v>40</v>
      </c>
      <c r="B137" s="178"/>
      <c r="C137" s="178"/>
      <c r="D137" s="178"/>
      <c r="E137" s="178"/>
      <c r="F137" s="178"/>
      <c r="G137" s="178"/>
      <c r="H137" s="178"/>
      <c r="I137" s="178"/>
      <c r="J137" s="179"/>
      <c r="K137" s="70">
        <v>0</v>
      </c>
      <c r="L137" s="70">
        <v>0</v>
      </c>
      <c r="M137" s="70">
        <v>0</v>
      </c>
      <c r="N137" s="70">
        <v>0</v>
      </c>
      <c r="O137" s="70">
        <v>0</v>
      </c>
      <c r="P137" s="70">
        <v>0</v>
      </c>
      <c r="Q137" s="70">
        <v>0</v>
      </c>
      <c r="R137" s="70">
        <v>0</v>
      </c>
      <c r="S137" s="70">
        <v>0</v>
      </c>
      <c r="T137" s="70">
        <v>1</v>
      </c>
      <c r="U137" s="70">
        <v>0</v>
      </c>
      <c r="V137" s="70">
        <v>0</v>
      </c>
      <c r="W137" s="70">
        <v>0</v>
      </c>
      <c r="X137" s="70">
        <v>0</v>
      </c>
      <c r="Y137" s="70">
        <v>0</v>
      </c>
      <c r="Z137" s="70">
        <v>0</v>
      </c>
      <c r="AA137" s="48">
        <v>0</v>
      </c>
      <c r="AB137" s="48">
        <v>1</v>
      </c>
      <c r="AC137" s="48">
        <v>1</v>
      </c>
    </row>
    <row r="138" spans="1:32" ht="18" customHeight="1" x14ac:dyDescent="0.3">
      <c r="A138" s="177" t="s">
        <v>41</v>
      </c>
      <c r="B138" s="178"/>
      <c r="C138" s="178"/>
      <c r="D138" s="178"/>
      <c r="E138" s="178"/>
      <c r="F138" s="178"/>
      <c r="G138" s="178"/>
      <c r="H138" s="178"/>
      <c r="I138" s="178"/>
      <c r="J138" s="179"/>
      <c r="K138" s="70">
        <v>0</v>
      </c>
      <c r="L138" s="70">
        <v>0</v>
      </c>
      <c r="M138" s="70">
        <v>0</v>
      </c>
      <c r="N138" s="70">
        <v>0</v>
      </c>
      <c r="O138" s="70">
        <v>0</v>
      </c>
      <c r="P138" s="70">
        <v>0</v>
      </c>
      <c r="Q138" s="70">
        <v>0</v>
      </c>
      <c r="R138" s="70">
        <v>0</v>
      </c>
      <c r="S138" s="70">
        <v>0</v>
      </c>
      <c r="T138" s="70">
        <v>0</v>
      </c>
      <c r="U138" s="70">
        <v>0</v>
      </c>
      <c r="V138" s="70">
        <v>0</v>
      </c>
      <c r="W138" s="70">
        <v>0</v>
      </c>
      <c r="X138" s="70">
        <v>0</v>
      </c>
      <c r="Y138" s="70">
        <v>0</v>
      </c>
      <c r="Z138" s="70">
        <v>0</v>
      </c>
      <c r="AA138" s="48">
        <v>0</v>
      </c>
      <c r="AB138" s="48">
        <v>0</v>
      </c>
      <c r="AC138" s="48">
        <v>0</v>
      </c>
    </row>
    <row r="139" spans="1:32" ht="18" customHeight="1" x14ac:dyDescent="0.3">
      <c r="A139" s="177" t="s">
        <v>42</v>
      </c>
      <c r="B139" s="178"/>
      <c r="C139" s="178"/>
      <c r="D139" s="178"/>
      <c r="E139" s="178"/>
      <c r="F139" s="178"/>
      <c r="G139" s="178"/>
      <c r="H139" s="178"/>
      <c r="I139" s="178"/>
      <c r="J139" s="179"/>
      <c r="K139" s="70">
        <v>0</v>
      </c>
      <c r="L139" s="70">
        <v>0</v>
      </c>
      <c r="M139" s="70">
        <v>0</v>
      </c>
      <c r="N139" s="70">
        <v>0</v>
      </c>
      <c r="O139" s="70">
        <v>0</v>
      </c>
      <c r="P139" s="70">
        <v>1</v>
      </c>
      <c r="Q139" s="70">
        <v>0</v>
      </c>
      <c r="R139" s="70">
        <v>1</v>
      </c>
      <c r="S139" s="70">
        <v>0</v>
      </c>
      <c r="T139" s="70">
        <v>0</v>
      </c>
      <c r="U139" s="70">
        <v>0</v>
      </c>
      <c r="V139" s="70">
        <v>0</v>
      </c>
      <c r="W139" s="70">
        <v>1</v>
      </c>
      <c r="X139" s="70">
        <v>0</v>
      </c>
      <c r="Y139" s="70">
        <v>0</v>
      </c>
      <c r="Z139" s="70">
        <v>0</v>
      </c>
      <c r="AA139" s="48">
        <v>1</v>
      </c>
      <c r="AB139" s="48">
        <v>2</v>
      </c>
      <c r="AC139" s="48">
        <v>3</v>
      </c>
    </row>
    <row r="140" spans="1:32" ht="18" customHeight="1" x14ac:dyDescent="0.3">
      <c r="A140" s="224" t="s">
        <v>7</v>
      </c>
      <c r="B140" s="225"/>
      <c r="C140" s="225"/>
      <c r="D140" s="225"/>
      <c r="E140" s="225"/>
      <c r="F140" s="225"/>
      <c r="G140" s="225"/>
      <c r="H140" s="225"/>
      <c r="I140" s="225"/>
      <c r="J140" s="226"/>
      <c r="K140" s="48">
        <v>0</v>
      </c>
      <c r="L140" s="48">
        <v>0</v>
      </c>
      <c r="M140" s="48">
        <v>0</v>
      </c>
      <c r="N140" s="48">
        <v>0</v>
      </c>
      <c r="O140" s="48">
        <v>0</v>
      </c>
      <c r="P140" s="48">
        <v>1</v>
      </c>
      <c r="Q140" s="48">
        <v>1</v>
      </c>
      <c r="R140" s="48">
        <v>2</v>
      </c>
      <c r="S140" s="48">
        <v>1</v>
      </c>
      <c r="T140" s="48">
        <v>2</v>
      </c>
      <c r="U140" s="48">
        <v>0</v>
      </c>
      <c r="V140" s="48">
        <v>1</v>
      </c>
      <c r="W140" s="48">
        <v>1</v>
      </c>
      <c r="X140" s="48">
        <v>1</v>
      </c>
      <c r="Y140" s="48">
        <v>0</v>
      </c>
      <c r="Z140" s="48">
        <v>1</v>
      </c>
      <c r="AA140" s="48">
        <v>3</v>
      </c>
      <c r="AB140" s="48">
        <v>8</v>
      </c>
      <c r="AC140" s="48">
        <v>11</v>
      </c>
    </row>
    <row r="141" spans="1:32" ht="6.75" customHeight="1" x14ac:dyDescent="0.3">
      <c r="A141" s="8"/>
      <c r="B141" s="9"/>
      <c r="C141" s="9"/>
      <c r="D141" s="9"/>
      <c r="E141" s="9"/>
      <c r="F141" s="10"/>
      <c r="G141" s="11"/>
      <c r="H141" s="11"/>
      <c r="I141" s="11"/>
      <c r="J141" s="11"/>
      <c r="K141" s="11"/>
      <c r="L141" s="11"/>
      <c r="M141" s="50"/>
      <c r="N141" s="11"/>
      <c r="O141" s="227"/>
      <c r="P141" s="228"/>
      <c r="Q141" s="12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3"/>
    </row>
    <row r="142" spans="1:32" ht="18" customHeight="1" x14ac:dyDescent="0.3">
      <c r="A142" s="14" t="s">
        <v>45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6"/>
      <c r="M142" s="17"/>
      <c r="N142" s="14" t="s">
        <v>46</v>
      </c>
      <c r="O142" s="15"/>
      <c r="P142" s="15"/>
      <c r="Q142" s="15"/>
      <c r="R142" s="15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9"/>
    </row>
    <row r="143" spans="1:32" ht="57.75" customHeight="1" x14ac:dyDescent="0.3">
      <c r="A143" s="213" t="s">
        <v>47</v>
      </c>
      <c r="B143" s="229" t="s">
        <v>48</v>
      </c>
      <c r="C143" s="230"/>
      <c r="D143" s="231" t="s">
        <v>49</v>
      </c>
      <c r="E143" s="232"/>
      <c r="F143" s="233"/>
      <c r="G143" s="231" t="s">
        <v>50</v>
      </c>
      <c r="H143" s="232"/>
      <c r="I143" s="232"/>
      <c r="J143" s="233"/>
      <c r="K143" s="213" t="s">
        <v>51</v>
      </c>
      <c r="L143" s="213" t="s">
        <v>52</v>
      </c>
      <c r="M143" s="20"/>
      <c r="N143" s="215" t="s">
        <v>53</v>
      </c>
      <c r="O143" s="216"/>
      <c r="P143" s="217"/>
      <c r="Q143" s="215" t="s">
        <v>54</v>
      </c>
      <c r="R143" s="216"/>
      <c r="S143" s="217"/>
      <c r="T143" s="215" t="s">
        <v>55</v>
      </c>
      <c r="U143" s="216"/>
      <c r="V143" s="216"/>
      <c r="W143" s="216"/>
      <c r="X143" s="216"/>
      <c r="Y143" s="216"/>
      <c r="Z143" s="216"/>
      <c r="AA143" s="216"/>
      <c r="AB143" s="216"/>
      <c r="AC143" s="217"/>
    </row>
    <row r="144" spans="1:32" ht="60.75" customHeight="1" x14ac:dyDescent="0.3">
      <c r="A144" s="214"/>
      <c r="B144" s="51" t="s">
        <v>7</v>
      </c>
      <c r="C144" s="52" t="s">
        <v>87</v>
      </c>
      <c r="D144" s="52" t="s">
        <v>56</v>
      </c>
      <c r="E144" s="52" t="s">
        <v>88</v>
      </c>
      <c r="F144" s="52" t="s">
        <v>89</v>
      </c>
      <c r="G144" s="53" t="s">
        <v>56</v>
      </c>
      <c r="H144" s="52" t="s">
        <v>90</v>
      </c>
      <c r="I144" s="53" t="s">
        <v>57</v>
      </c>
      <c r="J144" s="53" t="s">
        <v>58</v>
      </c>
      <c r="K144" s="214"/>
      <c r="L144" s="214"/>
      <c r="M144" s="20"/>
      <c r="N144" s="218">
        <v>0</v>
      </c>
      <c r="O144" s="219"/>
      <c r="P144" s="220"/>
      <c r="Q144" s="221">
        <v>0</v>
      </c>
      <c r="R144" s="222"/>
      <c r="S144" s="223"/>
      <c r="T144" s="218">
        <v>0</v>
      </c>
      <c r="U144" s="219"/>
      <c r="V144" s="219"/>
      <c r="W144" s="219"/>
      <c r="X144" s="219"/>
      <c r="Y144" s="219"/>
      <c r="Z144" s="219"/>
      <c r="AA144" s="219"/>
      <c r="AB144" s="219"/>
      <c r="AC144" s="220"/>
    </row>
    <row r="145" spans="1:29" ht="38.25" customHeight="1" x14ac:dyDescent="0.3">
      <c r="A145" s="243">
        <v>2361</v>
      </c>
      <c r="B145" s="243">
        <v>38</v>
      </c>
      <c r="C145" s="243">
        <v>0</v>
      </c>
      <c r="D145" s="243">
        <v>26</v>
      </c>
      <c r="E145" s="243">
        <v>0</v>
      </c>
      <c r="F145" s="243">
        <v>0</v>
      </c>
      <c r="G145" s="243">
        <v>0</v>
      </c>
      <c r="H145" s="243">
        <v>0</v>
      </c>
      <c r="I145" s="243">
        <v>5</v>
      </c>
      <c r="J145" s="243">
        <v>5</v>
      </c>
      <c r="K145" s="243">
        <v>5</v>
      </c>
      <c r="L145" s="243">
        <v>3</v>
      </c>
      <c r="M145" s="20"/>
      <c r="N145" s="215" t="s">
        <v>59</v>
      </c>
      <c r="O145" s="216"/>
      <c r="P145" s="217"/>
      <c r="Q145" s="215" t="s">
        <v>60</v>
      </c>
      <c r="R145" s="216"/>
      <c r="S145" s="217"/>
      <c r="T145" s="195" t="s">
        <v>61</v>
      </c>
      <c r="U145" s="196"/>
      <c r="V145" s="196"/>
      <c r="W145" s="197"/>
      <c r="X145" s="195" t="s">
        <v>62</v>
      </c>
      <c r="Y145" s="196"/>
      <c r="Z145" s="196"/>
      <c r="AA145" s="196"/>
      <c r="AB145" s="196"/>
      <c r="AC145" s="197"/>
    </row>
    <row r="146" spans="1:29" ht="19.5" customHeight="1" x14ac:dyDescent="0.3">
      <c r="A146" s="244"/>
      <c r="B146" s="244"/>
      <c r="C146" s="244"/>
      <c r="D146" s="244"/>
      <c r="E146" s="244"/>
      <c r="F146" s="244"/>
      <c r="G146" s="244"/>
      <c r="H146" s="244"/>
      <c r="I146" s="244"/>
      <c r="J146" s="244"/>
      <c r="K146" s="244"/>
      <c r="L146" s="244"/>
      <c r="M146" s="54"/>
      <c r="N146" s="221">
        <v>0</v>
      </c>
      <c r="O146" s="222"/>
      <c r="P146" s="223"/>
      <c r="Q146" s="221">
        <v>0</v>
      </c>
      <c r="R146" s="222"/>
      <c r="S146" s="223"/>
      <c r="T146" s="221">
        <v>0</v>
      </c>
      <c r="U146" s="222"/>
      <c r="V146" s="222"/>
      <c r="W146" s="223"/>
      <c r="X146" s="55"/>
      <c r="Y146" s="215" t="s">
        <v>0</v>
      </c>
      <c r="Z146" s="217"/>
      <c r="AA146" s="56" t="s">
        <v>1</v>
      </c>
      <c r="AB146" s="215" t="s">
        <v>63</v>
      </c>
      <c r="AC146" s="217"/>
    </row>
    <row r="147" spans="1:29" ht="18" customHeight="1" x14ac:dyDescent="0.3">
      <c r="A147" s="244"/>
      <c r="B147" s="244"/>
      <c r="C147" s="244"/>
      <c r="D147" s="244"/>
      <c r="E147" s="244"/>
      <c r="F147" s="244"/>
      <c r="G147" s="244"/>
      <c r="H147" s="244"/>
      <c r="I147" s="244"/>
      <c r="J147" s="244"/>
      <c r="K147" s="244"/>
      <c r="L147" s="244"/>
      <c r="M147" s="54"/>
      <c r="N147" s="234"/>
      <c r="O147" s="235"/>
      <c r="P147" s="236"/>
      <c r="Q147" s="234"/>
      <c r="R147" s="235"/>
      <c r="S147" s="236"/>
      <c r="T147" s="234"/>
      <c r="U147" s="235"/>
      <c r="V147" s="235"/>
      <c r="W147" s="236"/>
      <c r="X147" s="57" t="s">
        <v>64</v>
      </c>
      <c r="Y147" s="240">
        <v>0</v>
      </c>
      <c r="Z147" s="240"/>
      <c r="AA147" s="58">
        <v>0</v>
      </c>
      <c r="AB147" s="241">
        <v>0</v>
      </c>
      <c r="AC147" s="242"/>
    </row>
    <row r="148" spans="1:29" ht="18" customHeight="1" x14ac:dyDescent="0.3">
      <c r="A148" s="244"/>
      <c r="B148" s="244"/>
      <c r="C148" s="244"/>
      <c r="D148" s="244"/>
      <c r="E148" s="244"/>
      <c r="F148" s="244"/>
      <c r="G148" s="244"/>
      <c r="H148" s="244"/>
      <c r="I148" s="244"/>
      <c r="J148" s="244"/>
      <c r="K148" s="244"/>
      <c r="L148" s="244"/>
      <c r="M148" s="54"/>
      <c r="N148" s="234"/>
      <c r="O148" s="235"/>
      <c r="P148" s="236"/>
      <c r="Q148" s="234"/>
      <c r="R148" s="235"/>
      <c r="S148" s="236"/>
      <c r="T148" s="234"/>
      <c r="U148" s="235"/>
      <c r="V148" s="235"/>
      <c r="W148" s="236"/>
      <c r="X148" s="57" t="s">
        <v>65</v>
      </c>
      <c r="Y148" s="218">
        <v>0</v>
      </c>
      <c r="Z148" s="220"/>
      <c r="AA148" s="58">
        <v>0</v>
      </c>
      <c r="AB148" s="241">
        <v>0</v>
      </c>
      <c r="AC148" s="242"/>
    </row>
    <row r="149" spans="1:29" ht="18" customHeight="1" x14ac:dyDescent="0.3">
      <c r="A149" s="245"/>
      <c r="B149" s="245"/>
      <c r="C149" s="245"/>
      <c r="D149" s="245"/>
      <c r="E149" s="245"/>
      <c r="F149" s="245"/>
      <c r="G149" s="245"/>
      <c r="H149" s="245"/>
      <c r="I149" s="245"/>
      <c r="J149" s="245"/>
      <c r="K149" s="245"/>
      <c r="L149" s="245"/>
      <c r="M149" s="54"/>
      <c r="N149" s="237"/>
      <c r="O149" s="238"/>
      <c r="P149" s="239"/>
      <c r="Q149" s="237"/>
      <c r="R149" s="238"/>
      <c r="S149" s="239"/>
      <c r="T149" s="237"/>
      <c r="U149" s="238"/>
      <c r="V149" s="238"/>
      <c r="W149" s="239"/>
      <c r="X149" s="57" t="s">
        <v>66</v>
      </c>
      <c r="Y149" s="218">
        <v>0</v>
      </c>
      <c r="Z149" s="220"/>
      <c r="AA149" s="58">
        <v>0</v>
      </c>
      <c r="AB149" s="241">
        <v>0</v>
      </c>
      <c r="AC149" s="242"/>
    </row>
    <row r="150" spans="1:29" ht="8.25" customHeight="1" x14ac:dyDescent="0.3">
      <c r="A150" s="27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59"/>
      <c r="N150" s="28"/>
      <c r="O150" s="28"/>
      <c r="P150" s="28"/>
      <c r="Q150" s="28"/>
      <c r="R150" s="28"/>
      <c r="S150" s="28"/>
      <c r="T150" s="28"/>
      <c r="U150" s="29"/>
      <c r="V150" s="29"/>
      <c r="W150" s="29"/>
      <c r="X150" s="29"/>
      <c r="Y150" s="29"/>
      <c r="Z150" s="29"/>
      <c r="AA150" s="28"/>
      <c r="AB150" s="28"/>
      <c r="AC150" s="4"/>
    </row>
    <row r="151" spans="1:29" ht="18" customHeight="1" x14ac:dyDescent="0.3">
      <c r="A151" s="14" t="s">
        <v>67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6"/>
      <c r="M151" s="30"/>
      <c r="N151" s="14" t="s">
        <v>68</v>
      </c>
      <c r="O151" s="16"/>
      <c r="P151" s="15"/>
      <c r="Q151" s="31"/>
      <c r="R151" s="15"/>
      <c r="S151" s="15"/>
      <c r="T151" s="15"/>
      <c r="U151" s="15"/>
      <c r="V151" s="15"/>
      <c r="W151" s="15"/>
      <c r="X151" s="15"/>
      <c r="Y151" s="15"/>
      <c r="Z151" s="15"/>
      <c r="AA151" s="18"/>
      <c r="AB151" s="18"/>
      <c r="AC151" s="32"/>
    </row>
    <row r="152" spans="1:29" ht="57" customHeight="1" x14ac:dyDescent="0.3">
      <c r="A152" s="258"/>
      <c r="B152" s="259"/>
      <c r="C152" s="259"/>
      <c r="D152" s="259"/>
      <c r="E152" s="259"/>
      <c r="F152" s="260"/>
      <c r="G152" s="183" t="s">
        <v>11</v>
      </c>
      <c r="H152" s="185"/>
      <c r="I152" s="183" t="s">
        <v>12</v>
      </c>
      <c r="J152" s="185"/>
      <c r="K152" s="60" t="s">
        <v>69</v>
      </c>
      <c r="L152" s="61"/>
      <c r="M152" s="62"/>
      <c r="N152" s="215" t="s">
        <v>70</v>
      </c>
      <c r="O152" s="216"/>
      <c r="P152" s="217"/>
      <c r="Q152" s="215" t="s">
        <v>71</v>
      </c>
      <c r="R152" s="216"/>
      <c r="S152" s="217"/>
      <c r="T152" s="215" t="s">
        <v>72</v>
      </c>
      <c r="U152" s="216"/>
      <c r="V152" s="217"/>
      <c r="W152" s="215" t="s">
        <v>73</v>
      </c>
      <c r="X152" s="216"/>
      <c r="Y152" s="216"/>
      <c r="Z152" s="217"/>
      <c r="AA152" s="215" t="s">
        <v>74</v>
      </c>
      <c r="AB152" s="216"/>
      <c r="AC152" s="217"/>
    </row>
    <row r="153" spans="1:29" ht="13.5" customHeight="1" x14ac:dyDescent="0.3">
      <c r="A153" s="261"/>
      <c r="B153" s="262"/>
      <c r="C153" s="262"/>
      <c r="D153" s="262"/>
      <c r="E153" s="262"/>
      <c r="F153" s="263"/>
      <c r="G153" s="48" t="s">
        <v>75</v>
      </c>
      <c r="H153" s="48" t="s">
        <v>13</v>
      </c>
      <c r="I153" s="48" t="s">
        <v>75</v>
      </c>
      <c r="J153" s="48" t="s">
        <v>13</v>
      </c>
      <c r="K153" s="48" t="s">
        <v>75</v>
      </c>
      <c r="L153" s="48" t="s">
        <v>13</v>
      </c>
      <c r="M153" s="63"/>
      <c r="N153" s="64" t="s">
        <v>0</v>
      </c>
      <c r="O153" s="65" t="s">
        <v>1</v>
      </c>
      <c r="P153" s="65" t="s">
        <v>91</v>
      </c>
      <c r="Q153" s="64" t="s">
        <v>0</v>
      </c>
      <c r="R153" s="65" t="s">
        <v>1</v>
      </c>
      <c r="S153" s="65" t="s">
        <v>91</v>
      </c>
      <c r="T153" s="64" t="s">
        <v>0</v>
      </c>
      <c r="U153" s="65" t="s">
        <v>1</v>
      </c>
      <c r="V153" s="65" t="s">
        <v>91</v>
      </c>
      <c r="W153" s="48"/>
      <c r="X153" s="64" t="s">
        <v>0</v>
      </c>
      <c r="Y153" s="66" t="s">
        <v>1</v>
      </c>
      <c r="Z153" s="55" t="s">
        <v>76</v>
      </c>
      <c r="AA153" s="64" t="s">
        <v>0</v>
      </c>
      <c r="AB153" s="66" t="s">
        <v>1</v>
      </c>
      <c r="AC153" s="55" t="s">
        <v>76</v>
      </c>
    </row>
    <row r="154" spans="1:29" ht="18" customHeight="1" x14ac:dyDescent="0.3">
      <c r="A154" s="199" t="s">
        <v>77</v>
      </c>
      <c r="B154" s="249"/>
      <c r="C154" s="249"/>
      <c r="D154" s="249"/>
      <c r="E154" s="249"/>
      <c r="F154" s="200"/>
      <c r="G154" s="49">
        <v>4</v>
      </c>
      <c r="H154" s="49">
        <v>0</v>
      </c>
      <c r="I154" s="49">
        <v>0</v>
      </c>
      <c r="J154" s="49">
        <v>0</v>
      </c>
      <c r="K154" s="49">
        <v>0</v>
      </c>
      <c r="L154" s="49">
        <v>0</v>
      </c>
      <c r="M154" s="63"/>
      <c r="N154" s="252">
        <v>1</v>
      </c>
      <c r="O154" s="252">
        <v>10</v>
      </c>
      <c r="P154" s="255">
        <v>29</v>
      </c>
      <c r="Q154" s="255">
        <v>1</v>
      </c>
      <c r="R154" s="255">
        <v>3</v>
      </c>
      <c r="S154" s="255">
        <v>20</v>
      </c>
      <c r="T154" s="255">
        <v>0</v>
      </c>
      <c r="U154" s="255">
        <v>0</v>
      </c>
      <c r="V154" s="255">
        <v>0</v>
      </c>
      <c r="W154" s="57" t="s">
        <v>64</v>
      </c>
      <c r="X154" s="67">
        <v>0</v>
      </c>
      <c r="Y154" s="67">
        <v>0</v>
      </c>
      <c r="Z154" s="67">
        <v>0</v>
      </c>
      <c r="AA154" s="67">
        <v>0</v>
      </c>
      <c r="AB154" s="67">
        <v>0</v>
      </c>
      <c r="AC154" s="67">
        <v>0</v>
      </c>
    </row>
    <row r="155" spans="1:29" ht="18" customHeight="1" x14ac:dyDescent="0.3">
      <c r="A155" s="199" t="s">
        <v>8</v>
      </c>
      <c r="B155" s="249"/>
      <c r="C155" s="249"/>
      <c r="D155" s="249"/>
      <c r="E155" s="249"/>
      <c r="F155" s="200"/>
      <c r="G155" s="49">
        <v>0</v>
      </c>
      <c r="H155" s="68">
        <v>0</v>
      </c>
      <c r="I155" s="49">
        <v>0</v>
      </c>
      <c r="J155" s="69">
        <v>0</v>
      </c>
      <c r="K155" s="49">
        <v>0</v>
      </c>
      <c r="L155" s="49">
        <v>0</v>
      </c>
      <c r="M155" s="63"/>
      <c r="N155" s="253"/>
      <c r="O155" s="253"/>
      <c r="P155" s="256"/>
      <c r="Q155" s="256"/>
      <c r="R155" s="256"/>
      <c r="S155" s="256"/>
      <c r="T155" s="256"/>
      <c r="U155" s="256"/>
      <c r="V155" s="256"/>
      <c r="W155" s="57" t="s">
        <v>65</v>
      </c>
      <c r="X155" s="67">
        <v>0</v>
      </c>
      <c r="Y155" s="67">
        <v>0</v>
      </c>
      <c r="Z155" s="67">
        <v>0</v>
      </c>
      <c r="AA155" s="67">
        <v>0</v>
      </c>
      <c r="AB155" s="67">
        <v>0</v>
      </c>
      <c r="AC155" s="67">
        <v>0</v>
      </c>
    </row>
    <row r="156" spans="1:29" ht="18" customHeight="1" x14ac:dyDescent="0.3">
      <c r="A156" s="215" t="s">
        <v>78</v>
      </c>
      <c r="B156" s="216"/>
      <c r="C156" s="216"/>
      <c r="D156" s="216"/>
      <c r="E156" s="216"/>
      <c r="F156" s="217"/>
      <c r="G156" s="49">
        <v>0</v>
      </c>
      <c r="H156" s="49">
        <v>0</v>
      </c>
      <c r="I156" s="49">
        <v>0</v>
      </c>
      <c r="J156" s="49">
        <v>0</v>
      </c>
      <c r="K156" s="49">
        <v>0</v>
      </c>
      <c r="L156" s="49">
        <v>0</v>
      </c>
      <c r="M156" s="63"/>
      <c r="N156" s="253"/>
      <c r="O156" s="253"/>
      <c r="P156" s="256"/>
      <c r="Q156" s="256"/>
      <c r="R156" s="256"/>
      <c r="S156" s="256"/>
      <c r="T156" s="256"/>
      <c r="U156" s="256"/>
      <c r="V156" s="256"/>
      <c r="W156" s="250" t="s">
        <v>66</v>
      </c>
      <c r="X156" s="252">
        <v>0</v>
      </c>
      <c r="Y156" s="252">
        <v>0</v>
      </c>
      <c r="Z156" s="252">
        <v>4</v>
      </c>
      <c r="AA156" s="252">
        <v>0</v>
      </c>
      <c r="AB156" s="252">
        <v>0</v>
      </c>
      <c r="AC156" s="252">
        <v>0</v>
      </c>
    </row>
    <row r="157" spans="1:29" ht="18" customHeight="1" x14ac:dyDescent="0.3">
      <c r="A157" s="183" t="s">
        <v>7</v>
      </c>
      <c r="B157" s="184"/>
      <c r="C157" s="184"/>
      <c r="D157" s="184"/>
      <c r="E157" s="184"/>
      <c r="F157" s="185"/>
      <c r="G157" s="48">
        <v>4</v>
      </c>
      <c r="H157" s="48">
        <v>0</v>
      </c>
      <c r="I157" s="48">
        <v>0</v>
      </c>
      <c r="J157" s="48">
        <v>0</v>
      </c>
      <c r="K157" s="48">
        <v>0</v>
      </c>
      <c r="L157" s="48">
        <v>0</v>
      </c>
      <c r="M157" s="63"/>
      <c r="N157" s="254"/>
      <c r="O157" s="254"/>
      <c r="P157" s="257"/>
      <c r="Q157" s="257"/>
      <c r="R157" s="257"/>
      <c r="S157" s="257"/>
      <c r="T157" s="257"/>
      <c r="U157" s="257"/>
      <c r="V157" s="257"/>
      <c r="W157" s="251"/>
      <c r="X157" s="254"/>
      <c r="Y157" s="254"/>
      <c r="Z157" s="254"/>
      <c r="AA157" s="254"/>
      <c r="AB157" s="254"/>
      <c r="AC157" s="254"/>
    </row>
    <row r="158" spans="1:29" ht="23.4" x14ac:dyDescent="0.45">
      <c r="A158" s="158" t="s">
        <v>15</v>
      </c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  <c r="AA158" s="158"/>
      <c r="AB158" s="158"/>
      <c r="AC158" s="158"/>
    </row>
    <row r="159" spans="1:29" ht="23.4" x14ac:dyDescent="0.3">
      <c r="A159" s="159" t="s">
        <v>16</v>
      </c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2"/>
      <c r="Y159" s="160" t="s">
        <v>17</v>
      </c>
      <c r="Z159" s="160"/>
      <c r="AA159" s="2"/>
      <c r="AB159" s="2"/>
      <c r="AC159" s="2"/>
    </row>
    <row r="160" spans="1:29" ht="15.75" customHeight="1" x14ac:dyDescent="0.3">
      <c r="A160" s="266" t="s">
        <v>98</v>
      </c>
      <c r="B160" s="266"/>
      <c r="C160" s="266"/>
      <c r="D160" s="266"/>
      <c r="E160" s="162" t="s">
        <v>94</v>
      </c>
      <c r="F160" s="162"/>
      <c r="G160" s="162"/>
      <c r="H160" s="162"/>
      <c r="I160" s="163" t="s">
        <v>20</v>
      </c>
      <c r="J160" s="163"/>
      <c r="K160" s="164" t="s">
        <v>95</v>
      </c>
      <c r="L160" s="164"/>
      <c r="M160" s="163" t="s">
        <v>21</v>
      </c>
      <c r="N160" s="163"/>
      <c r="O160" s="163" t="s">
        <v>96</v>
      </c>
      <c r="P160" s="163"/>
      <c r="Q160" s="163"/>
      <c r="R160" s="163"/>
      <c r="S160" s="43"/>
      <c r="T160" s="166" t="s">
        <v>22</v>
      </c>
      <c r="U160" s="166"/>
      <c r="V160" s="166"/>
      <c r="W160" s="166"/>
      <c r="X160" s="166"/>
      <c r="Y160" s="152" t="s">
        <v>14</v>
      </c>
      <c r="Z160" s="152"/>
      <c r="AA160" s="152"/>
      <c r="AB160" s="153" t="s">
        <v>83</v>
      </c>
      <c r="AC160" s="153"/>
    </row>
    <row r="161" spans="1:32" ht="15" customHeight="1" x14ac:dyDescent="0.3">
      <c r="T161" s="166"/>
      <c r="U161" s="166"/>
      <c r="V161" s="166"/>
      <c r="W161" s="166"/>
      <c r="X161" s="166"/>
      <c r="Y161" s="152"/>
      <c r="Z161" s="152"/>
      <c r="AA161" s="152"/>
      <c r="AB161" s="153"/>
      <c r="AC161" s="153"/>
    </row>
    <row r="162" spans="1:32" ht="15.75" customHeight="1" x14ac:dyDescent="0.35">
      <c r="A162" s="264" t="s">
        <v>24</v>
      </c>
      <c r="B162" s="264"/>
      <c r="C162" s="264"/>
      <c r="D162" s="264"/>
      <c r="E162" s="264"/>
      <c r="F162" s="264"/>
      <c r="G162" s="264"/>
      <c r="H162" s="155" t="s">
        <v>97</v>
      </c>
      <c r="I162" s="155"/>
      <c r="J162" s="155"/>
      <c r="K162" s="155"/>
      <c r="L162" s="155"/>
      <c r="M162" s="155"/>
      <c r="N162" s="155"/>
      <c r="O162" s="44"/>
      <c r="P162" s="44"/>
      <c r="T162" s="156" t="s">
        <v>26</v>
      </c>
      <c r="U162" s="156"/>
      <c r="V162" s="156"/>
      <c r="W162" s="156"/>
      <c r="X162" s="156"/>
      <c r="Y162" s="156"/>
      <c r="Z162" s="265" t="s">
        <v>27</v>
      </c>
      <c r="AA162" s="265"/>
      <c r="AB162" s="265"/>
      <c r="AC162" s="265"/>
    </row>
    <row r="163" spans="1:32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32" ht="15" customHeight="1" x14ac:dyDescent="0.3">
      <c r="A164" s="284" t="s">
        <v>29</v>
      </c>
      <c r="B164" s="285"/>
      <c r="C164" s="285"/>
      <c r="D164" s="285"/>
      <c r="E164" s="285"/>
      <c r="F164" s="285"/>
      <c r="G164" s="285"/>
      <c r="H164" s="285"/>
      <c r="I164" s="285"/>
      <c r="J164" s="286"/>
      <c r="K164" s="273" t="s">
        <v>30</v>
      </c>
      <c r="L164" s="274"/>
      <c r="M164" s="273" t="s">
        <v>31</v>
      </c>
      <c r="N164" s="274"/>
      <c r="O164" s="287" t="s">
        <v>32</v>
      </c>
      <c r="P164" s="288"/>
      <c r="Q164" s="289"/>
      <c r="R164" s="273" t="s">
        <v>33</v>
      </c>
      <c r="S164" s="296"/>
      <c r="T164" s="274"/>
      <c r="U164" s="224" t="s">
        <v>34</v>
      </c>
      <c r="V164" s="225"/>
      <c r="W164" s="225"/>
      <c r="X164" s="225"/>
      <c r="Y164" s="225"/>
      <c r="Z164" s="225"/>
      <c r="AA164" s="226"/>
      <c r="AB164" s="273" t="s">
        <v>7</v>
      </c>
      <c r="AC164" s="274"/>
    </row>
    <row r="165" spans="1:32" ht="23.25" customHeight="1" x14ac:dyDescent="0.3">
      <c r="A165" s="169" t="s">
        <v>35</v>
      </c>
      <c r="B165" s="173"/>
      <c r="C165" s="173"/>
      <c r="D165" s="173"/>
      <c r="E165" s="173"/>
      <c r="F165" s="173"/>
      <c r="G165" s="173"/>
      <c r="H165" s="173"/>
      <c r="I165" s="173"/>
      <c r="J165" s="170"/>
      <c r="K165" s="275"/>
      <c r="L165" s="276"/>
      <c r="M165" s="275"/>
      <c r="N165" s="276"/>
      <c r="O165" s="290"/>
      <c r="P165" s="291"/>
      <c r="Q165" s="292"/>
      <c r="R165" s="275"/>
      <c r="S165" s="297"/>
      <c r="T165" s="276"/>
      <c r="U165" s="279" t="s">
        <v>36</v>
      </c>
      <c r="V165" s="279"/>
      <c r="W165" s="279"/>
      <c r="X165" s="279" t="s">
        <v>37</v>
      </c>
      <c r="Y165" s="279"/>
      <c r="Z165" s="279" t="s">
        <v>38</v>
      </c>
      <c r="AA165" s="279"/>
      <c r="AB165" s="275"/>
      <c r="AC165" s="276"/>
    </row>
    <row r="166" spans="1:32" x14ac:dyDescent="0.3">
      <c r="A166" s="171"/>
      <c r="B166" s="174"/>
      <c r="C166" s="174"/>
      <c r="D166" s="174"/>
      <c r="E166" s="174"/>
      <c r="F166" s="174"/>
      <c r="G166" s="174"/>
      <c r="H166" s="174"/>
      <c r="I166" s="174"/>
      <c r="J166" s="172"/>
      <c r="K166" s="277"/>
      <c r="L166" s="278"/>
      <c r="M166" s="277"/>
      <c r="N166" s="278"/>
      <c r="O166" s="293"/>
      <c r="P166" s="294"/>
      <c r="Q166" s="295"/>
      <c r="R166" s="277"/>
      <c r="S166" s="298"/>
      <c r="T166" s="278"/>
      <c r="U166" s="280"/>
      <c r="V166" s="280"/>
      <c r="W166" s="280"/>
      <c r="X166" s="280"/>
      <c r="Y166" s="280"/>
      <c r="Z166" s="280"/>
      <c r="AA166" s="280"/>
      <c r="AB166" s="277"/>
      <c r="AC166" s="278"/>
    </row>
    <row r="167" spans="1:32" ht="18" customHeight="1" x14ac:dyDescent="0.3">
      <c r="A167" s="281" t="s">
        <v>39</v>
      </c>
      <c r="B167" s="282"/>
      <c r="C167" s="282"/>
      <c r="D167" s="282"/>
      <c r="E167" s="282"/>
      <c r="F167" s="282"/>
      <c r="G167" s="282"/>
      <c r="H167" s="282"/>
      <c r="I167" s="282"/>
      <c r="J167" s="283"/>
      <c r="K167" s="224">
        <v>16</v>
      </c>
      <c r="L167" s="226"/>
      <c r="M167" s="224">
        <v>2</v>
      </c>
      <c r="N167" s="226"/>
      <c r="O167" s="224">
        <v>0</v>
      </c>
      <c r="P167" s="225"/>
      <c r="Q167" s="226"/>
      <c r="R167" s="224">
        <v>18</v>
      </c>
      <c r="S167" s="225"/>
      <c r="T167" s="226"/>
      <c r="U167" s="224">
        <v>0</v>
      </c>
      <c r="V167" s="225"/>
      <c r="W167" s="226"/>
      <c r="X167" s="224">
        <v>0</v>
      </c>
      <c r="Y167" s="226"/>
      <c r="Z167" s="224">
        <v>1</v>
      </c>
      <c r="AA167" s="226"/>
      <c r="AB167" s="299">
        <v>19</v>
      </c>
      <c r="AC167" s="300"/>
    </row>
    <row r="168" spans="1:32" ht="18" customHeight="1" x14ac:dyDescent="0.3">
      <c r="A168" s="281" t="s">
        <v>40</v>
      </c>
      <c r="B168" s="282"/>
      <c r="C168" s="282"/>
      <c r="D168" s="282"/>
      <c r="E168" s="282"/>
      <c r="F168" s="282"/>
      <c r="G168" s="282"/>
      <c r="H168" s="282"/>
      <c r="I168" s="282"/>
      <c r="J168" s="283"/>
      <c r="K168" s="224">
        <v>1</v>
      </c>
      <c r="L168" s="226"/>
      <c r="M168" s="224">
        <v>0</v>
      </c>
      <c r="N168" s="226"/>
      <c r="O168" s="224">
        <v>0</v>
      </c>
      <c r="P168" s="225"/>
      <c r="Q168" s="226"/>
      <c r="R168" s="224">
        <v>1</v>
      </c>
      <c r="S168" s="225"/>
      <c r="T168" s="226"/>
      <c r="U168" s="224">
        <v>0</v>
      </c>
      <c r="V168" s="225"/>
      <c r="W168" s="226"/>
      <c r="X168" s="224">
        <v>0</v>
      </c>
      <c r="Y168" s="226"/>
      <c r="Z168" s="224">
        <v>0</v>
      </c>
      <c r="AA168" s="226"/>
      <c r="AB168" s="299">
        <v>1</v>
      </c>
      <c r="AC168" s="300"/>
    </row>
    <row r="169" spans="1:32" ht="18" customHeight="1" x14ac:dyDescent="0.3">
      <c r="A169" s="281" t="s">
        <v>41</v>
      </c>
      <c r="B169" s="282"/>
      <c r="C169" s="282"/>
      <c r="D169" s="282"/>
      <c r="E169" s="282"/>
      <c r="F169" s="282"/>
      <c r="G169" s="282"/>
      <c r="H169" s="282"/>
      <c r="I169" s="282"/>
      <c r="J169" s="283"/>
      <c r="K169" s="224">
        <v>0</v>
      </c>
      <c r="L169" s="226"/>
      <c r="M169" s="224">
        <v>0</v>
      </c>
      <c r="N169" s="226"/>
      <c r="O169" s="224">
        <v>0</v>
      </c>
      <c r="P169" s="225"/>
      <c r="Q169" s="226"/>
      <c r="R169" s="224">
        <v>0</v>
      </c>
      <c r="S169" s="225"/>
      <c r="T169" s="226"/>
      <c r="U169" s="224">
        <v>0</v>
      </c>
      <c r="V169" s="225"/>
      <c r="W169" s="226"/>
      <c r="X169" s="224">
        <v>0</v>
      </c>
      <c r="Y169" s="226"/>
      <c r="Z169" s="224">
        <v>0</v>
      </c>
      <c r="AA169" s="226"/>
      <c r="AB169" s="299">
        <v>0</v>
      </c>
      <c r="AC169" s="300"/>
    </row>
    <row r="170" spans="1:32" ht="18" customHeight="1" x14ac:dyDescent="0.3">
      <c r="A170" s="281" t="s">
        <v>42</v>
      </c>
      <c r="B170" s="282"/>
      <c r="C170" s="282"/>
      <c r="D170" s="282"/>
      <c r="E170" s="282"/>
      <c r="F170" s="282"/>
      <c r="G170" s="282"/>
      <c r="H170" s="282"/>
      <c r="I170" s="282"/>
      <c r="J170" s="283"/>
      <c r="K170" s="224">
        <v>5</v>
      </c>
      <c r="L170" s="226"/>
      <c r="M170" s="224">
        <v>0</v>
      </c>
      <c r="N170" s="226"/>
      <c r="O170" s="224">
        <v>0</v>
      </c>
      <c r="P170" s="225"/>
      <c r="Q170" s="226"/>
      <c r="R170" s="224">
        <v>5</v>
      </c>
      <c r="S170" s="225"/>
      <c r="T170" s="226"/>
      <c r="U170" s="224">
        <v>0</v>
      </c>
      <c r="V170" s="225"/>
      <c r="W170" s="226"/>
      <c r="X170" s="224">
        <v>0</v>
      </c>
      <c r="Y170" s="226"/>
      <c r="Z170" s="224">
        <v>0</v>
      </c>
      <c r="AA170" s="226"/>
      <c r="AB170" s="299">
        <v>5</v>
      </c>
      <c r="AC170" s="300"/>
    </row>
    <row r="171" spans="1:32" ht="18" customHeight="1" x14ac:dyDescent="0.3">
      <c r="A171" s="281" t="s">
        <v>7</v>
      </c>
      <c r="B171" s="282"/>
      <c r="C171" s="282"/>
      <c r="D171" s="282"/>
      <c r="E171" s="282"/>
      <c r="F171" s="282"/>
      <c r="G171" s="282"/>
      <c r="H171" s="282"/>
      <c r="I171" s="282"/>
      <c r="J171" s="283"/>
      <c r="K171" s="224">
        <v>22</v>
      </c>
      <c r="L171" s="226"/>
      <c r="M171" s="224">
        <v>2</v>
      </c>
      <c r="N171" s="226"/>
      <c r="O171" s="224">
        <v>0</v>
      </c>
      <c r="P171" s="225"/>
      <c r="Q171" s="226"/>
      <c r="R171" s="224">
        <v>24</v>
      </c>
      <c r="S171" s="225"/>
      <c r="T171" s="226"/>
      <c r="U171" s="224">
        <v>0</v>
      </c>
      <c r="V171" s="225"/>
      <c r="W171" s="226"/>
      <c r="X171" s="224">
        <v>0</v>
      </c>
      <c r="Y171" s="226"/>
      <c r="Z171" s="224">
        <v>1</v>
      </c>
      <c r="AA171" s="226"/>
      <c r="AB171" s="299">
        <v>25</v>
      </c>
      <c r="AC171" s="300"/>
    </row>
    <row r="172" spans="1:32" ht="15.6" x14ac:dyDescent="0.3">
      <c r="A172" s="45" t="s">
        <v>43</v>
      </c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7"/>
      <c r="V172" s="47"/>
      <c r="W172" s="47"/>
      <c r="X172" s="47"/>
      <c r="Y172" s="47"/>
      <c r="Z172" s="47"/>
      <c r="AA172" s="47"/>
      <c r="AB172" s="47"/>
      <c r="AC172" s="4"/>
    </row>
    <row r="173" spans="1:32" ht="21.75" customHeight="1" x14ac:dyDescent="0.3">
      <c r="A173" s="205"/>
      <c r="B173" s="206"/>
      <c r="C173" s="206"/>
      <c r="D173" s="206"/>
      <c r="E173" s="206"/>
      <c r="F173" s="206"/>
      <c r="G173" s="206"/>
      <c r="H173" s="206"/>
      <c r="I173" s="206"/>
      <c r="J173" s="207"/>
      <c r="K173" s="224" t="s">
        <v>0</v>
      </c>
      <c r="L173" s="226"/>
      <c r="M173" s="305" t="s">
        <v>1</v>
      </c>
      <c r="N173" s="306"/>
      <c r="O173" s="301" t="s">
        <v>2</v>
      </c>
      <c r="P173" s="302"/>
      <c r="Q173" s="301" t="s">
        <v>3</v>
      </c>
      <c r="R173" s="302"/>
      <c r="S173" s="301" t="s">
        <v>4</v>
      </c>
      <c r="T173" s="302"/>
      <c r="U173" s="301" t="s">
        <v>5</v>
      </c>
      <c r="V173" s="302"/>
      <c r="W173" s="301" t="s">
        <v>6</v>
      </c>
      <c r="X173" s="302"/>
      <c r="Y173" s="301" t="s">
        <v>44</v>
      </c>
      <c r="Z173" s="302"/>
      <c r="AA173" s="301" t="s">
        <v>7</v>
      </c>
      <c r="AB173" s="302"/>
      <c r="AC173" s="303" t="s">
        <v>86</v>
      </c>
      <c r="AD173" s="5"/>
      <c r="AE173" s="6"/>
      <c r="AF173" s="6"/>
    </row>
    <row r="174" spans="1:32" x14ac:dyDescent="0.3">
      <c r="A174" s="208"/>
      <c r="B174" s="209"/>
      <c r="C174" s="209"/>
      <c r="D174" s="209"/>
      <c r="E174" s="209"/>
      <c r="F174" s="209"/>
      <c r="G174" s="209"/>
      <c r="H174" s="209"/>
      <c r="I174" s="209"/>
      <c r="J174" s="210"/>
      <c r="K174" s="7" t="s">
        <v>9</v>
      </c>
      <c r="L174" s="7" t="s">
        <v>10</v>
      </c>
      <c r="M174" s="7" t="s">
        <v>9</v>
      </c>
      <c r="N174" s="7" t="s">
        <v>10</v>
      </c>
      <c r="O174" s="7" t="s">
        <v>9</v>
      </c>
      <c r="P174" s="7" t="s">
        <v>10</v>
      </c>
      <c r="Q174" s="7" t="s">
        <v>9</v>
      </c>
      <c r="R174" s="7" t="s">
        <v>10</v>
      </c>
      <c r="S174" s="7" t="s">
        <v>9</v>
      </c>
      <c r="T174" s="7" t="s">
        <v>10</v>
      </c>
      <c r="U174" s="7" t="s">
        <v>9</v>
      </c>
      <c r="V174" s="7" t="s">
        <v>10</v>
      </c>
      <c r="W174" s="7" t="s">
        <v>9</v>
      </c>
      <c r="X174" s="7" t="s">
        <v>10</v>
      </c>
      <c r="Y174" s="7" t="s">
        <v>9</v>
      </c>
      <c r="Z174" s="7" t="s">
        <v>10</v>
      </c>
      <c r="AA174" s="7" t="s">
        <v>9</v>
      </c>
      <c r="AB174" s="7" t="s">
        <v>10</v>
      </c>
      <c r="AC174" s="304"/>
    </row>
    <row r="175" spans="1:32" ht="18" customHeight="1" x14ac:dyDescent="0.3">
      <c r="A175" s="281" t="s">
        <v>39</v>
      </c>
      <c r="B175" s="282"/>
      <c r="C175" s="282"/>
      <c r="D175" s="282"/>
      <c r="E175" s="282"/>
      <c r="F175" s="282"/>
      <c r="G175" s="282"/>
      <c r="H175" s="282"/>
      <c r="I175" s="282"/>
      <c r="J175" s="283"/>
      <c r="K175" s="7">
        <v>0</v>
      </c>
      <c r="L175" s="7">
        <v>0</v>
      </c>
      <c r="M175" s="7">
        <v>0</v>
      </c>
      <c r="N175" s="7">
        <v>0</v>
      </c>
      <c r="O175" s="7">
        <v>1</v>
      </c>
      <c r="P175" s="7">
        <v>1</v>
      </c>
      <c r="Q175" s="7">
        <v>3</v>
      </c>
      <c r="R175" s="7">
        <v>1</v>
      </c>
      <c r="S175" s="7">
        <v>3</v>
      </c>
      <c r="T175" s="7">
        <v>2</v>
      </c>
      <c r="U175" s="7">
        <v>0</v>
      </c>
      <c r="V175" s="7">
        <v>3</v>
      </c>
      <c r="W175" s="7">
        <v>0</v>
      </c>
      <c r="X175" s="7">
        <v>2</v>
      </c>
      <c r="Y175" s="7">
        <v>0</v>
      </c>
      <c r="Z175" s="7">
        <v>2</v>
      </c>
      <c r="AA175" s="7">
        <v>7</v>
      </c>
      <c r="AB175" s="7">
        <v>11</v>
      </c>
      <c r="AC175" s="7">
        <v>18</v>
      </c>
    </row>
    <row r="176" spans="1:32" ht="18" customHeight="1" x14ac:dyDescent="0.3">
      <c r="A176" s="281" t="s">
        <v>40</v>
      </c>
      <c r="B176" s="282"/>
      <c r="C176" s="282"/>
      <c r="D176" s="282"/>
      <c r="E176" s="282"/>
      <c r="F176" s="282"/>
      <c r="G176" s="282"/>
      <c r="H176" s="282"/>
      <c r="I176" s="282"/>
      <c r="J176" s="283"/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1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1</v>
      </c>
      <c r="AC176" s="7">
        <v>1</v>
      </c>
    </row>
    <row r="177" spans="1:29" ht="18" customHeight="1" x14ac:dyDescent="0.3">
      <c r="A177" s="281" t="s">
        <v>41</v>
      </c>
      <c r="B177" s="282"/>
      <c r="C177" s="282"/>
      <c r="D177" s="282"/>
      <c r="E177" s="282"/>
      <c r="F177" s="282"/>
      <c r="G177" s="282"/>
      <c r="H177" s="282"/>
      <c r="I177" s="282"/>
      <c r="J177" s="283"/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</row>
    <row r="178" spans="1:29" ht="18" customHeight="1" x14ac:dyDescent="0.3">
      <c r="A178" s="281" t="s">
        <v>42</v>
      </c>
      <c r="B178" s="282"/>
      <c r="C178" s="282"/>
      <c r="D178" s="282"/>
      <c r="E178" s="282"/>
      <c r="F178" s="282"/>
      <c r="G178" s="282"/>
      <c r="H178" s="282"/>
      <c r="I178" s="282"/>
      <c r="J178" s="283"/>
      <c r="K178" s="7">
        <v>0</v>
      </c>
      <c r="L178" s="7">
        <v>0</v>
      </c>
      <c r="M178" s="7">
        <v>0</v>
      </c>
      <c r="N178" s="7">
        <v>1</v>
      </c>
      <c r="O178" s="7">
        <v>0</v>
      </c>
      <c r="P178" s="7">
        <v>1</v>
      </c>
      <c r="Q178" s="7">
        <v>0</v>
      </c>
      <c r="R178" s="7">
        <v>1</v>
      </c>
      <c r="S178" s="7">
        <v>0</v>
      </c>
      <c r="T178" s="7">
        <v>0</v>
      </c>
      <c r="U178" s="7">
        <v>1</v>
      </c>
      <c r="V178" s="7">
        <v>0</v>
      </c>
      <c r="W178" s="7">
        <v>1</v>
      </c>
      <c r="X178" s="7">
        <v>0</v>
      </c>
      <c r="Y178" s="7">
        <v>0</v>
      </c>
      <c r="Z178" s="7">
        <v>0</v>
      </c>
      <c r="AA178" s="7">
        <v>2</v>
      </c>
      <c r="AB178" s="7">
        <v>3</v>
      </c>
      <c r="AC178" s="7">
        <v>5</v>
      </c>
    </row>
    <row r="179" spans="1:29" ht="18" customHeight="1" x14ac:dyDescent="0.3">
      <c r="A179" s="224" t="s">
        <v>7</v>
      </c>
      <c r="B179" s="225"/>
      <c r="C179" s="225"/>
      <c r="D179" s="225"/>
      <c r="E179" s="225"/>
      <c r="F179" s="225"/>
      <c r="G179" s="225"/>
      <c r="H179" s="225"/>
      <c r="I179" s="225"/>
      <c r="J179" s="226"/>
      <c r="K179" s="7">
        <v>0</v>
      </c>
      <c r="L179" s="7">
        <v>0</v>
      </c>
      <c r="M179" s="7">
        <v>0</v>
      </c>
      <c r="N179" s="7">
        <v>1</v>
      </c>
      <c r="O179" s="7">
        <v>1</v>
      </c>
      <c r="P179" s="7">
        <v>2</v>
      </c>
      <c r="Q179" s="7">
        <v>3</v>
      </c>
      <c r="R179" s="7">
        <v>2</v>
      </c>
      <c r="S179" s="7">
        <v>3</v>
      </c>
      <c r="T179" s="7">
        <v>3</v>
      </c>
      <c r="U179" s="7">
        <v>1</v>
      </c>
      <c r="V179" s="7">
        <v>3</v>
      </c>
      <c r="W179" s="7">
        <v>1</v>
      </c>
      <c r="X179" s="7">
        <v>2</v>
      </c>
      <c r="Y179" s="7">
        <v>0</v>
      </c>
      <c r="Z179" s="7">
        <v>2</v>
      </c>
      <c r="AA179" s="7">
        <v>9</v>
      </c>
      <c r="AB179" s="7">
        <v>15</v>
      </c>
      <c r="AC179" s="7">
        <v>24</v>
      </c>
    </row>
    <row r="180" spans="1:29" ht="6.75" customHeight="1" x14ac:dyDescent="0.3">
      <c r="A180" s="8"/>
      <c r="B180" s="9"/>
      <c r="C180" s="9"/>
      <c r="D180" s="9"/>
      <c r="E180" s="9"/>
      <c r="F180" s="10"/>
      <c r="G180" s="11"/>
      <c r="H180" s="11"/>
      <c r="I180" s="11"/>
      <c r="J180" s="11"/>
      <c r="K180" s="11"/>
      <c r="L180" s="11"/>
      <c r="M180" s="50"/>
      <c r="N180" s="11"/>
      <c r="O180" s="42"/>
      <c r="P180" s="11"/>
      <c r="Q180" s="12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3"/>
    </row>
    <row r="181" spans="1:29" ht="18" customHeight="1" x14ac:dyDescent="0.3">
      <c r="A181" s="14" t="s">
        <v>45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6"/>
      <c r="M181" s="17"/>
      <c r="N181" s="14" t="s">
        <v>46</v>
      </c>
      <c r="O181" s="15"/>
      <c r="P181" s="15"/>
      <c r="Q181" s="15"/>
      <c r="R181" s="15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9"/>
    </row>
    <row r="182" spans="1:29" ht="45" customHeight="1" x14ac:dyDescent="0.3">
      <c r="A182" s="307" t="s">
        <v>47</v>
      </c>
      <c r="B182" s="312" t="s">
        <v>48</v>
      </c>
      <c r="C182" s="313"/>
      <c r="D182" s="314" t="s">
        <v>49</v>
      </c>
      <c r="E182" s="315"/>
      <c r="F182" s="316"/>
      <c r="G182" s="314" t="s">
        <v>50</v>
      </c>
      <c r="H182" s="315"/>
      <c r="I182" s="315"/>
      <c r="J182" s="316"/>
      <c r="K182" s="307" t="s">
        <v>51</v>
      </c>
      <c r="L182" s="307" t="s">
        <v>52</v>
      </c>
      <c r="M182" s="20"/>
      <c r="N182" s="309" t="s">
        <v>53</v>
      </c>
      <c r="O182" s="310"/>
      <c r="P182" s="311"/>
      <c r="Q182" s="309" t="s">
        <v>54</v>
      </c>
      <c r="R182" s="310"/>
      <c r="S182" s="311"/>
      <c r="T182" s="309" t="s">
        <v>55</v>
      </c>
      <c r="U182" s="310"/>
      <c r="V182" s="310"/>
      <c r="W182" s="310"/>
      <c r="X182" s="310"/>
      <c r="Y182" s="310"/>
      <c r="Z182" s="310"/>
      <c r="AA182" s="310"/>
      <c r="AB182" s="310"/>
      <c r="AC182" s="311"/>
    </row>
    <row r="183" spans="1:29" ht="54.75" customHeight="1" x14ac:dyDescent="0.3">
      <c r="A183" s="308"/>
      <c r="B183" s="21" t="s">
        <v>7</v>
      </c>
      <c r="C183" s="22" t="s">
        <v>87</v>
      </c>
      <c r="D183" s="22" t="s">
        <v>56</v>
      </c>
      <c r="E183" s="22" t="s">
        <v>88</v>
      </c>
      <c r="F183" s="22" t="s">
        <v>89</v>
      </c>
      <c r="G183" s="23" t="s">
        <v>56</v>
      </c>
      <c r="H183" s="22" t="s">
        <v>90</v>
      </c>
      <c r="I183" s="23" t="s">
        <v>57</v>
      </c>
      <c r="J183" s="23" t="s">
        <v>58</v>
      </c>
      <c r="K183" s="308"/>
      <c r="L183" s="308"/>
      <c r="M183" s="20"/>
      <c r="N183" s="309">
        <v>0</v>
      </c>
      <c r="O183" s="310"/>
      <c r="P183" s="311"/>
      <c r="Q183" s="287">
        <v>0</v>
      </c>
      <c r="R183" s="288"/>
      <c r="S183" s="289"/>
      <c r="T183" s="309">
        <v>0</v>
      </c>
      <c r="U183" s="310"/>
      <c r="V183" s="310"/>
      <c r="W183" s="310"/>
      <c r="X183" s="310"/>
      <c r="Y183" s="310"/>
      <c r="Z183" s="310"/>
      <c r="AA183" s="310"/>
      <c r="AB183" s="310"/>
      <c r="AC183" s="311"/>
    </row>
    <row r="184" spans="1:29" ht="38.25" customHeight="1" x14ac:dyDescent="0.3">
      <c r="A184" s="270">
        <v>7833</v>
      </c>
      <c r="B184" s="270">
        <v>142</v>
      </c>
      <c r="C184" s="270">
        <v>0</v>
      </c>
      <c r="D184" s="270">
        <v>80</v>
      </c>
      <c r="E184" s="270">
        <v>2</v>
      </c>
      <c r="F184" s="270">
        <v>0</v>
      </c>
      <c r="G184" s="270">
        <v>7</v>
      </c>
      <c r="H184" s="270">
        <v>3</v>
      </c>
      <c r="I184" s="270">
        <v>6</v>
      </c>
      <c r="J184" s="270">
        <v>16</v>
      </c>
      <c r="K184" s="270">
        <v>14</v>
      </c>
      <c r="L184" s="270">
        <v>14</v>
      </c>
      <c r="M184" s="20"/>
      <c r="N184" s="309" t="s">
        <v>59</v>
      </c>
      <c r="O184" s="310"/>
      <c r="P184" s="311"/>
      <c r="Q184" s="309" t="s">
        <v>60</v>
      </c>
      <c r="R184" s="310"/>
      <c r="S184" s="311"/>
      <c r="T184" s="293" t="s">
        <v>61</v>
      </c>
      <c r="U184" s="294"/>
      <c r="V184" s="294"/>
      <c r="W184" s="295"/>
      <c r="X184" s="293" t="s">
        <v>62</v>
      </c>
      <c r="Y184" s="294"/>
      <c r="Z184" s="294"/>
      <c r="AA184" s="294"/>
      <c r="AB184" s="294"/>
      <c r="AC184" s="295"/>
    </row>
    <row r="185" spans="1:29" ht="19.5" customHeight="1" x14ac:dyDescent="0.3">
      <c r="A185" s="271"/>
      <c r="B185" s="271"/>
      <c r="C185" s="271"/>
      <c r="D185" s="271"/>
      <c r="E185" s="271"/>
      <c r="F185" s="271"/>
      <c r="G185" s="271"/>
      <c r="H185" s="271"/>
      <c r="I185" s="271"/>
      <c r="J185" s="271"/>
      <c r="K185" s="271"/>
      <c r="L185" s="271"/>
      <c r="M185" s="54"/>
      <c r="N185" s="287">
        <v>0</v>
      </c>
      <c r="O185" s="288"/>
      <c r="P185" s="289"/>
      <c r="Q185" s="287">
        <v>0</v>
      </c>
      <c r="R185" s="288"/>
      <c r="S185" s="289"/>
      <c r="T185" s="287">
        <v>0</v>
      </c>
      <c r="U185" s="288"/>
      <c r="V185" s="288"/>
      <c r="W185" s="289"/>
      <c r="X185" s="24"/>
      <c r="Y185" s="309" t="s">
        <v>0</v>
      </c>
      <c r="Z185" s="311"/>
      <c r="AA185" s="25" t="s">
        <v>1</v>
      </c>
      <c r="AB185" s="309" t="s">
        <v>63</v>
      </c>
      <c r="AC185" s="311"/>
    </row>
    <row r="186" spans="1:29" ht="18" customHeight="1" x14ac:dyDescent="0.3">
      <c r="A186" s="271"/>
      <c r="B186" s="271"/>
      <c r="C186" s="271"/>
      <c r="D186" s="271"/>
      <c r="E186" s="271"/>
      <c r="F186" s="271"/>
      <c r="G186" s="271"/>
      <c r="H186" s="271"/>
      <c r="I186" s="271"/>
      <c r="J186" s="271"/>
      <c r="K186" s="271"/>
      <c r="L186" s="271"/>
      <c r="M186" s="54"/>
      <c r="N186" s="290"/>
      <c r="O186" s="291"/>
      <c r="P186" s="292"/>
      <c r="Q186" s="290"/>
      <c r="R186" s="291"/>
      <c r="S186" s="292"/>
      <c r="T186" s="290"/>
      <c r="U186" s="291"/>
      <c r="V186" s="291"/>
      <c r="W186" s="292"/>
      <c r="X186" s="26" t="s">
        <v>64</v>
      </c>
      <c r="Y186" s="317">
        <v>0</v>
      </c>
      <c r="Z186" s="317"/>
      <c r="AA186" s="25">
        <v>0</v>
      </c>
      <c r="AB186" s="317">
        <v>0</v>
      </c>
      <c r="AC186" s="317"/>
    </row>
    <row r="187" spans="1:29" ht="18" customHeight="1" x14ac:dyDescent="0.3">
      <c r="A187" s="271"/>
      <c r="B187" s="271"/>
      <c r="C187" s="271"/>
      <c r="D187" s="271"/>
      <c r="E187" s="271"/>
      <c r="F187" s="271"/>
      <c r="G187" s="271"/>
      <c r="H187" s="271"/>
      <c r="I187" s="271"/>
      <c r="J187" s="271"/>
      <c r="K187" s="271"/>
      <c r="L187" s="271"/>
      <c r="M187" s="54"/>
      <c r="N187" s="290"/>
      <c r="O187" s="291"/>
      <c r="P187" s="292"/>
      <c r="Q187" s="290"/>
      <c r="R187" s="291"/>
      <c r="S187" s="292"/>
      <c r="T187" s="290"/>
      <c r="U187" s="291"/>
      <c r="V187" s="291"/>
      <c r="W187" s="292"/>
      <c r="X187" s="26" t="s">
        <v>65</v>
      </c>
      <c r="Y187" s="317">
        <v>0</v>
      </c>
      <c r="Z187" s="317"/>
      <c r="AA187" s="25">
        <v>0</v>
      </c>
      <c r="AB187" s="317">
        <v>0</v>
      </c>
      <c r="AC187" s="317"/>
    </row>
    <row r="188" spans="1:29" ht="18" customHeight="1" x14ac:dyDescent="0.3">
      <c r="A188" s="272"/>
      <c r="B188" s="272"/>
      <c r="C188" s="272"/>
      <c r="D188" s="272"/>
      <c r="E188" s="272"/>
      <c r="F188" s="272"/>
      <c r="G188" s="272"/>
      <c r="H188" s="272"/>
      <c r="I188" s="272"/>
      <c r="J188" s="272"/>
      <c r="K188" s="272"/>
      <c r="L188" s="272"/>
      <c r="M188" s="54"/>
      <c r="N188" s="293"/>
      <c r="O188" s="294"/>
      <c r="P188" s="295"/>
      <c r="Q188" s="293"/>
      <c r="R188" s="294"/>
      <c r="S188" s="295"/>
      <c r="T188" s="293"/>
      <c r="U188" s="294"/>
      <c r="V188" s="294"/>
      <c r="W188" s="295"/>
      <c r="X188" s="26" t="s">
        <v>66</v>
      </c>
      <c r="Y188" s="317">
        <v>0</v>
      </c>
      <c r="Z188" s="317"/>
      <c r="AA188" s="25">
        <v>0</v>
      </c>
      <c r="AB188" s="317">
        <v>0</v>
      </c>
      <c r="AC188" s="317"/>
    </row>
    <row r="189" spans="1:29" ht="8.25" customHeight="1" x14ac:dyDescent="0.3">
      <c r="A189" s="27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59"/>
      <c r="N189" s="28"/>
      <c r="O189" s="28"/>
      <c r="P189" s="28"/>
      <c r="Q189" s="28"/>
      <c r="R189" s="28"/>
      <c r="S189" s="28"/>
      <c r="T189" s="28"/>
      <c r="U189" s="29"/>
      <c r="V189" s="29"/>
      <c r="W189" s="29"/>
      <c r="X189" s="29"/>
      <c r="Y189" s="29"/>
      <c r="Z189" s="29"/>
      <c r="AA189" s="28"/>
      <c r="AB189" s="28"/>
      <c r="AC189" s="4"/>
    </row>
    <row r="190" spans="1:29" ht="18" customHeight="1" x14ac:dyDescent="0.3">
      <c r="A190" s="14" t="s">
        <v>67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6"/>
      <c r="M190" s="30"/>
      <c r="N190" s="14" t="s">
        <v>68</v>
      </c>
      <c r="O190" s="16"/>
      <c r="P190" s="15"/>
      <c r="Q190" s="31"/>
      <c r="R190" s="15"/>
      <c r="S190" s="15"/>
      <c r="T190" s="15"/>
      <c r="U190" s="15"/>
      <c r="V190" s="15"/>
      <c r="W190" s="15"/>
      <c r="X190" s="15"/>
      <c r="Y190" s="15"/>
      <c r="Z190" s="15"/>
      <c r="AA190" s="18"/>
      <c r="AB190" s="18"/>
      <c r="AC190" s="32"/>
    </row>
    <row r="191" spans="1:29" ht="57" customHeight="1" x14ac:dyDescent="0.3">
      <c r="A191" s="205"/>
      <c r="B191" s="206"/>
      <c r="C191" s="206"/>
      <c r="D191" s="206"/>
      <c r="E191" s="206"/>
      <c r="F191" s="207"/>
      <c r="G191" s="224" t="s">
        <v>11</v>
      </c>
      <c r="H191" s="226"/>
      <c r="I191" s="224" t="s">
        <v>12</v>
      </c>
      <c r="J191" s="226"/>
      <c r="K191" s="33" t="s">
        <v>69</v>
      </c>
      <c r="L191" s="34"/>
      <c r="M191" s="62"/>
      <c r="N191" s="314" t="s">
        <v>70</v>
      </c>
      <c r="O191" s="315"/>
      <c r="P191" s="316"/>
      <c r="Q191" s="314" t="s">
        <v>71</v>
      </c>
      <c r="R191" s="315"/>
      <c r="S191" s="316"/>
      <c r="T191" s="314" t="s">
        <v>72</v>
      </c>
      <c r="U191" s="315"/>
      <c r="V191" s="316"/>
      <c r="W191" s="314" t="s">
        <v>73</v>
      </c>
      <c r="X191" s="315"/>
      <c r="Y191" s="315"/>
      <c r="Z191" s="316"/>
      <c r="AA191" s="314" t="s">
        <v>74</v>
      </c>
      <c r="AB191" s="315"/>
      <c r="AC191" s="316"/>
    </row>
    <row r="192" spans="1:29" ht="13.5" customHeight="1" x14ac:dyDescent="0.3">
      <c r="A192" s="208"/>
      <c r="B192" s="209"/>
      <c r="C192" s="209"/>
      <c r="D192" s="209"/>
      <c r="E192" s="209"/>
      <c r="F192" s="210"/>
      <c r="G192" s="7" t="s">
        <v>75</v>
      </c>
      <c r="H192" s="7" t="s">
        <v>13</v>
      </c>
      <c r="I192" s="7" t="s">
        <v>75</v>
      </c>
      <c r="J192" s="7" t="s">
        <v>13</v>
      </c>
      <c r="K192" s="7" t="s">
        <v>75</v>
      </c>
      <c r="L192" s="7" t="s">
        <v>13</v>
      </c>
      <c r="M192" s="63"/>
      <c r="N192" s="35" t="s">
        <v>0</v>
      </c>
      <c r="O192" s="36" t="s">
        <v>1</v>
      </c>
      <c r="P192" s="36" t="s">
        <v>91</v>
      </c>
      <c r="Q192" s="35" t="s">
        <v>0</v>
      </c>
      <c r="R192" s="36" t="s">
        <v>1</v>
      </c>
      <c r="S192" s="36" t="s">
        <v>91</v>
      </c>
      <c r="T192" s="35" t="s">
        <v>0</v>
      </c>
      <c r="U192" s="36" t="s">
        <v>1</v>
      </c>
      <c r="V192" s="36" t="s">
        <v>91</v>
      </c>
      <c r="W192" s="37"/>
      <c r="X192" s="35" t="s">
        <v>0</v>
      </c>
      <c r="Y192" s="38" t="s">
        <v>1</v>
      </c>
      <c r="Z192" s="39" t="s">
        <v>76</v>
      </c>
      <c r="AA192" s="35" t="s">
        <v>0</v>
      </c>
      <c r="AB192" s="38" t="s">
        <v>1</v>
      </c>
      <c r="AC192" s="39" t="s">
        <v>76</v>
      </c>
    </row>
    <row r="193" spans="1:29" ht="18" customHeight="1" x14ac:dyDescent="0.3">
      <c r="A193" s="299" t="s">
        <v>77</v>
      </c>
      <c r="B193" s="318"/>
      <c r="C193" s="318"/>
      <c r="D193" s="318"/>
      <c r="E193" s="318"/>
      <c r="F193" s="300"/>
      <c r="G193" s="7">
        <v>4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63"/>
      <c r="N193" s="321">
        <v>5</v>
      </c>
      <c r="O193" s="321">
        <v>34</v>
      </c>
      <c r="P193" s="321">
        <v>59</v>
      </c>
      <c r="Q193" s="321">
        <v>4</v>
      </c>
      <c r="R193" s="321">
        <v>11</v>
      </c>
      <c r="S193" s="321">
        <v>35</v>
      </c>
      <c r="T193" s="321">
        <v>0</v>
      </c>
      <c r="U193" s="321">
        <v>0</v>
      </c>
      <c r="V193" s="321">
        <v>0</v>
      </c>
      <c r="W193" s="40" t="s">
        <v>64</v>
      </c>
      <c r="X193" s="7">
        <v>2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</row>
    <row r="194" spans="1:29" ht="18" customHeight="1" x14ac:dyDescent="0.3">
      <c r="A194" s="299" t="s">
        <v>8</v>
      </c>
      <c r="B194" s="318"/>
      <c r="C194" s="318"/>
      <c r="D194" s="318"/>
      <c r="E194" s="318"/>
      <c r="F194" s="300"/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63"/>
      <c r="N194" s="322"/>
      <c r="O194" s="322"/>
      <c r="P194" s="322"/>
      <c r="Q194" s="322"/>
      <c r="R194" s="322"/>
      <c r="S194" s="322"/>
      <c r="T194" s="322"/>
      <c r="U194" s="322"/>
      <c r="V194" s="322"/>
      <c r="W194" s="40" t="s">
        <v>65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</row>
    <row r="195" spans="1:29" ht="18" customHeight="1" x14ac:dyDescent="0.3">
      <c r="A195" s="309" t="s">
        <v>78</v>
      </c>
      <c r="B195" s="310"/>
      <c r="C195" s="310"/>
      <c r="D195" s="310"/>
      <c r="E195" s="310"/>
      <c r="F195" s="311"/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63"/>
      <c r="N195" s="322"/>
      <c r="O195" s="322"/>
      <c r="P195" s="322"/>
      <c r="Q195" s="322"/>
      <c r="R195" s="322"/>
      <c r="S195" s="322"/>
      <c r="T195" s="322"/>
      <c r="U195" s="322"/>
      <c r="V195" s="322"/>
      <c r="W195" s="319" t="s">
        <v>66</v>
      </c>
      <c r="X195" s="321">
        <v>5</v>
      </c>
      <c r="Y195" s="321">
        <v>13</v>
      </c>
      <c r="Z195" s="321">
        <v>4</v>
      </c>
      <c r="AA195" s="321">
        <v>0</v>
      </c>
      <c r="AB195" s="321">
        <v>0</v>
      </c>
      <c r="AC195" s="321">
        <v>0</v>
      </c>
    </row>
    <row r="196" spans="1:29" ht="18" customHeight="1" x14ac:dyDescent="0.3">
      <c r="A196" s="224" t="s">
        <v>7</v>
      </c>
      <c r="B196" s="225"/>
      <c r="C196" s="225"/>
      <c r="D196" s="225"/>
      <c r="E196" s="225"/>
      <c r="F196" s="226"/>
      <c r="G196" s="7">
        <v>4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63"/>
      <c r="N196" s="323"/>
      <c r="O196" s="323"/>
      <c r="P196" s="323"/>
      <c r="Q196" s="323"/>
      <c r="R196" s="323"/>
      <c r="S196" s="323"/>
      <c r="T196" s="323"/>
      <c r="U196" s="323"/>
      <c r="V196" s="323"/>
      <c r="W196" s="320"/>
      <c r="X196" s="323"/>
      <c r="Y196" s="323"/>
      <c r="Z196" s="323"/>
      <c r="AA196" s="323"/>
      <c r="AB196" s="323"/>
      <c r="AC196" s="323"/>
    </row>
  </sheetData>
  <mergeCells count="779">
    <mergeCell ref="A194:F194"/>
    <mergeCell ref="A195:F195"/>
    <mergeCell ref="W195:W196"/>
    <mergeCell ref="A196:F196"/>
    <mergeCell ref="T191:V191"/>
    <mergeCell ref="W191:Z191"/>
    <mergeCell ref="AA191:AC191"/>
    <mergeCell ref="A193:F193"/>
    <mergeCell ref="N193:N196"/>
    <mergeCell ref="O193:O196"/>
    <mergeCell ref="P193:P196"/>
    <mergeCell ref="Q193:Q196"/>
    <mergeCell ref="R193:R196"/>
    <mergeCell ref="S193:S196"/>
    <mergeCell ref="X195:X196"/>
    <mergeCell ref="Y195:Y196"/>
    <mergeCell ref="Z195:Z196"/>
    <mergeCell ref="AA195:AA196"/>
    <mergeCell ref="AB195:AB196"/>
    <mergeCell ref="AC195:AC196"/>
    <mergeCell ref="T193:T196"/>
    <mergeCell ref="U193:U196"/>
    <mergeCell ref="V193:V196"/>
    <mergeCell ref="A191:F192"/>
    <mergeCell ref="G191:H191"/>
    <mergeCell ref="I191:J191"/>
    <mergeCell ref="N191:P191"/>
    <mergeCell ref="Q191:S191"/>
    <mergeCell ref="G184:G188"/>
    <mergeCell ref="H184:H188"/>
    <mergeCell ref="I184:I188"/>
    <mergeCell ref="J184:J188"/>
    <mergeCell ref="K184:K188"/>
    <mergeCell ref="L184:L188"/>
    <mergeCell ref="A184:A188"/>
    <mergeCell ref="B184:B188"/>
    <mergeCell ref="C184:C188"/>
    <mergeCell ref="D184:D188"/>
    <mergeCell ref="E184:E188"/>
    <mergeCell ref="F184:F188"/>
    <mergeCell ref="N184:P184"/>
    <mergeCell ref="Q184:S184"/>
    <mergeCell ref="T184:W184"/>
    <mergeCell ref="X184:AC184"/>
    <mergeCell ref="N185:P188"/>
    <mergeCell ref="Q185:S188"/>
    <mergeCell ref="T185:W188"/>
    <mergeCell ref="Y185:Z185"/>
    <mergeCell ref="AB185:AC185"/>
    <mergeCell ref="Y186:Z186"/>
    <mergeCell ref="AB186:AC186"/>
    <mergeCell ref="Y187:Z187"/>
    <mergeCell ref="AB187:AC187"/>
    <mergeCell ref="Y188:Z188"/>
    <mergeCell ref="AB188:AC188"/>
    <mergeCell ref="K182:K183"/>
    <mergeCell ref="L182:L183"/>
    <mergeCell ref="N182:P182"/>
    <mergeCell ref="Q182:S182"/>
    <mergeCell ref="T182:AC182"/>
    <mergeCell ref="N183:P183"/>
    <mergeCell ref="Q183:S183"/>
    <mergeCell ref="T183:AC183"/>
    <mergeCell ref="A176:J176"/>
    <mergeCell ref="A177:J177"/>
    <mergeCell ref="A178:J178"/>
    <mergeCell ref="A179:J179"/>
    <mergeCell ref="A182:A183"/>
    <mergeCell ref="B182:C182"/>
    <mergeCell ref="D182:F182"/>
    <mergeCell ref="G182:J182"/>
    <mergeCell ref="U173:V173"/>
    <mergeCell ref="W173:X173"/>
    <mergeCell ref="Y173:Z173"/>
    <mergeCell ref="AA173:AB173"/>
    <mergeCell ref="AC173:AC174"/>
    <mergeCell ref="A175:J175"/>
    <mergeCell ref="A173:J174"/>
    <mergeCell ref="K173:L173"/>
    <mergeCell ref="M173:N173"/>
    <mergeCell ref="O173:P173"/>
    <mergeCell ref="Q173:R173"/>
    <mergeCell ref="S173:T173"/>
    <mergeCell ref="A171:J171"/>
    <mergeCell ref="K171:L171"/>
    <mergeCell ref="M171:N171"/>
    <mergeCell ref="O171:Q171"/>
    <mergeCell ref="R171:T171"/>
    <mergeCell ref="U171:W171"/>
    <mergeCell ref="X171:Y171"/>
    <mergeCell ref="Z171:AA171"/>
    <mergeCell ref="AB171:AC171"/>
    <mergeCell ref="A170:J170"/>
    <mergeCell ref="K170:L170"/>
    <mergeCell ref="M170:N170"/>
    <mergeCell ref="O170:Q170"/>
    <mergeCell ref="R170:T170"/>
    <mergeCell ref="U170:W170"/>
    <mergeCell ref="X170:Y170"/>
    <mergeCell ref="Z170:AA170"/>
    <mergeCell ref="AB170:AC170"/>
    <mergeCell ref="A169:J169"/>
    <mergeCell ref="K169:L169"/>
    <mergeCell ref="M169:N169"/>
    <mergeCell ref="O169:Q169"/>
    <mergeCell ref="R169:T169"/>
    <mergeCell ref="U169:W169"/>
    <mergeCell ref="X169:Y169"/>
    <mergeCell ref="Z169:AA169"/>
    <mergeCell ref="AB169:AC169"/>
    <mergeCell ref="A168:J168"/>
    <mergeCell ref="K168:L168"/>
    <mergeCell ref="M168:N168"/>
    <mergeCell ref="O168:Q168"/>
    <mergeCell ref="R168:T168"/>
    <mergeCell ref="U168:W168"/>
    <mergeCell ref="X168:Y168"/>
    <mergeCell ref="Z168:AA168"/>
    <mergeCell ref="AB168:AC168"/>
    <mergeCell ref="AB164:AC166"/>
    <mergeCell ref="A165:J166"/>
    <mergeCell ref="U165:W166"/>
    <mergeCell ref="X165:Y166"/>
    <mergeCell ref="Z165:AA166"/>
    <mergeCell ref="A167:J167"/>
    <mergeCell ref="K167:L167"/>
    <mergeCell ref="M167:N167"/>
    <mergeCell ref="O167:Q167"/>
    <mergeCell ref="R167:T167"/>
    <mergeCell ref="A164:J164"/>
    <mergeCell ref="K164:L166"/>
    <mergeCell ref="M164:N166"/>
    <mergeCell ref="O164:Q166"/>
    <mergeCell ref="R164:T166"/>
    <mergeCell ref="U164:AA164"/>
    <mergeCell ref="U167:W167"/>
    <mergeCell ref="X167:Y167"/>
    <mergeCell ref="Z167:AA167"/>
    <mergeCell ref="AB167:AC167"/>
    <mergeCell ref="Y160:AA161"/>
    <mergeCell ref="AB160:AC161"/>
    <mergeCell ref="A162:G162"/>
    <mergeCell ref="H162:N162"/>
    <mergeCell ref="T162:Y162"/>
    <mergeCell ref="Z162:AC162"/>
    <mergeCell ref="A158:AC158"/>
    <mergeCell ref="A159:W159"/>
    <mergeCell ref="Y159:Z159"/>
    <mergeCell ref="A160:D160"/>
    <mergeCell ref="E160:H160"/>
    <mergeCell ref="I160:J160"/>
    <mergeCell ref="K160:L160"/>
    <mergeCell ref="M160:N160"/>
    <mergeCell ref="O160:R160"/>
    <mergeCell ref="T160:X161"/>
    <mergeCell ref="A155:F155"/>
    <mergeCell ref="A156:F156"/>
    <mergeCell ref="W156:W157"/>
    <mergeCell ref="A157:F157"/>
    <mergeCell ref="T152:V152"/>
    <mergeCell ref="W152:Z152"/>
    <mergeCell ref="AA152:AC152"/>
    <mergeCell ref="A154:F154"/>
    <mergeCell ref="N154:N157"/>
    <mergeCell ref="O154:O157"/>
    <mergeCell ref="P154:P157"/>
    <mergeCell ref="Q154:Q157"/>
    <mergeCell ref="R154:R157"/>
    <mergeCell ref="S154:S157"/>
    <mergeCell ref="X156:X157"/>
    <mergeCell ref="Y156:Y157"/>
    <mergeCell ref="Z156:Z157"/>
    <mergeCell ref="AA156:AA157"/>
    <mergeCell ref="AB156:AB157"/>
    <mergeCell ref="AC156:AC157"/>
    <mergeCell ref="T154:T157"/>
    <mergeCell ref="U154:U157"/>
    <mergeCell ref="V154:V157"/>
    <mergeCell ref="A152:F153"/>
    <mergeCell ref="G152:H152"/>
    <mergeCell ref="I152:J152"/>
    <mergeCell ref="N152:P152"/>
    <mergeCell ref="Q152:S152"/>
    <mergeCell ref="G145:G149"/>
    <mergeCell ref="H145:H149"/>
    <mergeCell ref="I145:I149"/>
    <mergeCell ref="J145:J149"/>
    <mergeCell ref="K145:K149"/>
    <mergeCell ref="L145:L149"/>
    <mergeCell ref="A145:A149"/>
    <mergeCell ref="B145:B149"/>
    <mergeCell ref="C145:C149"/>
    <mergeCell ref="D145:D149"/>
    <mergeCell ref="E145:E149"/>
    <mergeCell ref="F145:F149"/>
    <mergeCell ref="N145:P145"/>
    <mergeCell ref="Q145:S145"/>
    <mergeCell ref="T145:W145"/>
    <mergeCell ref="X145:AC145"/>
    <mergeCell ref="N146:P149"/>
    <mergeCell ref="Q146:S149"/>
    <mergeCell ref="T146:W149"/>
    <mergeCell ref="Y146:Z146"/>
    <mergeCell ref="AB146:AC146"/>
    <mergeCell ref="Y147:Z147"/>
    <mergeCell ref="AB147:AC147"/>
    <mergeCell ref="Y148:Z148"/>
    <mergeCell ref="AB148:AC148"/>
    <mergeCell ref="Y149:Z149"/>
    <mergeCell ref="AB149:AC149"/>
    <mergeCell ref="L143:L144"/>
    <mergeCell ref="N143:P143"/>
    <mergeCell ref="Q143:S143"/>
    <mergeCell ref="T143:AC143"/>
    <mergeCell ref="N144:P144"/>
    <mergeCell ref="Q144:S144"/>
    <mergeCell ref="T144:AC144"/>
    <mergeCell ref="A137:J137"/>
    <mergeCell ref="A138:J138"/>
    <mergeCell ref="A139:J139"/>
    <mergeCell ref="A140:J140"/>
    <mergeCell ref="O141:P141"/>
    <mergeCell ref="A143:A144"/>
    <mergeCell ref="B143:C143"/>
    <mergeCell ref="D143:F143"/>
    <mergeCell ref="G143:J143"/>
    <mergeCell ref="K143:K144"/>
    <mergeCell ref="U134:V134"/>
    <mergeCell ref="W134:X134"/>
    <mergeCell ref="Y134:Z134"/>
    <mergeCell ref="AA134:AB134"/>
    <mergeCell ref="AC134:AC135"/>
    <mergeCell ref="A136:J136"/>
    <mergeCell ref="A134:J135"/>
    <mergeCell ref="K134:L134"/>
    <mergeCell ref="M134:N134"/>
    <mergeCell ref="O134:P134"/>
    <mergeCell ref="Q134:R134"/>
    <mergeCell ref="S134:T134"/>
    <mergeCell ref="A132:J132"/>
    <mergeCell ref="K132:L132"/>
    <mergeCell ref="M132:N132"/>
    <mergeCell ref="O132:Q132"/>
    <mergeCell ref="R132:T132"/>
    <mergeCell ref="U132:W132"/>
    <mergeCell ref="X132:Y132"/>
    <mergeCell ref="Z132:AA132"/>
    <mergeCell ref="AB132:AC132"/>
    <mergeCell ref="A131:J131"/>
    <mergeCell ref="K131:L131"/>
    <mergeCell ref="M131:N131"/>
    <mergeCell ref="O131:Q131"/>
    <mergeCell ref="R131:T131"/>
    <mergeCell ref="U131:W131"/>
    <mergeCell ref="X131:Y131"/>
    <mergeCell ref="Z131:AA131"/>
    <mergeCell ref="AB131:AC131"/>
    <mergeCell ref="A130:J130"/>
    <mergeCell ref="K130:L130"/>
    <mergeCell ref="M130:N130"/>
    <mergeCell ref="O130:Q130"/>
    <mergeCell ref="R130:T130"/>
    <mergeCell ref="U130:W130"/>
    <mergeCell ref="X130:Y130"/>
    <mergeCell ref="Z130:AA130"/>
    <mergeCell ref="AB130:AC130"/>
    <mergeCell ref="A129:J129"/>
    <mergeCell ref="K129:L129"/>
    <mergeCell ref="M129:N129"/>
    <mergeCell ref="O129:Q129"/>
    <mergeCell ref="R129:T129"/>
    <mergeCell ref="U129:W129"/>
    <mergeCell ref="X129:Y129"/>
    <mergeCell ref="Z129:AA129"/>
    <mergeCell ref="AB129:AC129"/>
    <mergeCell ref="AB125:AC127"/>
    <mergeCell ref="A126:J127"/>
    <mergeCell ref="U126:W127"/>
    <mergeCell ref="X126:Y127"/>
    <mergeCell ref="Z126:AA127"/>
    <mergeCell ref="A128:J128"/>
    <mergeCell ref="K128:L128"/>
    <mergeCell ref="M128:N128"/>
    <mergeCell ref="O128:Q128"/>
    <mergeCell ref="R128:T128"/>
    <mergeCell ref="A125:J125"/>
    <mergeCell ref="K125:L127"/>
    <mergeCell ref="M125:N127"/>
    <mergeCell ref="O125:Q127"/>
    <mergeCell ref="R125:T127"/>
    <mergeCell ref="U125:AA125"/>
    <mergeCell ref="U128:W128"/>
    <mergeCell ref="X128:Y128"/>
    <mergeCell ref="Z128:AA128"/>
    <mergeCell ref="AB128:AC128"/>
    <mergeCell ref="Y121:AA122"/>
    <mergeCell ref="AB121:AC122"/>
    <mergeCell ref="A123:G123"/>
    <mergeCell ref="H123:N123"/>
    <mergeCell ref="T123:Y123"/>
    <mergeCell ref="Z123:AC123"/>
    <mergeCell ref="A119:AC119"/>
    <mergeCell ref="A120:W120"/>
    <mergeCell ref="Y120:Z120"/>
    <mergeCell ref="A121:D121"/>
    <mergeCell ref="E121:H121"/>
    <mergeCell ref="I121:J121"/>
    <mergeCell ref="K121:L121"/>
    <mergeCell ref="M121:N121"/>
    <mergeCell ref="O121:R121"/>
    <mergeCell ref="T121:X122"/>
    <mergeCell ref="A116:F116"/>
    <mergeCell ref="A117:F117"/>
    <mergeCell ref="W117:W118"/>
    <mergeCell ref="A118:F118"/>
    <mergeCell ref="T113:V113"/>
    <mergeCell ref="W113:Z113"/>
    <mergeCell ref="AA113:AC113"/>
    <mergeCell ref="A115:F115"/>
    <mergeCell ref="N115:N118"/>
    <mergeCell ref="O115:O118"/>
    <mergeCell ref="P115:P118"/>
    <mergeCell ref="Q115:Q118"/>
    <mergeCell ref="R115:R118"/>
    <mergeCell ref="S115:S118"/>
    <mergeCell ref="X117:X118"/>
    <mergeCell ref="Y117:Y118"/>
    <mergeCell ref="Z117:Z118"/>
    <mergeCell ref="AA117:AA118"/>
    <mergeCell ref="AB117:AB118"/>
    <mergeCell ref="AC117:AC118"/>
    <mergeCell ref="T115:T118"/>
    <mergeCell ref="U115:U118"/>
    <mergeCell ref="V115:V118"/>
    <mergeCell ref="A113:F114"/>
    <mergeCell ref="G113:H113"/>
    <mergeCell ref="I113:J113"/>
    <mergeCell ref="N113:P113"/>
    <mergeCell ref="Q113:S113"/>
    <mergeCell ref="G106:G110"/>
    <mergeCell ref="H106:H110"/>
    <mergeCell ref="I106:I110"/>
    <mergeCell ref="J106:J110"/>
    <mergeCell ref="K106:K110"/>
    <mergeCell ref="L106:L110"/>
    <mergeCell ref="A106:A110"/>
    <mergeCell ref="B106:B110"/>
    <mergeCell ref="C106:C110"/>
    <mergeCell ref="D106:D110"/>
    <mergeCell ref="E106:E110"/>
    <mergeCell ref="F106:F110"/>
    <mergeCell ref="N106:P106"/>
    <mergeCell ref="Q106:S106"/>
    <mergeCell ref="T106:W106"/>
    <mergeCell ref="X106:AC106"/>
    <mergeCell ref="N107:P110"/>
    <mergeCell ref="Q107:S110"/>
    <mergeCell ref="T107:W110"/>
    <mergeCell ref="Y107:Z107"/>
    <mergeCell ref="AB107:AC107"/>
    <mergeCell ref="Y108:Z108"/>
    <mergeCell ref="AB108:AC108"/>
    <mergeCell ref="Y109:Z109"/>
    <mergeCell ref="AB109:AC109"/>
    <mergeCell ref="Y110:Z110"/>
    <mergeCell ref="AB110:AC110"/>
    <mergeCell ref="L104:L105"/>
    <mergeCell ref="N104:P104"/>
    <mergeCell ref="Q104:S104"/>
    <mergeCell ref="T104:AC104"/>
    <mergeCell ref="N105:P105"/>
    <mergeCell ref="Q105:S105"/>
    <mergeCell ref="T105:AC105"/>
    <mergeCell ref="A98:J98"/>
    <mergeCell ref="A99:J99"/>
    <mergeCell ref="A100:J100"/>
    <mergeCell ref="A101:J101"/>
    <mergeCell ref="O102:P102"/>
    <mergeCell ref="A104:A105"/>
    <mergeCell ref="B104:C104"/>
    <mergeCell ref="D104:F104"/>
    <mergeCell ref="G104:J104"/>
    <mergeCell ref="K104:K105"/>
    <mergeCell ref="U95:V95"/>
    <mergeCell ref="W95:X95"/>
    <mergeCell ref="Y95:Z95"/>
    <mergeCell ref="AA95:AB95"/>
    <mergeCell ref="AC95:AC96"/>
    <mergeCell ref="A97:J97"/>
    <mergeCell ref="A95:J96"/>
    <mergeCell ref="K95:L95"/>
    <mergeCell ref="M95:N95"/>
    <mergeCell ref="O95:P95"/>
    <mergeCell ref="Q95:R95"/>
    <mergeCell ref="S95:T95"/>
    <mergeCell ref="A93:J93"/>
    <mergeCell ref="K93:L93"/>
    <mergeCell ref="M93:N93"/>
    <mergeCell ref="O93:Q93"/>
    <mergeCell ref="R93:T93"/>
    <mergeCell ref="U93:W93"/>
    <mergeCell ref="X93:Y93"/>
    <mergeCell ref="Z93:AA93"/>
    <mergeCell ref="AB93:AC93"/>
    <mergeCell ref="A92:J92"/>
    <mergeCell ref="K92:L92"/>
    <mergeCell ref="M92:N92"/>
    <mergeCell ref="O92:Q92"/>
    <mergeCell ref="R92:T92"/>
    <mergeCell ref="U92:W92"/>
    <mergeCell ref="X92:Y92"/>
    <mergeCell ref="Z92:AA92"/>
    <mergeCell ref="AB92:AC92"/>
    <mergeCell ref="A91:J91"/>
    <mergeCell ref="K91:L91"/>
    <mergeCell ref="M91:N91"/>
    <mergeCell ref="O91:Q91"/>
    <mergeCell ref="R91:T91"/>
    <mergeCell ref="U91:W91"/>
    <mergeCell ref="X91:Y91"/>
    <mergeCell ref="Z91:AA91"/>
    <mergeCell ref="AB91:AC91"/>
    <mergeCell ref="A90:J90"/>
    <mergeCell ref="K90:L90"/>
    <mergeCell ref="M90:N90"/>
    <mergeCell ref="O90:Q90"/>
    <mergeCell ref="R90:T90"/>
    <mergeCell ref="U90:W90"/>
    <mergeCell ref="X90:Y90"/>
    <mergeCell ref="Z90:AA90"/>
    <mergeCell ref="AB90:AC90"/>
    <mergeCell ref="AB86:AC88"/>
    <mergeCell ref="A87:J88"/>
    <mergeCell ref="U87:W88"/>
    <mergeCell ref="X87:Y88"/>
    <mergeCell ref="Z87:AA88"/>
    <mergeCell ref="A89:J89"/>
    <mergeCell ref="K89:L89"/>
    <mergeCell ref="M89:N89"/>
    <mergeCell ref="O89:Q89"/>
    <mergeCell ref="R89:T89"/>
    <mergeCell ref="A86:J86"/>
    <mergeCell ref="K86:L88"/>
    <mergeCell ref="M86:N88"/>
    <mergeCell ref="O86:Q88"/>
    <mergeCell ref="R86:T88"/>
    <mergeCell ref="U86:AA86"/>
    <mergeCell ref="U89:W89"/>
    <mergeCell ref="X89:Y89"/>
    <mergeCell ref="Z89:AA89"/>
    <mergeCell ref="AB89:AC89"/>
    <mergeCell ref="Y82:AA83"/>
    <mergeCell ref="AB82:AC83"/>
    <mergeCell ref="A84:G84"/>
    <mergeCell ref="H84:N84"/>
    <mergeCell ref="T84:Y84"/>
    <mergeCell ref="Z84:AC84"/>
    <mergeCell ref="A80:AC80"/>
    <mergeCell ref="A81:W81"/>
    <mergeCell ref="Y81:Z81"/>
    <mergeCell ref="A82:D82"/>
    <mergeCell ref="E82:H82"/>
    <mergeCell ref="I82:J82"/>
    <mergeCell ref="K82:L82"/>
    <mergeCell ref="M82:N82"/>
    <mergeCell ref="O82:R82"/>
    <mergeCell ref="T82:X83"/>
    <mergeCell ref="A77:F77"/>
    <mergeCell ref="A78:F78"/>
    <mergeCell ref="W78:W79"/>
    <mergeCell ref="A79:F79"/>
    <mergeCell ref="T74:V74"/>
    <mergeCell ref="W74:Z74"/>
    <mergeCell ref="AA74:AC74"/>
    <mergeCell ref="A76:F76"/>
    <mergeCell ref="N76:N79"/>
    <mergeCell ref="O76:O79"/>
    <mergeCell ref="P76:P79"/>
    <mergeCell ref="Q76:Q79"/>
    <mergeCell ref="R76:R79"/>
    <mergeCell ref="S76:S79"/>
    <mergeCell ref="X78:X79"/>
    <mergeCell ref="Y78:Y79"/>
    <mergeCell ref="Z78:Z79"/>
    <mergeCell ref="AA78:AA79"/>
    <mergeCell ref="AB78:AB79"/>
    <mergeCell ref="AC78:AC79"/>
    <mergeCell ref="T76:T79"/>
    <mergeCell ref="U76:U79"/>
    <mergeCell ref="V76:V79"/>
    <mergeCell ref="A74:F75"/>
    <mergeCell ref="G74:H74"/>
    <mergeCell ref="I74:J74"/>
    <mergeCell ref="N74:P74"/>
    <mergeCell ref="Q74:S74"/>
    <mergeCell ref="G67:G71"/>
    <mergeCell ref="H67:H71"/>
    <mergeCell ref="I67:I71"/>
    <mergeCell ref="J67:J71"/>
    <mergeCell ref="K67:K71"/>
    <mergeCell ref="L67:L71"/>
    <mergeCell ref="A67:A71"/>
    <mergeCell ref="B67:B71"/>
    <mergeCell ref="C67:C71"/>
    <mergeCell ref="D67:D71"/>
    <mergeCell ref="E67:E71"/>
    <mergeCell ref="F67:F71"/>
    <mergeCell ref="N67:P67"/>
    <mergeCell ref="Q67:S67"/>
    <mergeCell ref="T67:W67"/>
    <mergeCell ref="X67:AC67"/>
    <mergeCell ref="N68:P71"/>
    <mergeCell ref="Q68:S71"/>
    <mergeCell ref="T68:W71"/>
    <mergeCell ref="Y68:Z68"/>
    <mergeCell ref="AB68:AC68"/>
    <mergeCell ref="Y69:Z69"/>
    <mergeCell ref="AB69:AC69"/>
    <mergeCell ref="Y70:Z70"/>
    <mergeCell ref="AB70:AC70"/>
    <mergeCell ref="Y71:Z71"/>
    <mergeCell ref="AB71:AC71"/>
    <mergeCell ref="L65:L66"/>
    <mergeCell ref="N65:P65"/>
    <mergeCell ref="Q65:S65"/>
    <mergeCell ref="T65:AC65"/>
    <mergeCell ref="N66:P66"/>
    <mergeCell ref="Q66:S66"/>
    <mergeCell ref="T66:AC66"/>
    <mergeCell ref="A59:J59"/>
    <mergeCell ref="A60:J60"/>
    <mergeCell ref="A61:J61"/>
    <mergeCell ref="A62:J62"/>
    <mergeCell ref="O63:P63"/>
    <mergeCell ref="A65:A66"/>
    <mergeCell ref="B65:C65"/>
    <mergeCell ref="D65:F65"/>
    <mergeCell ref="G65:J65"/>
    <mergeCell ref="K65:K66"/>
    <mergeCell ref="U56:V56"/>
    <mergeCell ref="W56:X56"/>
    <mergeCell ref="Y56:Z56"/>
    <mergeCell ref="AA56:AB56"/>
    <mergeCell ref="AC56:AC57"/>
    <mergeCell ref="A58:J58"/>
    <mergeCell ref="A56:J57"/>
    <mergeCell ref="K56:L56"/>
    <mergeCell ref="M56:N56"/>
    <mergeCell ref="O56:P56"/>
    <mergeCell ref="Q56:R56"/>
    <mergeCell ref="S56:T56"/>
    <mergeCell ref="A54:J54"/>
    <mergeCell ref="K54:L54"/>
    <mergeCell ref="M54:N54"/>
    <mergeCell ref="O54:Q54"/>
    <mergeCell ref="R54:T54"/>
    <mergeCell ref="U54:W54"/>
    <mergeCell ref="X54:Y54"/>
    <mergeCell ref="Z54:AA54"/>
    <mergeCell ref="AB54:AC54"/>
    <mergeCell ref="A53:J53"/>
    <mergeCell ref="K53:L53"/>
    <mergeCell ref="M53:N53"/>
    <mergeCell ref="O53:Q53"/>
    <mergeCell ref="R53:T53"/>
    <mergeCell ref="U53:W53"/>
    <mergeCell ref="X53:Y53"/>
    <mergeCell ref="Z53:AA53"/>
    <mergeCell ref="AB53:AC53"/>
    <mergeCell ref="A52:J52"/>
    <mergeCell ref="K52:L52"/>
    <mergeCell ref="M52:N52"/>
    <mergeCell ref="O52:Q52"/>
    <mergeCell ref="R52:T52"/>
    <mergeCell ref="U52:W52"/>
    <mergeCell ref="X52:Y52"/>
    <mergeCell ref="Z52:AA52"/>
    <mergeCell ref="AB52:AC52"/>
    <mergeCell ref="A51:J51"/>
    <mergeCell ref="K51:L51"/>
    <mergeCell ref="M51:N51"/>
    <mergeCell ref="O51:Q51"/>
    <mergeCell ref="R51:T51"/>
    <mergeCell ref="U51:W51"/>
    <mergeCell ref="X51:Y51"/>
    <mergeCell ref="Z51:AA51"/>
    <mergeCell ref="AB51:AC51"/>
    <mergeCell ref="AB47:AC49"/>
    <mergeCell ref="A48:J49"/>
    <mergeCell ref="U48:W49"/>
    <mergeCell ref="X48:Y49"/>
    <mergeCell ref="Z48:AA49"/>
    <mergeCell ref="A50:J50"/>
    <mergeCell ref="K50:L50"/>
    <mergeCell ref="M50:N50"/>
    <mergeCell ref="O50:Q50"/>
    <mergeCell ref="R50:T50"/>
    <mergeCell ref="A47:J47"/>
    <mergeCell ref="K47:L49"/>
    <mergeCell ref="M47:N49"/>
    <mergeCell ref="O47:Q49"/>
    <mergeCell ref="R47:T49"/>
    <mergeCell ref="U47:AA47"/>
    <mergeCell ref="U50:W50"/>
    <mergeCell ref="X50:Y50"/>
    <mergeCell ref="Z50:AA50"/>
    <mergeCell ref="AB50:AC50"/>
    <mergeCell ref="Y43:AA44"/>
    <mergeCell ref="AB43:AC44"/>
    <mergeCell ref="A45:G45"/>
    <mergeCell ref="H45:N45"/>
    <mergeCell ref="T45:Y45"/>
    <mergeCell ref="Z45:AC45"/>
    <mergeCell ref="A41:AC41"/>
    <mergeCell ref="A42:W42"/>
    <mergeCell ref="Y42:Z42"/>
    <mergeCell ref="A43:D43"/>
    <mergeCell ref="E43:H43"/>
    <mergeCell ref="I43:J43"/>
    <mergeCell ref="K43:L43"/>
    <mergeCell ref="M43:N43"/>
    <mergeCell ref="O43:R43"/>
    <mergeCell ref="T43:X44"/>
    <mergeCell ref="A38:F38"/>
    <mergeCell ref="A39:F39"/>
    <mergeCell ref="W39:W40"/>
    <mergeCell ref="A40:F40"/>
    <mergeCell ref="T35:V35"/>
    <mergeCell ref="W35:Z35"/>
    <mergeCell ref="AA35:AC35"/>
    <mergeCell ref="A37:F37"/>
    <mergeCell ref="N37:N40"/>
    <mergeCell ref="O37:O40"/>
    <mergeCell ref="P37:P40"/>
    <mergeCell ref="Q37:Q40"/>
    <mergeCell ref="R37:R40"/>
    <mergeCell ref="S37:S40"/>
    <mergeCell ref="X39:X40"/>
    <mergeCell ref="Y39:Y40"/>
    <mergeCell ref="Z39:Z40"/>
    <mergeCell ref="AA39:AA40"/>
    <mergeCell ref="AB39:AB40"/>
    <mergeCell ref="AC39:AC40"/>
    <mergeCell ref="T37:T40"/>
    <mergeCell ref="U37:U40"/>
    <mergeCell ref="V37:V40"/>
    <mergeCell ref="A35:F36"/>
    <mergeCell ref="G35:H35"/>
    <mergeCell ref="I35:J35"/>
    <mergeCell ref="N35:P35"/>
    <mergeCell ref="Q35:S35"/>
    <mergeCell ref="G28:G32"/>
    <mergeCell ref="H28:H32"/>
    <mergeCell ref="I28:I32"/>
    <mergeCell ref="J28:J32"/>
    <mergeCell ref="K28:K32"/>
    <mergeCell ref="L28:L32"/>
    <mergeCell ref="A28:A32"/>
    <mergeCell ref="B28:B32"/>
    <mergeCell ref="C28:C32"/>
    <mergeCell ref="D28:D32"/>
    <mergeCell ref="E28:E32"/>
    <mergeCell ref="F28:F32"/>
    <mergeCell ref="N28:P28"/>
    <mergeCell ref="Q28:S28"/>
    <mergeCell ref="T28:W28"/>
    <mergeCell ref="X28:AC28"/>
    <mergeCell ref="N29:P32"/>
    <mergeCell ref="Q29:S32"/>
    <mergeCell ref="T29:W32"/>
    <mergeCell ref="Y29:Z29"/>
    <mergeCell ref="AB29:AC29"/>
    <mergeCell ref="Y30:Z30"/>
    <mergeCell ref="AB30:AC30"/>
    <mergeCell ref="Y31:Z31"/>
    <mergeCell ref="AB31:AC31"/>
    <mergeCell ref="Y32:Z32"/>
    <mergeCell ref="AB32:AC32"/>
    <mergeCell ref="L26:L27"/>
    <mergeCell ref="N26:P26"/>
    <mergeCell ref="Q26:S26"/>
    <mergeCell ref="T26:AC26"/>
    <mergeCell ref="N27:P27"/>
    <mergeCell ref="Q27:S27"/>
    <mergeCell ref="T27:AC27"/>
    <mergeCell ref="A20:J20"/>
    <mergeCell ref="A21:J21"/>
    <mergeCell ref="A22:J22"/>
    <mergeCell ref="A23:J23"/>
    <mergeCell ref="O24:P24"/>
    <mergeCell ref="A26:A27"/>
    <mergeCell ref="B26:C26"/>
    <mergeCell ref="D26:F26"/>
    <mergeCell ref="G26:J26"/>
    <mergeCell ref="K26:K27"/>
    <mergeCell ref="U17:V17"/>
    <mergeCell ref="W17:X17"/>
    <mergeCell ref="Y17:Z17"/>
    <mergeCell ref="AA17:AB17"/>
    <mergeCell ref="AC17:AC18"/>
    <mergeCell ref="A19:J19"/>
    <mergeCell ref="A17:J18"/>
    <mergeCell ref="K17:L17"/>
    <mergeCell ref="M17:N17"/>
    <mergeCell ref="O17:P17"/>
    <mergeCell ref="Q17:R17"/>
    <mergeCell ref="S17:T17"/>
    <mergeCell ref="A15:J15"/>
    <mergeCell ref="K15:L15"/>
    <mergeCell ref="M15:N15"/>
    <mergeCell ref="O15:Q15"/>
    <mergeCell ref="R15:T15"/>
    <mergeCell ref="U15:W15"/>
    <mergeCell ref="X15:Y15"/>
    <mergeCell ref="Z15:AA15"/>
    <mergeCell ref="AB15:AC15"/>
    <mergeCell ref="A14:J14"/>
    <mergeCell ref="K14:L14"/>
    <mergeCell ref="M14:N14"/>
    <mergeCell ref="O14:Q14"/>
    <mergeCell ref="R14:T14"/>
    <mergeCell ref="U14:W14"/>
    <mergeCell ref="X14:Y14"/>
    <mergeCell ref="Z14:AA14"/>
    <mergeCell ref="AB14:AC14"/>
    <mergeCell ref="A13:J13"/>
    <mergeCell ref="K13:L13"/>
    <mergeCell ref="M13:N13"/>
    <mergeCell ref="O13:Q13"/>
    <mergeCell ref="R13:T13"/>
    <mergeCell ref="U13:W13"/>
    <mergeCell ref="X13:Y13"/>
    <mergeCell ref="Z13:AA13"/>
    <mergeCell ref="AB13:AC13"/>
    <mergeCell ref="A12:J12"/>
    <mergeCell ref="K12:L12"/>
    <mergeCell ref="M12:N12"/>
    <mergeCell ref="O12:Q12"/>
    <mergeCell ref="R12:T12"/>
    <mergeCell ref="U12:W12"/>
    <mergeCell ref="X12:Y12"/>
    <mergeCell ref="Z12:AA12"/>
    <mergeCell ref="AB12:AC12"/>
    <mergeCell ref="AB8:AC10"/>
    <mergeCell ref="A9:J10"/>
    <mergeCell ref="U9:W10"/>
    <mergeCell ref="X9:Y10"/>
    <mergeCell ref="Z9:AA10"/>
    <mergeCell ref="A11:J11"/>
    <mergeCell ref="K11:L11"/>
    <mergeCell ref="M11:N11"/>
    <mergeCell ref="O11:Q11"/>
    <mergeCell ref="R11:T11"/>
    <mergeCell ref="A8:J8"/>
    <mergeCell ref="K8:L10"/>
    <mergeCell ref="M8:N10"/>
    <mergeCell ref="O8:Q10"/>
    <mergeCell ref="R8:T10"/>
    <mergeCell ref="U8:AA8"/>
    <mergeCell ref="U11:W11"/>
    <mergeCell ref="X11:Y11"/>
    <mergeCell ref="Z11:AA11"/>
    <mergeCell ref="AB11:AC11"/>
    <mergeCell ref="Y4:AA5"/>
    <mergeCell ref="AB4:AC5"/>
    <mergeCell ref="A6:G6"/>
    <mergeCell ref="H6:N6"/>
    <mergeCell ref="T6:Y6"/>
    <mergeCell ref="Z6:AC6"/>
    <mergeCell ref="A2:AC2"/>
    <mergeCell ref="A3:W3"/>
    <mergeCell ref="Y3:Z3"/>
    <mergeCell ref="A4:D4"/>
    <mergeCell ref="E4:H4"/>
    <mergeCell ref="I4:J4"/>
    <mergeCell ref="K4:L4"/>
    <mergeCell ref="M4:N4"/>
    <mergeCell ref="O4:R4"/>
    <mergeCell ref="T4:X5"/>
  </mergeCells>
  <printOptions horizontalCentered="1"/>
  <pageMargins left="0.25" right="0.25" top="0.25" bottom="0.25" header="0.25" footer="0.25"/>
  <pageSetup paperSize="9" scale="61" orientation="landscape" r:id="rId1"/>
  <rowBreaks count="4" manualBreakCount="4">
    <brk id="40" max="24" man="1"/>
    <brk id="79" max="24" man="1"/>
    <brk id="118" max="24" man="1"/>
    <brk id="157" max="2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000"/>
  </sheetPr>
  <dimension ref="A1:AF196"/>
  <sheetViews>
    <sheetView view="pageBreakPreview" topLeftCell="A25" zoomScale="85" zoomScaleNormal="100" zoomScaleSheetLayoutView="85" workbookViewId="0">
      <selection activeCell="X37" sqref="X37:Z40"/>
    </sheetView>
  </sheetViews>
  <sheetFormatPr defaultColWidth="9.109375" defaultRowHeight="14.4" x14ac:dyDescent="0.25"/>
  <cols>
    <col min="1" max="1" width="7.88671875" style="72" customWidth="1"/>
    <col min="2" max="2" width="11.44140625" style="72" customWidth="1"/>
    <col min="3" max="3" width="11" style="72" customWidth="1"/>
    <col min="4" max="7" width="7.33203125" style="72" customWidth="1"/>
    <col min="8" max="8" width="7.6640625" style="72" customWidth="1"/>
    <col min="9" max="9" width="8.33203125" style="72" customWidth="1"/>
    <col min="10" max="10" width="7.33203125" style="72" customWidth="1"/>
    <col min="11" max="11" width="9.6640625" style="72" customWidth="1"/>
    <col min="12" max="12" width="8" style="72" customWidth="1"/>
    <col min="13" max="13" width="7.33203125" style="72" customWidth="1"/>
    <col min="14" max="14" width="6.33203125" style="72" customWidth="1"/>
    <col min="15" max="15" width="5.33203125" style="72" customWidth="1"/>
    <col min="16" max="16" width="6" style="72" customWidth="1"/>
    <col min="17" max="18" width="5.33203125" style="72" customWidth="1"/>
    <col min="19" max="19" width="5.44140625" style="72" customWidth="1"/>
    <col min="20" max="20" width="6.33203125" style="72" customWidth="1"/>
    <col min="21" max="22" width="5.33203125" style="72" customWidth="1"/>
    <col min="23" max="29" width="7.33203125" style="72" customWidth="1"/>
    <col min="30" max="16384" width="9.109375" style="72"/>
  </cols>
  <sheetData>
    <row r="1" spans="1:32" ht="7.5" customHeight="1" x14ac:dyDescent="0.25"/>
    <row r="2" spans="1:32" ht="18" customHeight="1" x14ac:dyDescent="0.25">
      <c r="A2" s="159" t="s">
        <v>15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</row>
    <row r="3" spans="1:32" ht="21" customHeight="1" x14ac:dyDescent="0.25">
      <c r="A3" s="159" t="s">
        <v>16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2"/>
      <c r="Y3" s="160" t="s">
        <v>17</v>
      </c>
      <c r="Z3" s="160"/>
      <c r="AA3" s="2"/>
      <c r="AB3" s="2"/>
      <c r="AC3" s="2"/>
    </row>
    <row r="4" spans="1:32" ht="30.9" customHeight="1" x14ac:dyDescent="0.25">
      <c r="A4" s="326" t="s">
        <v>18</v>
      </c>
      <c r="B4" s="326"/>
      <c r="C4" s="326"/>
      <c r="D4" s="326"/>
      <c r="E4" s="327" t="s">
        <v>84</v>
      </c>
      <c r="F4" s="327"/>
      <c r="G4" s="327"/>
      <c r="H4" s="327"/>
      <c r="I4" s="328" t="s">
        <v>20</v>
      </c>
      <c r="J4" s="328"/>
      <c r="K4" s="329" t="s">
        <v>85</v>
      </c>
      <c r="L4" s="329"/>
      <c r="M4" s="328" t="s">
        <v>21</v>
      </c>
      <c r="N4" s="328"/>
      <c r="O4" s="330" t="s">
        <v>19</v>
      </c>
      <c r="P4" s="330"/>
      <c r="Q4" s="330"/>
      <c r="R4" s="330"/>
      <c r="S4" s="43"/>
      <c r="T4" s="166" t="s">
        <v>22</v>
      </c>
      <c r="U4" s="166"/>
      <c r="V4" s="166"/>
      <c r="W4" s="166"/>
      <c r="X4" s="166"/>
      <c r="Y4" s="152" t="s">
        <v>23</v>
      </c>
      <c r="Z4" s="152"/>
      <c r="AA4" s="152"/>
      <c r="AB4" s="153" t="s">
        <v>83</v>
      </c>
      <c r="AC4" s="153"/>
    </row>
    <row r="5" spans="1:32" ht="5.25" customHeight="1" x14ac:dyDescent="0.25">
      <c r="T5" s="166"/>
      <c r="U5" s="166"/>
      <c r="V5" s="166"/>
      <c r="W5" s="166"/>
      <c r="X5" s="166"/>
      <c r="Y5" s="152"/>
      <c r="Z5" s="152"/>
      <c r="AA5" s="152"/>
      <c r="AB5" s="153"/>
      <c r="AC5" s="153"/>
    </row>
    <row r="6" spans="1:32" ht="15.75" customHeight="1" x14ac:dyDescent="0.25">
      <c r="A6" s="324" t="s">
        <v>24</v>
      </c>
      <c r="B6" s="324"/>
      <c r="C6" s="324"/>
      <c r="D6" s="324"/>
      <c r="E6" s="324"/>
      <c r="F6" s="324"/>
      <c r="G6" s="324"/>
      <c r="H6" s="325" t="s">
        <v>25</v>
      </c>
      <c r="I6" s="325"/>
      <c r="J6" s="325"/>
      <c r="K6" s="325"/>
      <c r="L6" s="325"/>
      <c r="M6" s="325"/>
      <c r="N6" s="325"/>
      <c r="O6" s="73"/>
      <c r="P6" s="73"/>
      <c r="T6" s="156" t="s">
        <v>26</v>
      </c>
      <c r="U6" s="156"/>
      <c r="V6" s="156"/>
      <c r="W6" s="156"/>
      <c r="X6" s="156"/>
      <c r="Y6" s="156"/>
      <c r="Z6" s="265" t="s">
        <v>27</v>
      </c>
      <c r="AA6" s="265"/>
      <c r="AB6" s="265"/>
      <c r="AC6" s="265"/>
      <c r="AE6" s="72" t="s">
        <v>28</v>
      </c>
      <c r="AF6" s="72" t="s">
        <v>28</v>
      </c>
    </row>
    <row r="7" spans="1:32" ht="7.5" customHeight="1" x14ac:dyDescent="0.25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</row>
    <row r="8" spans="1:32" ht="15" customHeight="1" x14ac:dyDescent="0.25">
      <c r="A8" s="284" t="s">
        <v>29</v>
      </c>
      <c r="B8" s="285"/>
      <c r="C8" s="285"/>
      <c r="D8" s="285"/>
      <c r="E8" s="285"/>
      <c r="F8" s="285"/>
      <c r="G8" s="285"/>
      <c r="H8" s="285"/>
      <c r="I8" s="285"/>
      <c r="J8" s="286"/>
      <c r="K8" s="273" t="s">
        <v>30</v>
      </c>
      <c r="L8" s="274"/>
      <c r="M8" s="273" t="s">
        <v>31</v>
      </c>
      <c r="N8" s="274"/>
      <c r="O8" s="287" t="s">
        <v>32</v>
      </c>
      <c r="P8" s="288"/>
      <c r="Q8" s="289"/>
      <c r="R8" s="273" t="s">
        <v>33</v>
      </c>
      <c r="S8" s="296"/>
      <c r="T8" s="274"/>
      <c r="U8" s="224" t="s">
        <v>34</v>
      </c>
      <c r="V8" s="225"/>
      <c r="W8" s="225"/>
      <c r="X8" s="225"/>
      <c r="Y8" s="225"/>
      <c r="Z8" s="225"/>
      <c r="AA8" s="226"/>
      <c r="AB8" s="273" t="s">
        <v>7</v>
      </c>
      <c r="AC8" s="274"/>
    </row>
    <row r="9" spans="1:32" ht="23.25" customHeight="1" x14ac:dyDescent="0.25">
      <c r="A9" s="169" t="s">
        <v>35</v>
      </c>
      <c r="B9" s="173"/>
      <c r="C9" s="173"/>
      <c r="D9" s="173"/>
      <c r="E9" s="173"/>
      <c r="F9" s="173"/>
      <c r="G9" s="173"/>
      <c r="H9" s="173"/>
      <c r="I9" s="173"/>
      <c r="J9" s="170"/>
      <c r="K9" s="275"/>
      <c r="L9" s="276"/>
      <c r="M9" s="275"/>
      <c r="N9" s="276"/>
      <c r="O9" s="290"/>
      <c r="P9" s="291"/>
      <c r="Q9" s="292"/>
      <c r="R9" s="275"/>
      <c r="S9" s="297"/>
      <c r="T9" s="276"/>
      <c r="U9" s="279" t="s">
        <v>36</v>
      </c>
      <c r="V9" s="279"/>
      <c r="W9" s="279"/>
      <c r="X9" s="279" t="s">
        <v>37</v>
      </c>
      <c r="Y9" s="279"/>
      <c r="Z9" s="279" t="s">
        <v>38</v>
      </c>
      <c r="AA9" s="279"/>
      <c r="AB9" s="275"/>
      <c r="AC9" s="276"/>
    </row>
    <row r="10" spans="1:32" x14ac:dyDescent="0.25">
      <c r="A10" s="171"/>
      <c r="B10" s="174"/>
      <c r="C10" s="174"/>
      <c r="D10" s="174"/>
      <c r="E10" s="174"/>
      <c r="F10" s="174"/>
      <c r="G10" s="174"/>
      <c r="H10" s="174"/>
      <c r="I10" s="174"/>
      <c r="J10" s="172"/>
      <c r="K10" s="277"/>
      <c r="L10" s="278"/>
      <c r="M10" s="277"/>
      <c r="N10" s="278"/>
      <c r="O10" s="293"/>
      <c r="P10" s="294"/>
      <c r="Q10" s="295"/>
      <c r="R10" s="277"/>
      <c r="S10" s="298"/>
      <c r="T10" s="278"/>
      <c r="U10" s="280"/>
      <c r="V10" s="280"/>
      <c r="W10" s="280"/>
      <c r="X10" s="280"/>
      <c r="Y10" s="280"/>
      <c r="Z10" s="280"/>
      <c r="AA10" s="280"/>
      <c r="AB10" s="277"/>
      <c r="AC10" s="278"/>
    </row>
    <row r="11" spans="1:32" ht="24.9" customHeight="1" x14ac:dyDescent="0.25">
      <c r="A11" s="281" t="s">
        <v>39</v>
      </c>
      <c r="B11" s="282"/>
      <c r="C11" s="282"/>
      <c r="D11" s="282"/>
      <c r="E11" s="282"/>
      <c r="F11" s="282"/>
      <c r="G11" s="282"/>
      <c r="H11" s="282"/>
      <c r="I11" s="282"/>
      <c r="J11" s="283"/>
      <c r="K11" s="224">
        <v>124</v>
      </c>
      <c r="L11" s="226"/>
      <c r="M11" s="224">
        <v>24</v>
      </c>
      <c r="N11" s="226"/>
      <c r="O11" s="224">
        <v>3</v>
      </c>
      <c r="P11" s="225"/>
      <c r="Q11" s="226"/>
      <c r="R11" s="224">
        <v>151</v>
      </c>
      <c r="S11" s="225"/>
      <c r="T11" s="226"/>
      <c r="U11" s="224">
        <v>0</v>
      </c>
      <c r="V11" s="225"/>
      <c r="W11" s="226"/>
      <c r="X11" s="224">
        <v>3</v>
      </c>
      <c r="Y11" s="226"/>
      <c r="Z11" s="224">
        <v>2</v>
      </c>
      <c r="AA11" s="226"/>
      <c r="AB11" s="224">
        <v>156</v>
      </c>
      <c r="AC11" s="226"/>
    </row>
    <row r="12" spans="1:32" ht="24.9" customHeight="1" x14ac:dyDescent="0.25">
      <c r="A12" s="281" t="s">
        <v>40</v>
      </c>
      <c r="B12" s="282"/>
      <c r="C12" s="282"/>
      <c r="D12" s="282"/>
      <c r="E12" s="282"/>
      <c r="F12" s="282"/>
      <c r="G12" s="282"/>
      <c r="H12" s="282"/>
      <c r="I12" s="282"/>
      <c r="J12" s="283"/>
      <c r="K12" s="224">
        <v>139</v>
      </c>
      <c r="L12" s="226"/>
      <c r="M12" s="224">
        <v>40</v>
      </c>
      <c r="N12" s="226"/>
      <c r="O12" s="224">
        <v>1</v>
      </c>
      <c r="P12" s="225"/>
      <c r="Q12" s="226"/>
      <c r="R12" s="224">
        <v>180</v>
      </c>
      <c r="S12" s="225"/>
      <c r="T12" s="226"/>
      <c r="U12" s="224">
        <v>0</v>
      </c>
      <c r="V12" s="225"/>
      <c r="W12" s="226"/>
      <c r="X12" s="224">
        <v>0</v>
      </c>
      <c r="Y12" s="226"/>
      <c r="Z12" s="224">
        <v>3</v>
      </c>
      <c r="AA12" s="226"/>
      <c r="AB12" s="224">
        <v>183</v>
      </c>
      <c r="AC12" s="226"/>
    </row>
    <row r="13" spans="1:32" ht="24.9" customHeight="1" x14ac:dyDescent="0.25">
      <c r="A13" s="281" t="s">
        <v>41</v>
      </c>
      <c r="B13" s="282"/>
      <c r="C13" s="282"/>
      <c r="D13" s="282"/>
      <c r="E13" s="282"/>
      <c r="F13" s="282"/>
      <c r="G13" s="282"/>
      <c r="H13" s="282"/>
      <c r="I13" s="282"/>
      <c r="J13" s="283"/>
      <c r="K13" s="224">
        <v>2</v>
      </c>
      <c r="L13" s="226"/>
      <c r="M13" s="224">
        <v>0</v>
      </c>
      <c r="N13" s="226"/>
      <c r="O13" s="224">
        <v>0</v>
      </c>
      <c r="P13" s="225"/>
      <c r="Q13" s="226"/>
      <c r="R13" s="224">
        <v>2</v>
      </c>
      <c r="S13" s="225"/>
      <c r="T13" s="226"/>
      <c r="U13" s="224">
        <v>0</v>
      </c>
      <c r="V13" s="225"/>
      <c r="W13" s="226"/>
      <c r="X13" s="224">
        <v>0</v>
      </c>
      <c r="Y13" s="226"/>
      <c r="Z13" s="224">
        <v>0</v>
      </c>
      <c r="AA13" s="226"/>
      <c r="AB13" s="224">
        <v>2</v>
      </c>
      <c r="AC13" s="226"/>
    </row>
    <row r="14" spans="1:32" ht="24.9" customHeight="1" x14ac:dyDescent="0.25">
      <c r="A14" s="281" t="s">
        <v>42</v>
      </c>
      <c r="B14" s="282"/>
      <c r="C14" s="282"/>
      <c r="D14" s="282"/>
      <c r="E14" s="282"/>
      <c r="F14" s="282"/>
      <c r="G14" s="282"/>
      <c r="H14" s="282"/>
      <c r="I14" s="282"/>
      <c r="J14" s="283"/>
      <c r="K14" s="224">
        <v>77</v>
      </c>
      <c r="L14" s="226"/>
      <c r="M14" s="224">
        <v>5</v>
      </c>
      <c r="N14" s="226"/>
      <c r="O14" s="224">
        <v>1</v>
      </c>
      <c r="P14" s="225"/>
      <c r="Q14" s="226"/>
      <c r="R14" s="224">
        <v>83</v>
      </c>
      <c r="S14" s="225"/>
      <c r="T14" s="226"/>
      <c r="U14" s="224">
        <v>0</v>
      </c>
      <c r="V14" s="225"/>
      <c r="W14" s="226"/>
      <c r="X14" s="224">
        <v>0</v>
      </c>
      <c r="Y14" s="226"/>
      <c r="Z14" s="224">
        <v>9</v>
      </c>
      <c r="AA14" s="226"/>
      <c r="AB14" s="224">
        <v>92</v>
      </c>
      <c r="AC14" s="226"/>
    </row>
    <row r="15" spans="1:32" ht="24.9" customHeight="1" x14ac:dyDescent="0.25">
      <c r="A15" s="281" t="s">
        <v>7</v>
      </c>
      <c r="B15" s="282"/>
      <c r="C15" s="282"/>
      <c r="D15" s="282"/>
      <c r="E15" s="282"/>
      <c r="F15" s="282"/>
      <c r="G15" s="282"/>
      <c r="H15" s="282"/>
      <c r="I15" s="282"/>
      <c r="J15" s="283"/>
      <c r="K15" s="224">
        <v>342</v>
      </c>
      <c r="L15" s="226"/>
      <c r="M15" s="224">
        <v>69</v>
      </c>
      <c r="N15" s="226"/>
      <c r="O15" s="224">
        <v>5</v>
      </c>
      <c r="P15" s="225"/>
      <c r="Q15" s="226"/>
      <c r="R15" s="224">
        <v>416</v>
      </c>
      <c r="S15" s="225"/>
      <c r="T15" s="226"/>
      <c r="U15" s="224">
        <v>0</v>
      </c>
      <c r="V15" s="225"/>
      <c r="W15" s="226"/>
      <c r="X15" s="224">
        <v>3</v>
      </c>
      <c r="Y15" s="226"/>
      <c r="Z15" s="224">
        <v>14</v>
      </c>
      <c r="AA15" s="226"/>
      <c r="AB15" s="224">
        <v>433</v>
      </c>
      <c r="AC15" s="226"/>
    </row>
    <row r="16" spans="1:32" ht="15.6" x14ac:dyDescent="0.25">
      <c r="A16" s="75" t="s">
        <v>43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7"/>
      <c r="V16" s="77"/>
      <c r="W16" s="77"/>
      <c r="X16" s="77"/>
      <c r="Y16" s="77"/>
      <c r="Z16" s="77"/>
      <c r="AA16" s="77"/>
      <c r="AB16" s="77"/>
      <c r="AC16" s="78"/>
    </row>
    <row r="17" spans="1:32" ht="21.75" customHeight="1" x14ac:dyDescent="0.25">
      <c r="A17" s="331"/>
      <c r="B17" s="332"/>
      <c r="C17" s="332"/>
      <c r="D17" s="332"/>
      <c r="E17" s="332"/>
      <c r="F17" s="332"/>
      <c r="G17" s="332"/>
      <c r="H17" s="332"/>
      <c r="I17" s="332"/>
      <c r="J17" s="333"/>
      <c r="K17" s="224" t="s">
        <v>0</v>
      </c>
      <c r="L17" s="226"/>
      <c r="M17" s="305" t="s">
        <v>1</v>
      </c>
      <c r="N17" s="306"/>
      <c r="O17" s="301" t="s">
        <v>2</v>
      </c>
      <c r="P17" s="302"/>
      <c r="Q17" s="301" t="s">
        <v>3</v>
      </c>
      <c r="R17" s="302"/>
      <c r="S17" s="301" t="s">
        <v>4</v>
      </c>
      <c r="T17" s="302"/>
      <c r="U17" s="301" t="s">
        <v>5</v>
      </c>
      <c r="V17" s="302"/>
      <c r="W17" s="301" t="s">
        <v>6</v>
      </c>
      <c r="X17" s="302"/>
      <c r="Y17" s="301" t="s">
        <v>44</v>
      </c>
      <c r="Z17" s="302"/>
      <c r="AA17" s="301" t="s">
        <v>7</v>
      </c>
      <c r="AB17" s="302"/>
      <c r="AC17" s="303" t="s">
        <v>86</v>
      </c>
      <c r="AD17" s="5"/>
      <c r="AE17" s="6"/>
      <c r="AF17" s="6"/>
    </row>
    <row r="18" spans="1:32" x14ac:dyDescent="0.25">
      <c r="A18" s="334"/>
      <c r="B18" s="335"/>
      <c r="C18" s="335"/>
      <c r="D18" s="335"/>
      <c r="E18" s="335"/>
      <c r="F18" s="335"/>
      <c r="G18" s="335"/>
      <c r="H18" s="335"/>
      <c r="I18" s="335"/>
      <c r="J18" s="336"/>
      <c r="K18" s="7" t="s">
        <v>9</v>
      </c>
      <c r="L18" s="7" t="s">
        <v>10</v>
      </c>
      <c r="M18" s="7" t="s">
        <v>9</v>
      </c>
      <c r="N18" s="7" t="s">
        <v>10</v>
      </c>
      <c r="O18" s="7" t="s">
        <v>9</v>
      </c>
      <c r="P18" s="7" t="s">
        <v>10</v>
      </c>
      <c r="Q18" s="7" t="s">
        <v>9</v>
      </c>
      <c r="R18" s="7" t="s">
        <v>10</v>
      </c>
      <c r="S18" s="7" t="s">
        <v>9</v>
      </c>
      <c r="T18" s="7" t="s">
        <v>10</v>
      </c>
      <c r="U18" s="7" t="s">
        <v>9</v>
      </c>
      <c r="V18" s="7" t="s">
        <v>10</v>
      </c>
      <c r="W18" s="7" t="s">
        <v>9</v>
      </c>
      <c r="X18" s="7" t="s">
        <v>10</v>
      </c>
      <c r="Y18" s="7" t="s">
        <v>9</v>
      </c>
      <c r="Z18" s="7" t="s">
        <v>10</v>
      </c>
      <c r="AA18" s="7" t="s">
        <v>9</v>
      </c>
      <c r="AB18" s="7" t="s">
        <v>10</v>
      </c>
      <c r="AC18" s="304"/>
    </row>
    <row r="19" spans="1:32" ht="24.9" customHeight="1" x14ac:dyDescent="0.25">
      <c r="A19" s="281" t="s">
        <v>39</v>
      </c>
      <c r="B19" s="282"/>
      <c r="C19" s="282"/>
      <c r="D19" s="282"/>
      <c r="E19" s="282"/>
      <c r="F19" s="282"/>
      <c r="G19" s="282"/>
      <c r="H19" s="282"/>
      <c r="I19" s="282"/>
      <c r="J19" s="283"/>
      <c r="K19" s="7">
        <v>0</v>
      </c>
      <c r="L19" s="7">
        <v>0</v>
      </c>
      <c r="M19" s="7">
        <v>3</v>
      </c>
      <c r="N19" s="7">
        <v>12</v>
      </c>
      <c r="O19" s="7">
        <v>23</v>
      </c>
      <c r="P19" s="7">
        <v>24</v>
      </c>
      <c r="Q19" s="7">
        <v>13</v>
      </c>
      <c r="R19" s="7">
        <v>13</v>
      </c>
      <c r="S19" s="7">
        <v>10</v>
      </c>
      <c r="T19" s="7">
        <v>9</v>
      </c>
      <c r="U19" s="7">
        <v>12</v>
      </c>
      <c r="V19" s="7">
        <v>10</v>
      </c>
      <c r="W19" s="7">
        <v>5</v>
      </c>
      <c r="X19" s="7">
        <v>7</v>
      </c>
      <c r="Y19" s="7">
        <v>6</v>
      </c>
      <c r="Z19" s="7">
        <v>4</v>
      </c>
      <c r="AA19" s="7">
        <v>72</v>
      </c>
      <c r="AB19" s="7">
        <v>79</v>
      </c>
      <c r="AC19" s="7">
        <v>151</v>
      </c>
    </row>
    <row r="20" spans="1:32" ht="24.9" customHeight="1" x14ac:dyDescent="0.25">
      <c r="A20" s="281" t="s">
        <v>40</v>
      </c>
      <c r="B20" s="282"/>
      <c r="C20" s="282"/>
      <c r="D20" s="282"/>
      <c r="E20" s="282"/>
      <c r="F20" s="282"/>
      <c r="G20" s="282"/>
      <c r="H20" s="282"/>
      <c r="I20" s="282"/>
      <c r="J20" s="283"/>
      <c r="K20" s="7">
        <v>0</v>
      </c>
      <c r="L20" s="7">
        <v>2</v>
      </c>
      <c r="M20" s="7">
        <v>4</v>
      </c>
      <c r="N20" s="7">
        <v>8</v>
      </c>
      <c r="O20" s="7">
        <v>11</v>
      </c>
      <c r="P20" s="7">
        <v>33</v>
      </c>
      <c r="Q20" s="7">
        <v>13</v>
      </c>
      <c r="R20" s="7">
        <v>27</v>
      </c>
      <c r="S20" s="7">
        <v>17</v>
      </c>
      <c r="T20" s="7">
        <v>7</v>
      </c>
      <c r="U20" s="7">
        <v>13</v>
      </c>
      <c r="V20" s="7">
        <v>11</v>
      </c>
      <c r="W20" s="7">
        <v>13</v>
      </c>
      <c r="X20" s="7">
        <v>6</v>
      </c>
      <c r="Y20" s="7">
        <v>9</v>
      </c>
      <c r="Z20" s="7">
        <v>6</v>
      </c>
      <c r="AA20" s="7">
        <v>80</v>
      </c>
      <c r="AB20" s="7">
        <v>100</v>
      </c>
      <c r="AC20" s="7">
        <v>180</v>
      </c>
    </row>
    <row r="21" spans="1:32" ht="24.9" customHeight="1" x14ac:dyDescent="0.25">
      <c r="A21" s="281" t="s">
        <v>41</v>
      </c>
      <c r="B21" s="282"/>
      <c r="C21" s="282"/>
      <c r="D21" s="282"/>
      <c r="E21" s="282"/>
      <c r="F21" s="282"/>
      <c r="G21" s="282"/>
      <c r="H21" s="282"/>
      <c r="I21" s="282"/>
      <c r="J21" s="283"/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1</v>
      </c>
      <c r="Q21" s="7">
        <v>0</v>
      </c>
      <c r="R21" s="7">
        <v>0</v>
      </c>
      <c r="S21" s="7">
        <v>0</v>
      </c>
      <c r="T21" s="7">
        <v>1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2</v>
      </c>
      <c r="AC21" s="7">
        <v>2</v>
      </c>
    </row>
    <row r="22" spans="1:32" ht="24.9" customHeight="1" x14ac:dyDescent="0.25">
      <c r="A22" s="281" t="s">
        <v>42</v>
      </c>
      <c r="B22" s="282"/>
      <c r="C22" s="282"/>
      <c r="D22" s="282"/>
      <c r="E22" s="282"/>
      <c r="F22" s="282"/>
      <c r="G22" s="282"/>
      <c r="H22" s="282"/>
      <c r="I22" s="282"/>
      <c r="J22" s="283"/>
      <c r="K22" s="7">
        <v>0</v>
      </c>
      <c r="L22" s="7">
        <v>0</v>
      </c>
      <c r="M22" s="7">
        <v>4</v>
      </c>
      <c r="N22" s="7">
        <v>6</v>
      </c>
      <c r="O22" s="7">
        <v>7</v>
      </c>
      <c r="P22" s="7">
        <v>14</v>
      </c>
      <c r="Q22" s="7">
        <v>7</v>
      </c>
      <c r="R22" s="7">
        <v>10</v>
      </c>
      <c r="S22" s="7">
        <v>8</v>
      </c>
      <c r="T22" s="7">
        <v>11</v>
      </c>
      <c r="U22" s="7">
        <v>2</v>
      </c>
      <c r="V22" s="7">
        <v>6</v>
      </c>
      <c r="W22" s="7">
        <v>2</v>
      </c>
      <c r="X22" s="7">
        <v>2</v>
      </c>
      <c r="Y22" s="7">
        <v>4</v>
      </c>
      <c r="Z22" s="7">
        <v>0</v>
      </c>
      <c r="AA22" s="7">
        <v>34</v>
      </c>
      <c r="AB22" s="7">
        <v>49</v>
      </c>
      <c r="AC22" s="7">
        <v>83</v>
      </c>
    </row>
    <row r="23" spans="1:32" ht="24.9" customHeight="1" x14ac:dyDescent="0.25">
      <c r="A23" s="224" t="s">
        <v>7</v>
      </c>
      <c r="B23" s="225"/>
      <c r="C23" s="225"/>
      <c r="D23" s="225"/>
      <c r="E23" s="225"/>
      <c r="F23" s="225"/>
      <c r="G23" s="225"/>
      <c r="H23" s="225"/>
      <c r="I23" s="225"/>
      <c r="J23" s="226"/>
      <c r="K23" s="7">
        <v>0</v>
      </c>
      <c r="L23" s="7">
        <v>2</v>
      </c>
      <c r="M23" s="7">
        <v>11</v>
      </c>
      <c r="N23" s="7">
        <v>26</v>
      </c>
      <c r="O23" s="7">
        <v>41</v>
      </c>
      <c r="P23" s="7">
        <v>72</v>
      </c>
      <c r="Q23" s="7">
        <v>33</v>
      </c>
      <c r="R23" s="7">
        <v>50</v>
      </c>
      <c r="S23" s="7">
        <v>35</v>
      </c>
      <c r="T23" s="7">
        <v>28</v>
      </c>
      <c r="U23" s="7">
        <v>27</v>
      </c>
      <c r="V23" s="7">
        <v>27</v>
      </c>
      <c r="W23" s="7">
        <v>20</v>
      </c>
      <c r="X23" s="7">
        <v>15</v>
      </c>
      <c r="Y23" s="7">
        <v>19</v>
      </c>
      <c r="Z23" s="7">
        <v>10</v>
      </c>
      <c r="AA23" s="7">
        <v>186</v>
      </c>
      <c r="AB23" s="7">
        <v>230</v>
      </c>
      <c r="AC23" s="7">
        <v>416</v>
      </c>
    </row>
    <row r="24" spans="1:32" ht="6.75" customHeight="1" x14ac:dyDescent="0.25">
      <c r="A24" s="79"/>
      <c r="B24" s="80"/>
      <c r="C24" s="80"/>
      <c r="D24" s="80"/>
      <c r="E24" s="80"/>
      <c r="F24" s="81"/>
      <c r="G24" s="82"/>
      <c r="H24" s="82"/>
      <c r="I24" s="82"/>
      <c r="J24" s="82"/>
      <c r="K24" s="82"/>
      <c r="L24" s="82"/>
      <c r="M24" s="83"/>
      <c r="N24" s="82"/>
      <c r="O24" s="337"/>
      <c r="P24" s="338"/>
      <c r="Q24" s="84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5"/>
    </row>
    <row r="25" spans="1:32" ht="18" customHeight="1" x14ac:dyDescent="0.25">
      <c r="A25" s="86" t="s">
        <v>45</v>
      </c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8"/>
      <c r="M25" s="89"/>
      <c r="N25" s="86" t="s">
        <v>46</v>
      </c>
      <c r="O25" s="87"/>
      <c r="P25" s="87"/>
      <c r="Q25" s="87"/>
      <c r="R25" s="87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1"/>
    </row>
    <row r="26" spans="1:32" ht="42.75" customHeight="1" x14ac:dyDescent="0.25">
      <c r="A26" s="307" t="s">
        <v>47</v>
      </c>
      <c r="B26" s="312" t="s">
        <v>48</v>
      </c>
      <c r="C26" s="313"/>
      <c r="D26" s="314" t="s">
        <v>49</v>
      </c>
      <c r="E26" s="315"/>
      <c r="F26" s="316"/>
      <c r="G26" s="314" t="s">
        <v>50</v>
      </c>
      <c r="H26" s="315"/>
      <c r="I26" s="315"/>
      <c r="J26" s="316"/>
      <c r="K26" s="307" t="s">
        <v>51</v>
      </c>
      <c r="L26" s="307" t="s">
        <v>52</v>
      </c>
      <c r="M26" s="20"/>
      <c r="N26" s="309" t="s">
        <v>53</v>
      </c>
      <c r="O26" s="310"/>
      <c r="P26" s="311"/>
      <c r="Q26" s="309" t="s">
        <v>54</v>
      </c>
      <c r="R26" s="310"/>
      <c r="S26" s="311"/>
      <c r="T26" s="309" t="s">
        <v>55</v>
      </c>
      <c r="U26" s="310"/>
      <c r="V26" s="310"/>
      <c r="W26" s="310"/>
      <c r="X26" s="310"/>
      <c r="Y26" s="310"/>
      <c r="Z26" s="310"/>
      <c r="AA26" s="310"/>
      <c r="AB26" s="310"/>
      <c r="AC26" s="311"/>
    </row>
    <row r="27" spans="1:32" ht="48" customHeight="1" x14ac:dyDescent="0.25">
      <c r="A27" s="308"/>
      <c r="B27" s="21" t="s">
        <v>7</v>
      </c>
      <c r="C27" s="22" t="s">
        <v>87</v>
      </c>
      <c r="D27" s="22" t="s">
        <v>56</v>
      </c>
      <c r="E27" s="22" t="s">
        <v>88</v>
      </c>
      <c r="F27" s="22" t="s">
        <v>89</v>
      </c>
      <c r="G27" s="23" t="s">
        <v>56</v>
      </c>
      <c r="H27" s="22" t="s">
        <v>90</v>
      </c>
      <c r="I27" s="23" t="s">
        <v>57</v>
      </c>
      <c r="J27" s="23" t="s">
        <v>58</v>
      </c>
      <c r="K27" s="308"/>
      <c r="L27" s="308"/>
      <c r="M27" s="20"/>
      <c r="N27" s="309">
        <v>219</v>
      </c>
      <c r="O27" s="310"/>
      <c r="P27" s="311"/>
      <c r="Q27" s="309">
        <v>3</v>
      </c>
      <c r="R27" s="310"/>
      <c r="S27" s="311"/>
      <c r="T27" s="309">
        <v>3</v>
      </c>
      <c r="U27" s="310"/>
      <c r="V27" s="310"/>
      <c r="W27" s="310"/>
      <c r="X27" s="310"/>
      <c r="Y27" s="310"/>
      <c r="Z27" s="310"/>
      <c r="AA27" s="310"/>
      <c r="AB27" s="310"/>
      <c r="AC27" s="311"/>
    </row>
    <row r="28" spans="1:32" ht="38.25" customHeight="1" x14ac:dyDescent="0.25">
      <c r="A28" s="279">
        <v>5801</v>
      </c>
      <c r="B28" s="279">
        <v>982</v>
      </c>
      <c r="C28" s="279">
        <v>11</v>
      </c>
      <c r="D28" s="279">
        <v>165</v>
      </c>
      <c r="E28" s="279">
        <v>385</v>
      </c>
      <c r="F28" s="279">
        <v>275</v>
      </c>
      <c r="G28" s="279">
        <v>24</v>
      </c>
      <c r="H28" s="279">
        <v>52</v>
      </c>
      <c r="I28" s="279">
        <v>71</v>
      </c>
      <c r="J28" s="279">
        <v>147</v>
      </c>
      <c r="K28" s="279">
        <v>135</v>
      </c>
      <c r="L28" s="279">
        <v>172</v>
      </c>
      <c r="M28" s="20"/>
      <c r="N28" s="309" t="s">
        <v>59</v>
      </c>
      <c r="O28" s="310"/>
      <c r="P28" s="311"/>
      <c r="Q28" s="309" t="s">
        <v>60</v>
      </c>
      <c r="R28" s="310"/>
      <c r="S28" s="311"/>
      <c r="T28" s="293" t="s">
        <v>61</v>
      </c>
      <c r="U28" s="294"/>
      <c r="V28" s="294"/>
      <c r="W28" s="295"/>
      <c r="X28" s="293" t="s">
        <v>62</v>
      </c>
      <c r="Y28" s="294"/>
      <c r="Z28" s="294"/>
      <c r="AA28" s="294"/>
      <c r="AB28" s="294"/>
      <c r="AC28" s="295"/>
    </row>
    <row r="29" spans="1:32" ht="19.5" customHeight="1" x14ac:dyDescent="0.25">
      <c r="A29" s="339"/>
      <c r="B29" s="339"/>
      <c r="C29" s="339"/>
      <c r="D29" s="339"/>
      <c r="E29" s="339"/>
      <c r="F29" s="339"/>
      <c r="G29" s="339"/>
      <c r="H29" s="339"/>
      <c r="I29" s="339"/>
      <c r="J29" s="339"/>
      <c r="K29" s="339"/>
      <c r="L29" s="339"/>
      <c r="M29" s="20"/>
      <c r="N29" s="287">
        <v>0</v>
      </c>
      <c r="O29" s="288"/>
      <c r="P29" s="289"/>
      <c r="Q29" s="287">
        <v>0</v>
      </c>
      <c r="R29" s="288"/>
      <c r="S29" s="289"/>
      <c r="T29" s="287">
        <v>0</v>
      </c>
      <c r="U29" s="288"/>
      <c r="V29" s="288"/>
      <c r="W29" s="289"/>
      <c r="X29" s="24"/>
      <c r="Y29" s="309" t="s">
        <v>0</v>
      </c>
      <c r="Z29" s="311"/>
      <c r="AA29" s="25" t="s">
        <v>1</v>
      </c>
      <c r="AB29" s="309" t="s">
        <v>63</v>
      </c>
      <c r="AC29" s="311"/>
    </row>
    <row r="30" spans="1:32" ht="18" customHeight="1" x14ac:dyDescent="0.25">
      <c r="A30" s="339"/>
      <c r="B30" s="339"/>
      <c r="C30" s="339"/>
      <c r="D30" s="339"/>
      <c r="E30" s="339"/>
      <c r="F30" s="339"/>
      <c r="G30" s="339"/>
      <c r="H30" s="339"/>
      <c r="I30" s="339"/>
      <c r="J30" s="339"/>
      <c r="K30" s="339"/>
      <c r="L30" s="339"/>
      <c r="M30" s="20"/>
      <c r="N30" s="290"/>
      <c r="O30" s="291"/>
      <c r="P30" s="292"/>
      <c r="Q30" s="290"/>
      <c r="R30" s="291"/>
      <c r="S30" s="292"/>
      <c r="T30" s="290"/>
      <c r="U30" s="291"/>
      <c r="V30" s="291"/>
      <c r="W30" s="292"/>
      <c r="X30" s="26" t="s">
        <v>64</v>
      </c>
      <c r="Y30" s="317">
        <v>0</v>
      </c>
      <c r="Z30" s="317"/>
      <c r="AA30" s="25">
        <v>0</v>
      </c>
      <c r="AB30" s="317">
        <v>0</v>
      </c>
      <c r="AC30" s="317"/>
    </row>
    <row r="31" spans="1:32" ht="18" customHeight="1" x14ac:dyDescent="0.25">
      <c r="A31" s="339"/>
      <c r="B31" s="339"/>
      <c r="C31" s="339"/>
      <c r="D31" s="339"/>
      <c r="E31" s="339"/>
      <c r="F31" s="339"/>
      <c r="G31" s="339"/>
      <c r="H31" s="339"/>
      <c r="I31" s="339"/>
      <c r="J31" s="339"/>
      <c r="K31" s="339"/>
      <c r="L31" s="339"/>
      <c r="M31" s="20"/>
      <c r="N31" s="290"/>
      <c r="O31" s="291"/>
      <c r="P31" s="292"/>
      <c r="Q31" s="290"/>
      <c r="R31" s="291"/>
      <c r="S31" s="292"/>
      <c r="T31" s="290"/>
      <c r="U31" s="291"/>
      <c r="V31" s="291"/>
      <c r="W31" s="292"/>
      <c r="X31" s="26" t="s">
        <v>65</v>
      </c>
      <c r="Y31" s="317">
        <v>0</v>
      </c>
      <c r="Z31" s="317"/>
      <c r="AA31" s="25">
        <v>0</v>
      </c>
      <c r="AB31" s="317">
        <v>0</v>
      </c>
      <c r="AC31" s="317"/>
    </row>
    <row r="32" spans="1:32" ht="18" customHeight="1" x14ac:dyDescent="0.25">
      <c r="A32" s="280"/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0"/>
      <c r="N32" s="293"/>
      <c r="O32" s="294"/>
      <c r="P32" s="295"/>
      <c r="Q32" s="293"/>
      <c r="R32" s="294"/>
      <c r="S32" s="295"/>
      <c r="T32" s="293"/>
      <c r="U32" s="294"/>
      <c r="V32" s="294"/>
      <c r="W32" s="295"/>
      <c r="X32" s="26" t="s">
        <v>66</v>
      </c>
      <c r="Y32" s="317">
        <v>0</v>
      </c>
      <c r="Z32" s="317"/>
      <c r="AA32" s="25">
        <v>0</v>
      </c>
      <c r="AB32" s="317">
        <v>0</v>
      </c>
      <c r="AC32" s="317"/>
    </row>
    <row r="33" spans="1:29" ht="8.25" customHeight="1" x14ac:dyDescent="0.25">
      <c r="A33" s="27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92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78"/>
    </row>
    <row r="34" spans="1:29" ht="18" customHeight="1" x14ac:dyDescent="0.25">
      <c r="A34" s="86" t="s">
        <v>67</v>
      </c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8"/>
      <c r="M34" s="93"/>
      <c r="N34" s="86" t="s">
        <v>68</v>
      </c>
      <c r="O34" s="88"/>
      <c r="P34" s="87"/>
      <c r="Q34" s="94"/>
      <c r="R34" s="87"/>
      <c r="S34" s="87"/>
      <c r="T34" s="87"/>
      <c r="U34" s="87"/>
      <c r="V34" s="87"/>
      <c r="W34" s="87"/>
      <c r="X34" s="87"/>
      <c r="Y34" s="87"/>
      <c r="Z34" s="87"/>
      <c r="AA34" s="90"/>
      <c r="AB34" s="90"/>
      <c r="AC34" s="95"/>
    </row>
    <row r="35" spans="1:29" ht="57" customHeight="1" x14ac:dyDescent="0.25">
      <c r="A35" s="331"/>
      <c r="B35" s="332"/>
      <c r="C35" s="332"/>
      <c r="D35" s="332"/>
      <c r="E35" s="332"/>
      <c r="F35" s="333"/>
      <c r="G35" s="224" t="s">
        <v>11</v>
      </c>
      <c r="H35" s="226"/>
      <c r="I35" s="224" t="s">
        <v>12</v>
      </c>
      <c r="J35" s="226"/>
      <c r="K35" s="33" t="s">
        <v>69</v>
      </c>
      <c r="L35" s="34"/>
      <c r="M35" s="96"/>
      <c r="N35" s="314" t="s">
        <v>70</v>
      </c>
      <c r="O35" s="315"/>
      <c r="P35" s="316"/>
      <c r="Q35" s="314" t="s">
        <v>71</v>
      </c>
      <c r="R35" s="315"/>
      <c r="S35" s="316"/>
      <c r="T35" s="314" t="s">
        <v>72</v>
      </c>
      <c r="U35" s="315"/>
      <c r="V35" s="316"/>
      <c r="W35" s="314" t="s">
        <v>73</v>
      </c>
      <c r="X35" s="315"/>
      <c r="Y35" s="315"/>
      <c r="Z35" s="316"/>
      <c r="AA35" s="314" t="s">
        <v>74</v>
      </c>
      <c r="AB35" s="315"/>
      <c r="AC35" s="316"/>
    </row>
    <row r="36" spans="1:29" ht="13.5" customHeight="1" x14ac:dyDescent="0.25">
      <c r="A36" s="334"/>
      <c r="B36" s="335"/>
      <c r="C36" s="335"/>
      <c r="D36" s="335"/>
      <c r="E36" s="335"/>
      <c r="F36" s="336"/>
      <c r="G36" s="7" t="s">
        <v>75</v>
      </c>
      <c r="H36" s="7" t="s">
        <v>13</v>
      </c>
      <c r="I36" s="7" t="s">
        <v>75</v>
      </c>
      <c r="J36" s="7" t="s">
        <v>13</v>
      </c>
      <c r="K36" s="7" t="s">
        <v>75</v>
      </c>
      <c r="L36" s="7" t="s">
        <v>13</v>
      </c>
      <c r="M36" s="97"/>
      <c r="N36" s="37" t="s">
        <v>0</v>
      </c>
      <c r="O36" s="98" t="s">
        <v>1</v>
      </c>
      <c r="P36" s="98" t="s">
        <v>91</v>
      </c>
      <c r="Q36" s="37" t="s">
        <v>0</v>
      </c>
      <c r="R36" s="98" t="s">
        <v>1</v>
      </c>
      <c r="S36" s="98" t="s">
        <v>91</v>
      </c>
      <c r="T36" s="37" t="s">
        <v>0</v>
      </c>
      <c r="U36" s="98" t="s">
        <v>1</v>
      </c>
      <c r="V36" s="98" t="s">
        <v>91</v>
      </c>
      <c r="W36" s="37"/>
      <c r="X36" s="37" t="s">
        <v>0</v>
      </c>
      <c r="Y36" s="99" t="s">
        <v>1</v>
      </c>
      <c r="Z36" s="39" t="s">
        <v>76</v>
      </c>
      <c r="AA36" s="37" t="s">
        <v>0</v>
      </c>
      <c r="AB36" s="99" t="s">
        <v>1</v>
      </c>
      <c r="AC36" s="39" t="s">
        <v>76</v>
      </c>
    </row>
    <row r="37" spans="1:29" ht="24.9" customHeight="1" x14ac:dyDescent="0.25">
      <c r="A37" s="224" t="s">
        <v>77</v>
      </c>
      <c r="B37" s="225"/>
      <c r="C37" s="225"/>
      <c r="D37" s="225"/>
      <c r="E37" s="225"/>
      <c r="F37" s="226"/>
      <c r="G37" s="7">
        <v>113</v>
      </c>
      <c r="H37" s="7">
        <v>1</v>
      </c>
      <c r="I37" s="7">
        <v>0</v>
      </c>
      <c r="J37" s="7">
        <v>0</v>
      </c>
      <c r="K37" s="7">
        <v>0</v>
      </c>
      <c r="L37" s="7">
        <v>0</v>
      </c>
      <c r="M37" s="97"/>
      <c r="N37" s="321">
        <v>78</v>
      </c>
      <c r="O37" s="321">
        <v>151</v>
      </c>
      <c r="P37" s="321">
        <v>865</v>
      </c>
      <c r="Q37" s="321">
        <v>28</v>
      </c>
      <c r="R37" s="321">
        <v>59</v>
      </c>
      <c r="S37" s="321">
        <v>270</v>
      </c>
      <c r="T37" s="321">
        <v>1</v>
      </c>
      <c r="U37" s="321">
        <v>3</v>
      </c>
      <c r="V37" s="321">
        <v>8</v>
      </c>
      <c r="W37" s="40" t="s">
        <v>64</v>
      </c>
      <c r="X37" s="41">
        <v>0</v>
      </c>
      <c r="Y37" s="41">
        <v>8</v>
      </c>
      <c r="Z37" s="41">
        <v>13</v>
      </c>
      <c r="AA37" s="41">
        <v>0</v>
      </c>
      <c r="AB37" s="41">
        <v>0</v>
      </c>
      <c r="AC37" s="41">
        <v>0</v>
      </c>
    </row>
    <row r="38" spans="1:29" ht="24.9" customHeight="1" x14ac:dyDescent="0.25">
      <c r="A38" s="224" t="s">
        <v>8</v>
      </c>
      <c r="B38" s="225"/>
      <c r="C38" s="225"/>
      <c r="D38" s="225"/>
      <c r="E38" s="225"/>
      <c r="F38" s="226"/>
      <c r="G38" s="7">
        <v>23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97"/>
      <c r="N38" s="322"/>
      <c r="O38" s="322"/>
      <c r="P38" s="322"/>
      <c r="Q38" s="322"/>
      <c r="R38" s="322"/>
      <c r="S38" s="322"/>
      <c r="T38" s="322"/>
      <c r="U38" s="322"/>
      <c r="V38" s="322"/>
      <c r="W38" s="40" t="s">
        <v>65</v>
      </c>
      <c r="X38" s="41">
        <v>0</v>
      </c>
      <c r="Y38" s="41">
        <v>0</v>
      </c>
      <c r="Z38" s="41">
        <v>11</v>
      </c>
      <c r="AA38" s="41">
        <v>0</v>
      </c>
      <c r="AB38" s="41">
        <v>0</v>
      </c>
      <c r="AC38" s="41">
        <v>0</v>
      </c>
    </row>
    <row r="39" spans="1:29" ht="24.9" customHeight="1" x14ac:dyDescent="0.25">
      <c r="A39" s="309" t="s">
        <v>78</v>
      </c>
      <c r="B39" s="310"/>
      <c r="C39" s="310"/>
      <c r="D39" s="310"/>
      <c r="E39" s="310"/>
      <c r="F39" s="311"/>
      <c r="G39" s="7">
        <v>1</v>
      </c>
      <c r="H39" s="7">
        <v>1</v>
      </c>
      <c r="I39" s="7">
        <v>0</v>
      </c>
      <c r="J39" s="7">
        <v>0</v>
      </c>
      <c r="K39" s="7">
        <v>0</v>
      </c>
      <c r="L39" s="7">
        <v>0</v>
      </c>
      <c r="M39" s="97"/>
      <c r="N39" s="322"/>
      <c r="O39" s="322"/>
      <c r="P39" s="322"/>
      <c r="Q39" s="322"/>
      <c r="R39" s="322"/>
      <c r="S39" s="322"/>
      <c r="T39" s="322"/>
      <c r="U39" s="322"/>
      <c r="V39" s="322"/>
      <c r="W39" s="319" t="s">
        <v>66</v>
      </c>
      <c r="X39" s="321">
        <v>0</v>
      </c>
      <c r="Y39" s="321">
        <v>8</v>
      </c>
      <c r="Z39" s="321">
        <v>37</v>
      </c>
      <c r="AA39" s="321">
        <v>0</v>
      </c>
      <c r="AB39" s="321">
        <v>0</v>
      </c>
      <c r="AC39" s="321">
        <v>0</v>
      </c>
    </row>
    <row r="40" spans="1:29" ht="24.9" customHeight="1" x14ac:dyDescent="0.25">
      <c r="A40" s="224" t="s">
        <v>7</v>
      </c>
      <c r="B40" s="225"/>
      <c r="C40" s="225"/>
      <c r="D40" s="225"/>
      <c r="E40" s="225"/>
      <c r="F40" s="226"/>
      <c r="G40" s="7">
        <v>137</v>
      </c>
      <c r="H40" s="7">
        <v>2</v>
      </c>
      <c r="I40" s="7">
        <v>0</v>
      </c>
      <c r="J40" s="7">
        <v>0</v>
      </c>
      <c r="K40" s="7">
        <v>0</v>
      </c>
      <c r="L40" s="7">
        <v>0</v>
      </c>
      <c r="M40" s="97"/>
      <c r="N40" s="323"/>
      <c r="O40" s="323"/>
      <c r="P40" s="323"/>
      <c r="Q40" s="323"/>
      <c r="R40" s="323"/>
      <c r="S40" s="323"/>
      <c r="T40" s="323"/>
      <c r="U40" s="323"/>
      <c r="V40" s="323"/>
      <c r="W40" s="320"/>
      <c r="X40" s="323"/>
      <c r="Y40" s="323"/>
      <c r="Z40" s="323"/>
      <c r="AA40" s="323"/>
      <c r="AB40" s="323"/>
      <c r="AC40" s="323"/>
    </row>
    <row r="41" spans="1:29" ht="23.4" x14ac:dyDescent="0.25">
      <c r="A41" s="159" t="s">
        <v>15</v>
      </c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</row>
    <row r="42" spans="1:29" ht="23.4" x14ac:dyDescent="0.25">
      <c r="A42" s="159" t="s">
        <v>16</v>
      </c>
      <c r="B42" s="159"/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2"/>
      <c r="Y42" s="160" t="s">
        <v>17</v>
      </c>
      <c r="Z42" s="160"/>
      <c r="AA42" s="2"/>
      <c r="AB42" s="2"/>
      <c r="AC42" s="2"/>
    </row>
    <row r="43" spans="1:29" ht="30.9" customHeight="1" x14ac:dyDescent="0.25">
      <c r="A43" s="326" t="s">
        <v>18</v>
      </c>
      <c r="B43" s="326"/>
      <c r="C43" s="326"/>
      <c r="D43" s="326"/>
      <c r="E43" s="327" t="s">
        <v>84</v>
      </c>
      <c r="F43" s="327"/>
      <c r="G43" s="327"/>
      <c r="H43" s="327"/>
      <c r="I43" s="328" t="s">
        <v>20</v>
      </c>
      <c r="J43" s="328"/>
      <c r="K43" s="329" t="s">
        <v>85</v>
      </c>
      <c r="L43" s="329"/>
      <c r="M43" s="328" t="s">
        <v>21</v>
      </c>
      <c r="N43" s="328"/>
      <c r="O43" s="340" t="s">
        <v>92</v>
      </c>
      <c r="P43" s="340"/>
      <c r="Q43" s="340"/>
      <c r="R43" s="340"/>
      <c r="S43" s="43"/>
      <c r="T43" s="166" t="s">
        <v>22</v>
      </c>
      <c r="U43" s="166"/>
      <c r="V43" s="166"/>
      <c r="W43" s="166"/>
      <c r="X43" s="166"/>
      <c r="Y43" s="152" t="s">
        <v>79</v>
      </c>
      <c r="Z43" s="152"/>
      <c r="AA43" s="152"/>
      <c r="AB43" s="153" t="s">
        <v>83</v>
      </c>
      <c r="AC43" s="153"/>
    </row>
    <row r="44" spans="1:29" x14ac:dyDescent="0.25">
      <c r="T44" s="166"/>
      <c r="U44" s="166"/>
      <c r="V44" s="166"/>
      <c r="W44" s="166"/>
      <c r="X44" s="166"/>
      <c r="Y44" s="152"/>
      <c r="Z44" s="152"/>
      <c r="AA44" s="152"/>
      <c r="AB44" s="153"/>
      <c r="AC44" s="153"/>
    </row>
    <row r="45" spans="1:29" ht="15.6" x14ac:dyDescent="0.25">
      <c r="A45" s="324" t="s">
        <v>24</v>
      </c>
      <c r="B45" s="324"/>
      <c r="C45" s="324"/>
      <c r="D45" s="324"/>
      <c r="E45" s="324"/>
      <c r="F45" s="324"/>
      <c r="G45" s="324"/>
      <c r="H45" s="325" t="s">
        <v>25</v>
      </c>
      <c r="I45" s="325"/>
      <c r="J45" s="325"/>
      <c r="K45" s="325"/>
      <c r="L45" s="325"/>
      <c r="M45" s="325"/>
      <c r="N45" s="325"/>
      <c r="O45" s="73"/>
      <c r="P45" s="73"/>
      <c r="T45" s="156" t="s">
        <v>26</v>
      </c>
      <c r="U45" s="156"/>
      <c r="V45" s="156"/>
      <c r="W45" s="156"/>
      <c r="X45" s="156"/>
      <c r="Y45" s="156"/>
      <c r="Z45" s="265" t="s">
        <v>27</v>
      </c>
      <c r="AA45" s="265"/>
      <c r="AB45" s="265"/>
      <c r="AC45" s="265"/>
    </row>
    <row r="46" spans="1:29" x14ac:dyDescent="0.25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</row>
    <row r="47" spans="1:29" ht="15" customHeight="1" x14ac:dyDescent="0.25">
      <c r="A47" s="284" t="s">
        <v>29</v>
      </c>
      <c r="B47" s="285"/>
      <c r="C47" s="285"/>
      <c r="D47" s="285"/>
      <c r="E47" s="285"/>
      <c r="F47" s="285"/>
      <c r="G47" s="285"/>
      <c r="H47" s="285"/>
      <c r="I47" s="285"/>
      <c r="J47" s="286"/>
      <c r="K47" s="273" t="s">
        <v>30</v>
      </c>
      <c r="L47" s="274"/>
      <c r="M47" s="273" t="s">
        <v>31</v>
      </c>
      <c r="N47" s="274"/>
      <c r="O47" s="287" t="s">
        <v>32</v>
      </c>
      <c r="P47" s="288"/>
      <c r="Q47" s="289"/>
      <c r="R47" s="273" t="s">
        <v>33</v>
      </c>
      <c r="S47" s="296"/>
      <c r="T47" s="274"/>
      <c r="U47" s="224" t="s">
        <v>34</v>
      </c>
      <c r="V47" s="225"/>
      <c r="W47" s="225"/>
      <c r="X47" s="225"/>
      <c r="Y47" s="225"/>
      <c r="Z47" s="225"/>
      <c r="AA47" s="226"/>
      <c r="AB47" s="273" t="s">
        <v>7</v>
      </c>
      <c r="AC47" s="274"/>
    </row>
    <row r="48" spans="1:29" ht="23.25" customHeight="1" x14ac:dyDescent="0.25">
      <c r="A48" s="169" t="s">
        <v>35</v>
      </c>
      <c r="B48" s="173"/>
      <c r="C48" s="173"/>
      <c r="D48" s="173"/>
      <c r="E48" s="173"/>
      <c r="F48" s="173"/>
      <c r="G48" s="173"/>
      <c r="H48" s="173"/>
      <c r="I48" s="173"/>
      <c r="J48" s="170"/>
      <c r="K48" s="275"/>
      <c r="L48" s="276"/>
      <c r="M48" s="275"/>
      <c r="N48" s="276"/>
      <c r="O48" s="290"/>
      <c r="P48" s="291"/>
      <c r="Q48" s="292"/>
      <c r="R48" s="275"/>
      <c r="S48" s="297"/>
      <c r="T48" s="276"/>
      <c r="U48" s="279" t="s">
        <v>36</v>
      </c>
      <c r="V48" s="279"/>
      <c r="W48" s="279"/>
      <c r="X48" s="279" t="s">
        <v>37</v>
      </c>
      <c r="Y48" s="279"/>
      <c r="Z48" s="279" t="s">
        <v>38</v>
      </c>
      <c r="AA48" s="279"/>
      <c r="AB48" s="275"/>
      <c r="AC48" s="276"/>
    </row>
    <row r="49" spans="1:32" x14ac:dyDescent="0.25">
      <c r="A49" s="171"/>
      <c r="B49" s="174"/>
      <c r="C49" s="174"/>
      <c r="D49" s="174"/>
      <c r="E49" s="174"/>
      <c r="F49" s="174"/>
      <c r="G49" s="174"/>
      <c r="H49" s="174"/>
      <c r="I49" s="174"/>
      <c r="J49" s="172"/>
      <c r="K49" s="277"/>
      <c r="L49" s="278"/>
      <c r="M49" s="277"/>
      <c r="N49" s="278"/>
      <c r="O49" s="293"/>
      <c r="P49" s="294"/>
      <c r="Q49" s="295"/>
      <c r="R49" s="277"/>
      <c r="S49" s="298"/>
      <c r="T49" s="278"/>
      <c r="U49" s="280"/>
      <c r="V49" s="280"/>
      <c r="W49" s="280"/>
      <c r="X49" s="280"/>
      <c r="Y49" s="280"/>
      <c r="Z49" s="280"/>
      <c r="AA49" s="280"/>
      <c r="AB49" s="277"/>
      <c r="AC49" s="278"/>
    </row>
    <row r="50" spans="1:32" ht="24.9" customHeight="1" x14ac:dyDescent="0.25">
      <c r="A50" s="281" t="s">
        <v>39</v>
      </c>
      <c r="B50" s="282"/>
      <c r="C50" s="282"/>
      <c r="D50" s="282"/>
      <c r="E50" s="282"/>
      <c r="F50" s="282"/>
      <c r="G50" s="282"/>
      <c r="H50" s="282"/>
      <c r="I50" s="282"/>
      <c r="J50" s="283"/>
      <c r="K50" s="224">
        <v>106</v>
      </c>
      <c r="L50" s="226"/>
      <c r="M50" s="224">
        <v>18</v>
      </c>
      <c r="N50" s="226"/>
      <c r="O50" s="224">
        <v>1</v>
      </c>
      <c r="P50" s="225"/>
      <c r="Q50" s="226"/>
      <c r="R50" s="224">
        <v>125</v>
      </c>
      <c r="S50" s="225"/>
      <c r="T50" s="226"/>
      <c r="U50" s="224">
        <v>1</v>
      </c>
      <c r="V50" s="225"/>
      <c r="W50" s="226"/>
      <c r="X50" s="224">
        <v>6</v>
      </c>
      <c r="Y50" s="226"/>
      <c r="Z50" s="224">
        <v>4</v>
      </c>
      <c r="AA50" s="226"/>
      <c r="AB50" s="224">
        <v>136</v>
      </c>
      <c r="AC50" s="226"/>
    </row>
    <row r="51" spans="1:32" ht="24.9" customHeight="1" x14ac:dyDescent="0.25">
      <c r="A51" s="281" t="s">
        <v>40</v>
      </c>
      <c r="B51" s="282"/>
      <c r="C51" s="282"/>
      <c r="D51" s="282"/>
      <c r="E51" s="282"/>
      <c r="F51" s="282"/>
      <c r="G51" s="282"/>
      <c r="H51" s="282"/>
      <c r="I51" s="282"/>
      <c r="J51" s="283"/>
      <c r="K51" s="224">
        <v>160</v>
      </c>
      <c r="L51" s="226"/>
      <c r="M51" s="224">
        <v>23</v>
      </c>
      <c r="N51" s="226"/>
      <c r="O51" s="224">
        <v>1</v>
      </c>
      <c r="P51" s="225"/>
      <c r="Q51" s="226"/>
      <c r="R51" s="224">
        <v>184</v>
      </c>
      <c r="S51" s="225"/>
      <c r="T51" s="226"/>
      <c r="U51" s="224">
        <v>0</v>
      </c>
      <c r="V51" s="225"/>
      <c r="W51" s="226"/>
      <c r="X51" s="224">
        <v>2</v>
      </c>
      <c r="Y51" s="226"/>
      <c r="Z51" s="224">
        <v>6</v>
      </c>
      <c r="AA51" s="226"/>
      <c r="AB51" s="224">
        <v>192</v>
      </c>
      <c r="AC51" s="226"/>
    </row>
    <row r="52" spans="1:32" ht="24.9" customHeight="1" x14ac:dyDescent="0.25">
      <c r="A52" s="281" t="s">
        <v>41</v>
      </c>
      <c r="B52" s="282"/>
      <c r="C52" s="282"/>
      <c r="D52" s="282"/>
      <c r="E52" s="282"/>
      <c r="F52" s="282"/>
      <c r="G52" s="282"/>
      <c r="H52" s="282"/>
      <c r="I52" s="282"/>
      <c r="J52" s="283"/>
      <c r="K52" s="224">
        <v>5</v>
      </c>
      <c r="L52" s="226"/>
      <c r="M52" s="224">
        <v>1</v>
      </c>
      <c r="N52" s="226"/>
      <c r="O52" s="224">
        <v>0</v>
      </c>
      <c r="P52" s="225"/>
      <c r="Q52" s="226"/>
      <c r="R52" s="224">
        <v>6</v>
      </c>
      <c r="S52" s="225"/>
      <c r="T52" s="226"/>
      <c r="U52" s="224">
        <v>0</v>
      </c>
      <c r="V52" s="225"/>
      <c r="W52" s="226"/>
      <c r="X52" s="224">
        <v>0</v>
      </c>
      <c r="Y52" s="226"/>
      <c r="Z52" s="224">
        <v>0</v>
      </c>
      <c r="AA52" s="226"/>
      <c r="AB52" s="224">
        <v>6</v>
      </c>
      <c r="AC52" s="226"/>
    </row>
    <row r="53" spans="1:32" ht="24.9" customHeight="1" x14ac:dyDescent="0.25">
      <c r="A53" s="281" t="s">
        <v>42</v>
      </c>
      <c r="B53" s="282"/>
      <c r="C53" s="282"/>
      <c r="D53" s="282"/>
      <c r="E53" s="282"/>
      <c r="F53" s="282"/>
      <c r="G53" s="282"/>
      <c r="H53" s="282"/>
      <c r="I53" s="282"/>
      <c r="J53" s="283"/>
      <c r="K53" s="224">
        <v>68</v>
      </c>
      <c r="L53" s="226"/>
      <c r="M53" s="224">
        <v>3</v>
      </c>
      <c r="N53" s="226"/>
      <c r="O53" s="224">
        <v>0</v>
      </c>
      <c r="P53" s="225"/>
      <c r="Q53" s="226"/>
      <c r="R53" s="224">
        <v>71</v>
      </c>
      <c r="S53" s="225"/>
      <c r="T53" s="226"/>
      <c r="U53" s="224">
        <v>0</v>
      </c>
      <c r="V53" s="225"/>
      <c r="W53" s="226"/>
      <c r="X53" s="224">
        <v>1</v>
      </c>
      <c r="Y53" s="226"/>
      <c r="Z53" s="224">
        <v>6</v>
      </c>
      <c r="AA53" s="226"/>
      <c r="AB53" s="224">
        <v>78</v>
      </c>
      <c r="AC53" s="226"/>
    </row>
    <row r="54" spans="1:32" ht="24.9" customHeight="1" x14ac:dyDescent="0.25">
      <c r="A54" s="281" t="s">
        <v>7</v>
      </c>
      <c r="B54" s="282"/>
      <c r="C54" s="282"/>
      <c r="D54" s="282"/>
      <c r="E54" s="282"/>
      <c r="F54" s="282"/>
      <c r="G54" s="282"/>
      <c r="H54" s="282"/>
      <c r="I54" s="282"/>
      <c r="J54" s="283"/>
      <c r="K54" s="224">
        <v>339</v>
      </c>
      <c r="L54" s="226"/>
      <c r="M54" s="224">
        <v>45</v>
      </c>
      <c r="N54" s="226"/>
      <c r="O54" s="224">
        <v>2</v>
      </c>
      <c r="P54" s="225"/>
      <c r="Q54" s="226"/>
      <c r="R54" s="224">
        <v>386</v>
      </c>
      <c r="S54" s="225"/>
      <c r="T54" s="226"/>
      <c r="U54" s="224">
        <v>1</v>
      </c>
      <c r="V54" s="225"/>
      <c r="W54" s="226"/>
      <c r="X54" s="224">
        <v>9</v>
      </c>
      <c r="Y54" s="226"/>
      <c r="Z54" s="224">
        <v>16</v>
      </c>
      <c r="AA54" s="226"/>
      <c r="AB54" s="224">
        <v>412</v>
      </c>
      <c r="AC54" s="226"/>
    </row>
    <row r="55" spans="1:32" ht="15.6" x14ac:dyDescent="0.25">
      <c r="A55" s="75" t="s">
        <v>43</v>
      </c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7"/>
      <c r="V55" s="77"/>
      <c r="W55" s="77"/>
      <c r="X55" s="77"/>
      <c r="Y55" s="77"/>
      <c r="Z55" s="77"/>
      <c r="AA55" s="77"/>
      <c r="AB55" s="77"/>
      <c r="AC55" s="78"/>
    </row>
    <row r="56" spans="1:32" ht="21.75" customHeight="1" x14ac:dyDescent="0.25">
      <c r="A56" s="331"/>
      <c r="B56" s="332"/>
      <c r="C56" s="332"/>
      <c r="D56" s="332"/>
      <c r="E56" s="332"/>
      <c r="F56" s="332"/>
      <c r="G56" s="332"/>
      <c r="H56" s="332"/>
      <c r="I56" s="332"/>
      <c r="J56" s="333"/>
      <c r="K56" s="224" t="s">
        <v>0</v>
      </c>
      <c r="L56" s="226"/>
      <c r="M56" s="305" t="s">
        <v>1</v>
      </c>
      <c r="N56" s="306"/>
      <c r="O56" s="301" t="s">
        <v>2</v>
      </c>
      <c r="P56" s="302"/>
      <c r="Q56" s="301" t="s">
        <v>3</v>
      </c>
      <c r="R56" s="302"/>
      <c r="S56" s="301" t="s">
        <v>4</v>
      </c>
      <c r="T56" s="302"/>
      <c r="U56" s="301" t="s">
        <v>5</v>
      </c>
      <c r="V56" s="302"/>
      <c r="W56" s="301" t="s">
        <v>6</v>
      </c>
      <c r="X56" s="302"/>
      <c r="Y56" s="301" t="s">
        <v>44</v>
      </c>
      <c r="Z56" s="302"/>
      <c r="AA56" s="301" t="s">
        <v>7</v>
      </c>
      <c r="AB56" s="302"/>
      <c r="AC56" s="303" t="s">
        <v>86</v>
      </c>
      <c r="AD56" s="5"/>
      <c r="AE56" s="6"/>
      <c r="AF56" s="6"/>
    </row>
    <row r="57" spans="1:32" x14ac:dyDescent="0.25">
      <c r="A57" s="334"/>
      <c r="B57" s="335"/>
      <c r="C57" s="335"/>
      <c r="D57" s="335"/>
      <c r="E57" s="335"/>
      <c r="F57" s="335"/>
      <c r="G57" s="335"/>
      <c r="H57" s="335"/>
      <c r="I57" s="335"/>
      <c r="J57" s="336"/>
      <c r="K57" s="7" t="s">
        <v>9</v>
      </c>
      <c r="L57" s="7" t="s">
        <v>10</v>
      </c>
      <c r="M57" s="7" t="s">
        <v>9</v>
      </c>
      <c r="N57" s="7" t="s">
        <v>10</v>
      </c>
      <c r="O57" s="7" t="s">
        <v>9</v>
      </c>
      <c r="P57" s="7" t="s">
        <v>10</v>
      </c>
      <c r="Q57" s="7" t="s">
        <v>9</v>
      </c>
      <c r="R57" s="7" t="s">
        <v>10</v>
      </c>
      <c r="S57" s="7" t="s">
        <v>9</v>
      </c>
      <c r="T57" s="7" t="s">
        <v>10</v>
      </c>
      <c r="U57" s="7" t="s">
        <v>9</v>
      </c>
      <c r="V57" s="7" t="s">
        <v>10</v>
      </c>
      <c r="W57" s="7" t="s">
        <v>9</v>
      </c>
      <c r="X57" s="7" t="s">
        <v>10</v>
      </c>
      <c r="Y57" s="7" t="s">
        <v>9</v>
      </c>
      <c r="Z57" s="7" t="s">
        <v>10</v>
      </c>
      <c r="AA57" s="7" t="s">
        <v>9</v>
      </c>
      <c r="AB57" s="7" t="s">
        <v>10</v>
      </c>
      <c r="AC57" s="304"/>
    </row>
    <row r="58" spans="1:32" ht="24.9" customHeight="1" x14ac:dyDescent="0.25">
      <c r="A58" s="281" t="s">
        <v>39</v>
      </c>
      <c r="B58" s="282"/>
      <c r="C58" s="282"/>
      <c r="D58" s="282"/>
      <c r="E58" s="282"/>
      <c r="F58" s="282"/>
      <c r="G58" s="282"/>
      <c r="H58" s="282"/>
      <c r="I58" s="282"/>
      <c r="J58" s="283"/>
      <c r="K58" s="7">
        <v>0</v>
      </c>
      <c r="L58" s="7">
        <v>0</v>
      </c>
      <c r="M58" s="7">
        <v>0</v>
      </c>
      <c r="N58" s="7">
        <v>5</v>
      </c>
      <c r="O58" s="7">
        <v>15</v>
      </c>
      <c r="P58" s="7">
        <v>23</v>
      </c>
      <c r="Q58" s="7">
        <v>9</v>
      </c>
      <c r="R58" s="7">
        <v>10</v>
      </c>
      <c r="S58" s="7">
        <v>11</v>
      </c>
      <c r="T58" s="7">
        <v>8</v>
      </c>
      <c r="U58" s="7">
        <v>15</v>
      </c>
      <c r="V58" s="7">
        <v>5</v>
      </c>
      <c r="W58" s="7">
        <v>4</v>
      </c>
      <c r="X58" s="7">
        <v>9</v>
      </c>
      <c r="Y58" s="7">
        <v>8</v>
      </c>
      <c r="Z58" s="7">
        <v>3</v>
      </c>
      <c r="AA58" s="7">
        <v>62</v>
      </c>
      <c r="AB58" s="7">
        <v>63</v>
      </c>
      <c r="AC58" s="7">
        <v>125</v>
      </c>
    </row>
    <row r="59" spans="1:32" ht="24.9" customHeight="1" x14ac:dyDescent="0.25">
      <c r="A59" s="281" t="s">
        <v>40</v>
      </c>
      <c r="B59" s="282"/>
      <c r="C59" s="282"/>
      <c r="D59" s="282"/>
      <c r="E59" s="282"/>
      <c r="F59" s="282"/>
      <c r="G59" s="282"/>
      <c r="H59" s="282"/>
      <c r="I59" s="282"/>
      <c r="J59" s="283"/>
      <c r="K59" s="7">
        <v>2</v>
      </c>
      <c r="L59" s="7">
        <v>0</v>
      </c>
      <c r="M59" s="7">
        <v>5</v>
      </c>
      <c r="N59" s="7">
        <v>8</v>
      </c>
      <c r="O59" s="7">
        <v>21</v>
      </c>
      <c r="P59" s="7">
        <v>31</v>
      </c>
      <c r="Q59" s="7">
        <v>11</v>
      </c>
      <c r="R59" s="7">
        <v>21</v>
      </c>
      <c r="S59" s="7">
        <v>11</v>
      </c>
      <c r="T59" s="7">
        <v>16</v>
      </c>
      <c r="U59" s="7">
        <v>10</v>
      </c>
      <c r="V59" s="7">
        <v>9</v>
      </c>
      <c r="W59" s="7">
        <v>12</v>
      </c>
      <c r="X59" s="7">
        <v>7</v>
      </c>
      <c r="Y59" s="7">
        <v>12</v>
      </c>
      <c r="Z59" s="7">
        <v>8</v>
      </c>
      <c r="AA59" s="7">
        <v>84</v>
      </c>
      <c r="AB59" s="7">
        <v>100</v>
      </c>
      <c r="AC59" s="7">
        <v>184</v>
      </c>
    </row>
    <row r="60" spans="1:32" ht="24.9" customHeight="1" x14ac:dyDescent="0.25">
      <c r="A60" s="281" t="s">
        <v>41</v>
      </c>
      <c r="B60" s="282"/>
      <c r="C60" s="282"/>
      <c r="D60" s="282"/>
      <c r="E60" s="282"/>
      <c r="F60" s="282"/>
      <c r="G60" s="282"/>
      <c r="H60" s="282"/>
      <c r="I60" s="282"/>
      <c r="J60" s="283"/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2</v>
      </c>
      <c r="T60" s="7">
        <v>0</v>
      </c>
      <c r="U60" s="7">
        <v>3</v>
      </c>
      <c r="V60" s="7">
        <v>0</v>
      </c>
      <c r="W60" s="7">
        <v>0</v>
      </c>
      <c r="X60" s="7">
        <v>1</v>
      </c>
      <c r="Y60" s="7">
        <v>0</v>
      </c>
      <c r="Z60" s="7">
        <v>0</v>
      </c>
      <c r="AA60" s="7">
        <v>5</v>
      </c>
      <c r="AB60" s="7">
        <v>1</v>
      </c>
      <c r="AC60" s="7">
        <v>6</v>
      </c>
    </row>
    <row r="61" spans="1:32" ht="24.9" customHeight="1" x14ac:dyDescent="0.25">
      <c r="A61" s="281" t="s">
        <v>42</v>
      </c>
      <c r="B61" s="282"/>
      <c r="C61" s="282"/>
      <c r="D61" s="282"/>
      <c r="E61" s="282"/>
      <c r="F61" s="282"/>
      <c r="G61" s="282"/>
      <c r="H61" s="282"/>
      <c r="I61" s="282"/>
      <c r="J61" s="283"/>
      <c r="K61" s="7">
        <v>1</v>
      </c>
      <c r="L61" s="7">
        <v>0</v>
      </c>
      <c r="M61" s="7">
        <v>4</v>
      </c>
      <c r="N61" s="7">
        <v>6</v>
      </c>
      <c r="O61" s="7">
        <v>6</v>
      </c>
      <c r="P61" s="7">
        <v>10</v>
      </c>
      <c r="Q61" s="7">
        <v>2</v>
      </c>
      <c r="R61" s="7">
        <v>9</v>
      </c>
      <c r="S61" s="7">
        <v>5</v>
      </c>
      <c r="T61" s="7">
        <v>13</v>
      </c>
      <c r="U61" s="7">
        <v>5</v>
      </c>
      <c r="V61" s="7">
        <v>5</v>
      </c>
      <c r="W61" s="7">
        <v>3</v>
      </c>
      <c r="X61" s="7">
        <v>0</v>
      </c>
      <c r="Y61" s="7">
        <v>2</v>
      </c>
      <c r="Z61" s="7">
        <v>0</v>
      </c>
      <c r="AA61" s="7">
        <v>28</v>
      </c>
      <c r="AB61" s="7">
        <v>43</v>
      </c>
      <c r="AC61" s="7">
        <v>71</v>
      </c>
    </row>
    <row r="62" spans="1:32" ht="24.9" customHeight="1" x14ac:dyDescent="0.25">
      <c r="A62" s="224" t="s">
        <v>7</v>
      </c>
      <c r="B62" s="225"/>
      <c r="C62" s="225"/>
      <c r="D62" s="225"/>
      <c r="E62" s="225"/>
      <c r="F62" s="225"/>
      <c r="G62" s="225"/>
      <c r="H62" s="225"/>
      <c r="I62" s="225"/>
      <c r="J62" s="226"/>
      <c r="K62" s="7">
        <v>3</v>
      </c>
      <c r="L62" s="7">
        <v>0</v>
      </c>
      <c r="M62" s="7">
        <v>9</v>
      </c>
      <c r="N62" s="7">
        <v>19</v>
      </c>
      <c r="O62" s="7">
        <v>42</v>
      </c>
      <c r="P62" s="7">
        <v>64</v>
      </c>
      <c r="Q62" s="7">
        <v>22</v>
      </c>
      <c r="R62" s="7">
        <v>40</v>
      </c>
      <c r="S62" s="7">
        <v>29</v>
      </c>
      <c r="T62" s="7">
        <v>37</v>
      </c>
      <c r="U62" s="7">
        <v>33</v>
      </c>
      <c r="V62" s="7">
        <v>19</v>
      </c>
      <c r="W62" s="7">
        <v>19</v>
      </c>
      <c r="X62" s="7">
        <v>17</v>
      </c>
      <c r="Y62" s="7">
        <v>22</v>
      </c>
      <c r="Z62" s="7">
        <v>11</v>
      </c>
      <c r="AA62" s="7">
        <v>179</v>
      </c>
      <c r="AB62" s="7">
        <v>207</v>
      </c>
      <c r="AC62" s="7">
        <v>386</v>
      </c>
    </row>
    <row r="63" spans="1:32" ht="6.75" customHeight="1" x14ac:dyDescent="0.25">
      <c r="A63" s="79"/>
      <c r="B63" s="80"/>
      <c r="C63" s="80"/>
      <c r="D63" s="80"/>
      <c r="E63" s="80"/>
      <c r="F63" s="81"/>
      <c r="G63" s="82"/>
      <c r="H63" s="82"/>
      <c r="I63" s="82"/>
      <c r="J63" s="82"/>
      <c r="K63" s="82"/>
      <c r="L63" s="82"/>
      <c r="M63" s="83"/>
      <c r="N63" s="82"/>
      <c r="O63" s="337"/>
      <c r="P63" s="338"/>
      <c r="Q63" s="84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5"/>
    </row>
    <row r="64" spans="1:32" ht="18" customHeight="1" x14ac:dyDescent="0.25">
      <c r="A64" s="86" t="s">
        <v>45</v>
      </c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8"/>
      <c r="M64" s="89"/>
      <c r="N64" s="86" t="s">
        <v>46</v>
      </c>
      <c r="O64" s="87"/>
      <c r="P64" s="87"/>
      <c r="Q64" s="87"/>
      <c r="R64" s="87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1"/>
    </row>
    <row r="65" spans="1:29" ht="42.75" customHeight="1" x14ac:dyDescent="0.25">
      <c r="A65" s="307" t="s">
        <v>47</v>
      </c>
      <c r="B65" s="312" t="s">
        <v>48</v>
      </c>
      <c r="C65" s="313"/>
      <c r="D65" s="314" t="s">
        <v>49</v>
      </c>
      <c r="E65" s="315"/>
      <c r="F65" s="316"/>
      <c r="G65" s="314" t="s">
        <v>50</v>
      </c>
      <c r="H65" s="315"/>
      <c r="I65" s="315"/>
      <c r="J65" s="316"/>
      <c r="K65" s="307" t="s">
        <v>51</v>
      </c>
      <c r="L65" s="307" t="s">
        <v>52</v>
      </c>
      <c r="M65" s="20"/>
      <c r="N65" s="309" t="s">
        <v>53</v>
      </c>
      <c r="O65" s="310"/>
      <c r="P65" s="311"/>
      <c r="Q65" s="309" t="s">
        <v>54</v>
      </c>
      <c r="R65" s="310"/>
      <c r="S65" s="311"/>
      <c r="T65" s="309" t="s">
        <v>55</v>
      </c>
      <c r="U65" s="310"/>
      <c r="V65" s="310"/>
      <c r="W65" s="310"/>
      <c r="X65" s="310"/>
      <c r="Y65" s="310"/>
      <c r="Z65" s="310"/>
      <c r="AA65" s="310"/>
      <c r="AB65" s="310"/>
      <c r="AC65" s="311"/>
    </row>
    <row r="66" spans="1:29" ht="48" customHeight="1" x14ac:dyDescent="0.25">
      <c r="A66" s="308"/>
      <c r="B66" s="21" t="s">
        <v>7</v>
      </c>
      <c r="C66" s="22" t="s">
        <v>87</v>
      </c>
      <c r="D66" s="22" t="s">
        <v>56</v>
      </c>
      <c r="E66" s="22" t="s">
        <v>88</v>
      </c>
      <c r="F66" s="22" t="s">
        <v>89</v>
      </c>
      <c r="G66" s="23" t="s">
        <v>56</v>
      </c>
      <c r="H66" s="22" t="s">
        <v>90</v>
      </c>
      <c r="I66" s="23" t="s">
        <v>57</v>
      </c>
      <c r="J66" s="23" t="s">
        <v>58</v>
      </c>
      <c r="K66" s="308"/>
      <c r="L66" s="308"/>
      <c r="M66" s="20"/>
      <c r="N66" s="309">
        <v>113</v>
      </c>
      <c r="O66" s="310"/>
      <c r="P66" s="311"/>
      <c r="Q66" s="309">
        <v>0</v>
      </c>
      <c r="R66" s="310"/>
      <c r="S66" s="311"/>
      <c r="T66" s="309">
        <v>0</v>
      </c>
      <c r="U66" s="310"/>
      <c r="V66" s="310"/>
      <c r="W66" s="310"/>
      <c r="X66" s="310"/>
      <c r="Y66" s="310"/>
      <c r="Z66" s="310"/>
      <c r="AA66" s="310"/>
      <c r="AB66" s="310"/>
      <c r="AC66" s="311"/>
    </row>
    <row r="67" spans="1:29" ht="38.25" customHeight="1" x14ac:dyDescent="0.25">
      <c r="A67" s="279">
        <v>6203</v>
      </c>
      <c r="B67" s="279">
        <v>725</v>
      </c>
      <c r="C67" s="279">
        <v>19</v>
      </c>
      <c r="D67" s="279">
        <v>82</v>
      </c>
      <c r="E67" s="279">
        <v>327</v>
      </c>
      <c r="F67" s="279">
        <v>199</v>
      </c>
      <c r="G67" s="279">
        <v>5</v>
      </c>
      <c r="H67" s="279">
        <v>74</v>
      </c>
      <c r="I67" s="279">
        <v>66</v>
      </c>
      <c r="J67" s="279">
        <v>145</v>
      </c>
      <c r="K67" s="279">
        <v>86</v>
      </c>
      <c r="L67" s="279">
        <v>126</v>
      </c>
      <c r="M67" s="20"/>
      <c r="N67" s="309" t="s">
        <v>59</v>
      </c>
      <c r="O67" s="310"/>
      <c r="P67" s="311"/>
      <c r="Q67" s="309" t="s">
        <v>60</v>
      </c>
      <c r="R67" s="310"/>
      <c r="S67" s="311"/>
      <c r="T67" s="293" t="s">
        <v>61</v>
      </c>
      <c r="U67" s="294"/>
      <c r="V67" s="294"/>
      <c r="W67" s="295"/>
      <c r="X67" s="293" t="s">
        <v>62</v>
      </c>
      <c r="Y67" s="294"/>
      <c r="Z67" s="294"/>
      <c r="AA67" s="294"/>
      <c r="AB67" s="294"/>
      <c r="AC67" s="295"/>
    </row>
    <row r="68" spans="1:29" ht="19.5" customHeight="1" x14ac:dyDescent="0.25">
      <c r="A68" s="339"/>
      <c r="B68" s="339"/>
      <c r="C68" s="339"/>
      <c r="D68" s="339"/>
      <c r="E68" s="339"/>
      <c r="F68" s="339"/>
      <c r="G68" s="339"/>
      <c r="H68" s="339"/>
      <c r="I68" s="339"/>
      <c r="J68" s="339"/>
      <c r="K68" s="339"/>
      <c r="L68" s="339"/>
      <c r="M68" s="20"/>
      <c r="N68" s="287">
        <v>0</v>
      </c>
      <c r="O68" s="288"/>
      <c r="P68" s="289"/>
      <c r="Q68" s="287">
        <v>0</v>
      </c>
      <c r="R68" s="288"/>
      <c r="S68" s="289"/>
      <c r="T68" s="287">
        <v>0</v>
      </c>
      <c r="U68" s="288"/>
      <c r="V68" s="288"/>
      <c r="W68" s="289"/>
      <c r="X68" s="24"/>
      <c r="Y68" s="309" t="s">
        <v>0</v>
      </c>
      <c r="Z68" s="311"/>
      <c r="AA68" s="25" t="s">
        <v>1</v>
      </c>
      <c r="AB68" s="309" t="s">
        <v>63</v>
      </c>
      <c r="AC68" s="311"/>
    </row>
    <row r="69" spans="1:29" ht="18" customHeight="1" x14ac:dyDescent="0.25">
      <c r="A69" s="339"/>
      <c r="B69" s="339"/>
      <c r="C69" s="339"/>
      <c r="D69" s="339"/>
      <c r="E69" s="339"/>
      <c r="F69" s="339"/>
      <c r="G69" s="339"/>
      <c r="H69" s="339"/>
      <c r="I69" s="339"/>
      <c r="J69" s="339"/>
      <c r="K69" s="339"/>
      <c r="L69" s="339"/>
      <c r="M69" s="20"/>
      <c r="N69" s="290"/>
      <c r="O69" s="291"/>
      <c r="P69" s="292"/>
      <c r="Q69" s="290"/>
      <c r="R69" s="291"/>
      <c r="S69" s="292"/>
      <c r="T69" s="290"/>
      <c r="U69" s="291"/>
      <c r="V69" s="291"/>
      <c r="W69" s="292"/>
      <c r="X69" s="26" t="s">
        <v>64</v>
      </c>
      <c r="Y69" s="317">
        <v>0</v>
      </c>
      <c r="Z69" s="317"/>
      <c r="AA69" s="25">
        <v>0</v>
      </c>
      <c r="AB69" s="317">
        <v>0</v>
      </c>
      <c r="AC69" s="317"/>
    </row>
    <row r="70" spans="1:29" ht="18" customHeight="1" x14ac:dyDescent="0.25">
      <c r="A70" s="339"/>
      <c r="B70" s="339"/>
      <c r="C70" s="339"/>
      <c r="D70" s="339"/>
      <c r="E70" s="339"/>
      <c r="F70" s="339"/>
      <c r="G70" s="339"/>
      <c r="H70" s="339"/>
      <c r="I70" s="339"/>
      <c r="J70" s="339"/>
      <c r="K70" s="339"/>
      <c r="L70" s="339"/>
      <c r="M70" s="20"/>
      <c r="N70" s="290"/>
      <c r="O70" s="291"/>
      <c r="P70" s="292"/>
      <c r="Q70" s="290"/>
      <c r="R70" s="291"/>
      <c r="S70" s="292"/>
      <c r="T70" s="290"/>
      <c r="U70" s="291"/>
      <c r="V70" s="291"/>
      <c r="W70" s="292"/>
      <c r="X70" s="26" t="s">
        <v>65</v>
      </c>
      <c r="Y70" s="317">
        <v>0</v>
      </c>
      <c r="Z70" s="317"/>
      <c r="AA70" s="25">
        <v>0</v>
      </c>
      <c r="AB70" s="317">
        <v>0</v>
      </c>
      <c r="AC70" s="317"/>
    </row>
    <row r="71" spans="1:29" ht="18" customHeight="1" x14ac:dyDescent="0.25">
      <c r="A71" s="280"/>
      <c r="B71" s="280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0"/>
      <c r="N71" s="293"/>
      <c r="O71" s="294"/>
      <c r="P71" s="295"/>
      <c r="Q71" s="293"/>
      <c r="R71" s="294"/>
      <c r="S71" s="295"/>
      <c r="T71" s="293"/>
      <c r="U71" s="294"/>
      <c r="V71" s="294"/>
      <c r="W71" s="295"/>
      <c r="X71" s="26" t="s">
        <v>66</v>
      </c>
      <c r="Y71" s="317">
        <v>0</v>
      </c>
      <c r="Z71" s="317"/>
      <c r="AA71" s="25">
        <v>0</v>
      </c>
      <c r="AB71" s="317">
        <v>0</v>
      </c>
      <c r="AC71" s="317"/>
    </row>
    <row r="72" spans="1:29" ht="8.25" customHeight="1" x14ac:dyDescent="0.25">
      <c r="A72" s="27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92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78"/>
    </row>
    <row r="73" spans="1:29" ht="18" customHeight="1" x14ac:dyDescent="0.25">
      <c r="A73" s="86" t="s">
        <v>67</v>
      </c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8"/>
      <c r="M73" s="93"/>
      <c r="N73" s="86" t="s">
        <v>68</v>
      </c>
      <c r="O73" s="88"/>
      <c r="P73" s="87"/>
      <c r="Q73" s="94"/>
      <c r="R73" s="87"/>
      <c r="S73" s="87"/>
      <c r="T73" s="87"/>
      <c r="U73" s="87"/>
      <c r="V73" s="87"/>
      <c r="W73" s="87"/>
      <c r="X73" s="87"/>
      <c r="Y73" s="87"/>
      <c r="Z73" s="87"/>
      <c r="AA73" s="90"/>
      <c r="AB73" s="90"/>
      <c r="AC73" s="95"/>
    </row>
    <row r="74" spans="1:29" ht="57" customHeight="1" x14ac:dyDescent="0.25">
      <c r="A74" s="331"/>
      <c r="B74" s="332"/>
      <c r="C74" s="332"/>
      <c r="D74" s="332"/>
      <c r="E74" s="332"/>
      <c r="F74" s="333"/>
      <c r="G74" s="224" t="s">
        <v>11</v>
      </c>
      <c r="H74" s="226"/>
      <c r="I74" s="224" t="s">
        <v>12</v>
      </c>
      <c r="J74" s="226"/>
      <c r="K74" s="33" t="s">
        <v>69</v>
      </c>
      <c r="L74" s="34"/>
      <c r="M74" s="96"/>
      <c r="N74" s="314" t="s">
        <v>70</v>
      </c>
      <c r="O74" s="315"/>
      <c r="P74" s="316"/>
      <c r="Q74" s="314" t="s">
        <v>71</v>
      </c>
      <c r="R74" s="315"/>
      <c r="S74" s="316"/>
      <c r="T74" s="314" t="s">
        <v>72</v>
      </c>
      <c r="U74" s="315"/>
      <c r="V74" s="316"/>
      <c r="W74" s="314" t="s">
        <v>73</v>
      </c>
      <c r="X74" s="315"/>
      <c r="Y74" s="315"/>
      <c r="Z74" s="316"/>
      <c r="AA74" s="314" t="s">
        <v>74</v>
      </c>
      <c r="AB74" s="315"/>
      <c r="AC74" s="316"/>
    </row>
    <row r="75" spans="1:29" ht="13.5" customHeight="1" x14ac:dyDescent="0.25">
      <c r="A75" s="334"/>
      <c r="B75" s="335"/>
      <c r="C75" s="335"/>
      <c r="D75" s="335"/>
      <c r="E75" s="335"/>
      <c r="F75" s="336"/>
      <c r="G75" s="7" t="s">
        <v>75</v>
      </c>
      <c r="H75" s="7" t="s">
        <v>13</v>
      </c>
      <c r="I75" s="7" t="s">
        <v>75</v>
      </c>
      <c r="J75" s="7" t="s">
        <v>13</v>
      </c>
      <c r="K75" s="7" t="s">
        <v>75</v>
      </c>
      <c r="L75" s="7" t="s">
        <v>13</v>
      </c>
      <c r="M75" s="97"/>
      <c r="N75" s="37" t="s">
        <v>0</v>
      </c>
      <c r="O75" s="98" t="s">
        <v>1</v>
      </c>
      <c r="P75" s="98" t="s">
        <v>91</v>
      </c>
      <c r="Q75" s="37" t="s">
        <v>0</v>
      </c>
      <c r="R75" s="98" t="s">
        <v>1</v>
      </c>
      <c r="S75" s="98" t="s">
        <v>91</v>
      </c>
      <c r="T75" s="37" t="s">
        <v>0</v>
      </c>
      <c r="U75" s="98" t="s">
        <v>1</v>
      </c>
      <c r="V75" s="98" t="s">
        <v>91</v>
      </c>
      <c r="W75" s="37"/>
      <c r="X75" s="37" t="s">
        <v>0</v>
      </c>
      <c r="Y75" s="99" t="s">
        <v>1</v>
      </c>
      <c r="Z75" s="39" t="s">
        <v>76</v>
      </c>
      <c r="AA75" s="37" t="s">
        <v>0</v>
      </c>
      <c r="AB75" s="99" t="s">
        <v>1</v>
      </c>
      <c r="AC75" s="39" t="s">
        <v>76</v>
      </c>
    </row>
    <row r="76" spans="1:29" ht="24.9" customHeight="1" x14ac:dyDescent="0.25">
      <c r="A76" s="224" t="s">
        <v>77</v>
      </c>
      <c r="B76" s="225"/>
      <c r="C76" s="225"/>
      <c r="D76" s="225"/>
      <c r="E76" s="225"/>
      <c r="F76" s="226"/>
      <c r="G76" s="7">
        <v>106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97"/>
      <c r="N76" s="321">
        <v>95</v>
      </c>
      <c r="O76" s="321">
        <v>238</v>
      </c>
      <c r="P76" s="321">
        <v>577</v>
      </c>
      <c r="Q76" s="321">
        <v>47</v>
      </c>
      <c r="R76" s="321">
        <v>128</v>
      </c>
      <c r="S76" s="321">
        <v>317</v>
      </c>
      <c r="T76" s="321">
        <v>0</v>
      </c>
      <c r="U76" s="321">
        <v>1</v>
      </c>
      <c r="V76" s="321">
        <v>13</v>
      </c>
      <c r="W76" s="40" t="s">
        <v>64</v>
      </c>
      <c r="X76" s="41">
        <v>12</v>
      </c>
      <c r="Y76" s="41">
        <v>0</v>
      </c>
      <c r="Z76" s="41">
        <v>0</v>
      </c>
      <c r="AA76" s="41">
        <v>0</v>
      </c>
      <c r="AB76" s="41">
        <v>0</v>
      </c>
      <c r="AC76" s="41">
        <v>0</v>
      </c>
    </row>
    <row r="77" spans="1:29" ht="24.9" customHeight="1" x14ac:dyDescent="0.25">
      <c r="A77" s="224" t="s">
        <v>8</v>
      </c>
      <c r="B77" s="225"/>
      <c r="C77" s="225"/>
      <c r="D77" s="225"/>
      <c r="E77" s="225"/>
      <c r="F77" s="226"/>
      <c r="G77" s="7">
        <v>18</v>
      </c>
      <c r="H77" s="7">
        <v>1</v>
      </c>
      <c r="I77" s="7">
        <v>0</v>
      </c>
      <c r="J77" s="7">
        <v>0</v>
      </c>
      <c r="K77" s="7">
        <v>0</v>
      </c>
      <c r="L77" s="7">
        <v>0</v>
      </c>
      <c r="M77" s="97"/>
      <c r="N77" s="322"/>
      <c r="O77" s="322"/>
      <c r="P77" s="322"/>
      <c r="Q77" s="322"/>
      <c r="R77" s="322"/>
      <c r="S77" s="322"/>
      <c r="T77" s="322"/>
      <c r="U77" s="322"/>
      <c r="V77" s="322"/>
      <c r="W77" s="40" t="s">
        <v>65</v>
      </c>
      <c r="X77" s="41">
        <v>0</v>
      </c>
      <c r="Y77" s="41">
        <v>0</v>
      </c>
      <c r="Z77" s="41">
        <v>0</v>
      </c>
      <c r="AA77" s="41">
        <v>0</v>
      </c>
      <c r="AB77" s="41">
        <v>0</v>
      </c>
      <c r="AC77" s="41">
        <v>0</v>
      </c>
    </row>
    <row r="78" spans="1:29" ht="24.9" customHeight="1" x14ac:dyDescent="0.25">
      <c r="A78" s="309" t="s">
        <v>78</v>
      </c>
      <c r="B78" s="310"/>
      <c r="C78" s="310"/>
      <c r="D78" s="310"/>
      <c r="E78" s="310"/>
      <c r="F78" s="311"/>
      <c r="G78" s="7">
        <v>7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97"/>
      <c r="N78" s="322"/>
      <c r="O78" s="322"/>
      <c r="P78" s="322"/>
      <c r="Q78" s="322"/>
      <c r="R78" s="322"/>
      <c r="S78" s="322"/>
      <c r="T78" s="322"/>
      <c r="U78" s="322"/>
      <c r="V78" s="322"/>
      <c r="W78" s="319" t="s">
        <v>66</v>
      </c>
      <c r="X78" s="321">
        <v>0</v>
      </c>
      <c r="Y78" s="321">
        <v>27</v>
      </c>
      <c r="Z78" s="321">
        <v>114</v>
      </c>
      <c r="AA78" s="321">
        <v>0</v>
      </c>
      <c r="AB78" s="321">
        <v>0</v>
      </c>
      <c r="AC78" s="321">
        <v>0</v>
      </c>
    </row>
    <row r="79" spans="1:29" ht="24.9" customHeight="1" x14ac:dyDescent="0.25">
      <c r="A79" s="224" t="s">
        <v>7</v>
      </c>
      <c r="B79" s="225"/>
      <c r="C79" s="225"/>
      <c r="D79" s="225"/>
      <c r="E79" s="225"/>
      <c r="F79" s="226"/>
      <c r="G79" s="7">
        <v>131</v>
      </c>
      <c r="H79" s="7">
        <v>1</v>
      </c>
      <c r="I79" s="7">
        <v>0</v>
      </c>
      <c r="J79" s="7">
        <v>0</v>
      </c>
      <c r="K79" s="7">
        <v>0</v>
      </c>
      <c r="L79" s="7">
        <v>0</v>
      </c>
      <c r="M79" s="97"/>
      <c r="N79" s="323"/>
      <c r="O79" s="323"/>
      <c r="P79" s="323"/>
      <c r="Q79" s="323"/>
      <c r="R79" s="323"/>
      <c r="S79" s="323"/>
      <c r="T79" s="323"/>
      <c r="U79" s="323"/>
      <c r="V79" s="323"/>
      <c r="W79" s="320"/>
      <c r="X79" s="323"/>
      <c r="Y79" s="323"/>
      <c r="Z79" s="323"/>
      <c r="AA79" s="323"/>
      <c r="AB79" s="323"/>
      <c r="AC79" s="323"/>
    </row>
    <row r="80" spans="1:29" ht="23.4" x14ac:dyDescent="0.25">
      <c r="A80" s="159" t="s">
        <v>15</v>
      </c>
      <c r="B80" s="159"/>
      <c r="C80" s="159"/>
      <c r="D80" s="159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  <c r="AB80" s="159"/>
      <c r="AC80" s="159"/>
    </row>
    <row r="81" spans="1:32" ht="23.4" x14ac:dyDescent="0.25">
      <c r="A81" s="159" t="s">
        <v>16</v>
      </c>
      <c r="B81" s="159"/>
      <c r="C81" s="159"/>
      <c r="D81" s="159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2"/>
      <c r="Y81" s="160" t="s">
        <v>17</v>
      </c>
      <c r="Z81" s="160"/>
      <c r="AA81" s="2"/>
      <c r="AB81" s="2"/>
      <c r="AC81" s="2"/>
    </row>
    <row r="82" spans="1:32" ht="30.9" customHeight="1" x14ac:dyDescent="0.25">
      <c r="A82" s="326" t="s">
        <v>18</v>
      </c>
      <c r="B82" s="326"/>
      <c r="C82" s="326"/>
      <c r="D82" s="326"/>
      <c r="E82" s="327" t="s">
        <v>84</v>
      </c>
      <c r="F82" s="327"/>
      <c r="G82" s="327"/>
      <c r="H82" s="327"/>
      <c r="I82" s="328" t="s">
        <v>20</v>
      </c>
      <c r="J82" s="328"/>
      <c r="K82" s="329" t="s">
        <v>85</v>
      </c>
      <c r="L82" s="329"/>
      <c r="M82" s="328" t="s">
        <v>21</v>
      </c>
      <c r="N82" s="328"/>
      <c r="O82" s="340" t="s">
        <v>92</v>
      </c>
      <c r="P82" s="340"/>
      <c r="Q82" s="340"/>
      <c r="R82" s="340"/>
      <c r="S82" s="43"/>
      <c r="T82" s="166" t="s">
        <v>22</v>
      </c>
      <c r="U82" s="166"/>
      <c r="V82" s="166"/>
      <c r="W82" s="166"/>
      <c r="X82" s="166"/>
      <c r="Y82" s="152" t="s">
        <v>80</v>
      </c>
      <c r="Z82" s="152"/>
      <c r="AA82" s="152"/>
      <c r="AB82" s="153" t="s">
        <v>83</v>
      </c>
      <c r="AC82" s="153"/>
    </row>
    <row r="83" spans="1:32" ht="15" customHeight="1" x14ac:dyDescent="0.25">
      <c r="T83" s="166"/>
      <c r="U83" s="166"/>
      <c r="V83" s="166"/>
      <c r="W83" s="166"/>
      <c r="X83" s="166"/>
      <c r="Y83" s="152"/>
      <c r="Z83" s="152"/>
      <c r="AA83" s="152"/>
      <c r="AB83" s="153"/>
      <c r="AC83" s="153"/>
    </row>
    <row r="84" spans="1:32" ht="15.6" x14ac:dyDescent="0.25">
      <c r="A84" s="324" t="s">
        <v>24</v>
      </c>
      <c r="B84" s="324"/>
      <c r="C84" s="324"/>
      <c r="D84" s="324"/>
      <c r="E84" s="324"/>
      <c r="F84" s="324"/>
      <c r="G84" s="324"/>
      <c r="H84" s="325" t="s">
        <v>25</v>
      </c>
      <c r="I84" s="325"/>
      <c r="J84" s="325"/>
      <c r="K84" s="325"/>
      <c r="L84" s="325"/>
      <c r="M84" s="325"/>
      <c r="N84" s="325"/>
      <c r="O84" s="73"/>
      <c r="P84" s="73"/>
      <c r="T84" s="156" t="s">
        <v>26</v>
      </c>
      <c r="U84" s="156"/>
      <c r="V84" s="156"/>
      <c r="W84" s="156"/>
      <c r="X84" s="156"/>
      <c r="Y84" s="156"/>
      <c r="Z84" s="265" t="s">
        <v>27</v>
      </c>
      <c r="AA84" s="265"/>
      <c r="AB84" s="265"/>
      <c r="AC84" s="265"/>
    </row>
    <row r="85" spans="1:32" x14ac:dyDescent="0.25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</row>
    <row r="86" spans="1:32" ht="15" customHeight="1" x14ac:dyDescent="0.25">
      <c r="A86" s="284" t="s">
        <v>29</v>
      </c>
      <c r="B86" s="285"/>
      <c r="C86" s="285"/>
      <c r="D86" s="285"/>
      <c r="E86" s="285"/>
      <c r="F86" s="285"/>
      <c r="G86" s="285"/>
      <c r="H86" s="285"/>
      <c r="I86" s="285"/>
      <c r="J86" s="286"/>
      <c r="K86" s="273" t="s">
        <v>30</v>
      </c>
      <c r="L86" s="274"/>
      <c r="M86" s="273" t="s">
        <v>31</v>
      </c>
      <c r="N86" s="274"/>
      <c r="O86" s="287" t="s">
        <v>32</v>
      </c>
      <c r="P86" s="288"/>
      <c r="Q86" s="289"/>
      <c r="R86" s="273" t="s">
        <v>33</v>
      </c>
      <c r="S86" s="296"/>
      <c r="T86" s="274"/>
      <c r="U86" s="224" t="s">
        <v>34</v>
      </c>
      <c r="V86" s="225"/>
      <c r="W86" s="225"/>
      <c r="X86" s="225"/>
      <c r="Y86" s="225"/>
      <c r="Z86" s="225"/>
      <c r="AA86" s="226"/>
      <c r="AB86" s="273" t="s">
        <v>7</v>
      </c>
      <c r="AC86" s="274"/>
    </row>
    <row r="87" spans="1:32" ht="23.25" customHeight="1" x14ac:dyDescent="0.25">
      <c r="A87" s="169" t="s">
        <v>35</v>
      </c>
      <c r="B87" s="173"/>
      <c r="C87" s="173"/>
      <c r="D87" s="173"/>
      <c r="E87" s="173"/>
      <c r="F87" s="173"/>
      <c r="G87" s="173"/>
      <c r="H87" s="173"/>
      <c r="I87" s="173"/>
      <c r="J87" s="170"/>
      <c r="K87" s="275"/>
      <c r="L87" s="276"/>
      <c r="M87" s="275"/>
      <c r="N87" s="276"/>
      <c r="O87" s="290"/>
      <c r="P87" s="291"/>
      <c r="Q87" s="292"/>
      <c r="R87" s="275"/>
      <c r="S87" s="297"/>
      <c r="T87" s="276"/>
      <c r="U87" s="279" t="s">
        <v>36</v>
      </c>
      <c r="V87" s="279"/>
      <c r="W87" s="279"/>
      <c r="X87" s="279" t="s">
        <v>37</v>
      </c>
      <c r="Y87" s="279"/>
      <c r="Z87" s="279" t="s">
        <v>38</v>
      </c>
      <c r="AA87" s="279"/>
      <c r="AB87" s="275"/>
      <c r="AC87" s="276"/>
    </row>
    <row r="88" spans="1:32" x14ac:dyDescent="0.25">
      <c r="A88" s="171"/>
      <c r="B88" s="174"/>
      <c r="C88" s="174"/>
      <c r="D88" s="174"/>
      <c r="E88" s="174"/>
      <c r="F88" s="174"/>
      <c r="G88" s="174"/>
      <c r="H88" s="174"/>
      <c r="I88" s="174"/>
      <c r="J88" s="172"/>
      <c r="K88" s="277"/>
      <c r="L88" s="278"/>
      <c r="M88" s="277"/>
      <c r="N88" s="278"/>
      <c r="O88" s="293"/>
      <c r="P88" s="294"/>
      <c r="Q88" s="295"/>
      <c r="R88" s="277"/>
      <c r="S88" s="298"/>
      <c r="T88" s="278"/>
      <c r="U88" s="280"/>
      <c r="V88" s="280"/>
      <c r="W88" s="280"/>
      <c r="X88" s="280"/>
      <c r="Y88" s="280"/>
      <c r="Z88" s="280"/>
      <c r="AA88" s="280"/>
      <c r="AB88" s="277"/>
      <c r="AC88" s="278"/>
    </row>
    <row r="89" spans="1:32" ht="24.9" customHeight="1" x14ac:dyDescent="0.25">
      <c r="A89" s="281" t="s">
        <v>39</v>
      </c>
      <c r="B89" s="282"/>
      <c r="C89" s="282"/>
      <c r="D89" s="282"/>
      <c r="E89" s="282"/>
      <c r="F89" s="282"/>
      <c r="G89" s="282"/>
      <c r="H89" s="282"/>
      <c r="I89" s="282"/>
      <c r="J89" s="283"/>
      <c r="K89" s="224">
        <v>108</v>
      </c>
      <c r="L89" s="226"/>
      <c r="M89" s="224">
        <v>17</v>
      </c>
      <c r="N89" s="226"/>
      <c r="O89" s="224">
        <v>1</v>
      </c>
      <c r="P89" s="225"/>
      <c r="Q89" s="226"/>
      <c r="R89" s="224">
        <v>126</v>
      </c>
      <c r="S89" s="225"/>
      <c r="T89" s="226"/>
      <c r="U89" s="224">
        <v>0</v>
      </c>
      <c r="V89" s="225"/>
      <c r="W89" s="226"/>
      <c r="X89" s="224">
        <v>0</v>
      </c>
      <c r="Y89" s="226"/>
      <c r="Z89" s="224">
        <v>1</v>
      </c>
      <c r="AA89" s="226"/>
      <c r="AB89" s="224">
        <v>127</v>
      </c>
      <c r="AC89" s="226"/>
    </row>
    <row r="90" spans="1:32" ht="24.9" customHeight="1" x14ac:dyDescent="0.25">
      <c r="A90" s="281" t="s">
        <v>40</v>
      </c>
      <c r="B90" s="282"/>
      <c r="C90" s="282"/>
      <c r="D90" s="282"/>
      <c r="E90" s="282"/>
      <c r="F90" s="282"/>
      <c r="G90" s="282"/>
      <c r="H90" s="282"/>
      <c r="I90" s="282"/>
      <c r="J90" s="283"/>
      <c r="K90" s="224">
        <v>147</v>
      </c>
      <c r="L90" s="226"/>
      <c r="M90" s="224">
        <v>36</v>
      </c>
      <c r="N90" s="226"/>
      <c r="O90" s="224">
        <v>0</v>
      </c>
      <c r="P90" s="225"/>
      <c r="Q90" s="226"/>
      <c r="R90" s="224">
        <v>183</v>
      </c>
      <c r="S90" s="225"/>
      <c r="T90" s="226"/>
      <c r="U90" s="224">
        <v>0</v>
      </c>
      <c r="V90" s="225"/>
      <c r="W90" s="226"/>
      <c r="X90" s="224">
        <v>5</v>
      </c>
      <c r="Y90" s="226"/>
      <c r="Z90" s="224">
        <v>3</v>
      </c>
      <c r="AA90" s="226"/>
      <c r="AB90" s="224">
        <v>191</v>
      </c>
      <c r="AC90" s="226"/>
    </row>
    <row r="91" spans="1:32" ht="24.9" customHeight="1" x14ac:dyDescent="0.25">
      <c r="A91" s="281" t="s">
        <v>41</v>
      </c>
      <c r="B91" s="282"/>
      <c r="C91" s="282"/>
      <c r="D91" s="282"/>
      <c r="E91" s="282"/>
      <c r="F91" s="282"/>
      <c r="G91" s="282"/>
      <c r="H91" s="282"/>
      <c r="I91" s="282"/>
      <c r="J91" s="283"/>
      <c r="K91" s="224">
        <v>4</v>
      </c>
      <c r="L91" s="226"/>
      <c r="M91" s="224">
        <v>0</v>
      </c>
      <c r="N91" s="226"/>
      <c r="O91" s="224">
        <v>0</v>
      </c>
      <c r="P91" s="225"/>
      <c r="Q91" s="226"/>
      <c r="R91" s="224">
        <v>4</v>
      </c>
      <c r="S91" s="225"/>
      <c r="T91" s="226"/>
      <c r="U91" s="224">
        <v>0</v>
      </c>
      <c r="V91" s="225"/>
      <c r="W91" s="226"/>
      <c r="X91" s="224">
        <v>0</v>
      </c>
      <c r="Y91" s="226"/>
      <c r="Z91" s="224">
        <v>0</v>
      </c>
      <c r="AA91" s="226"/>
      <c r="AB91" s="224">
        <v>4</v>
      </c>
      <c r="AC91" s="226"/>
    </row>
    <row r="92" spans="1:32" ht="24.9" customHeight="1" x14ac:dyDescent="0.25">
      <c r="A92" s="281" t="s">
        <v>42</v>
      </c>
      <c r="B92" s="282"/>
      <c r="C92" s="282"/>
      <c r="D92" s="282"/>
      <c r="E92" s="282"/>
      <c r="F92" s="282"/>
      <c r="G92" s="282"/>
      <c r="H92" s="282"/>
      <c r="I92" s="282"/>
      <c r="J92" s="283"/>
      <c r="K92" s="224">
        <v>73</v>
      </c>
      <c r="L92" s="226"/>
      <c r="M92" s="224">
        <v>3</v>
      </c>
      <c r="N92" s="226"/>
      <c r="O92" s="224">
        <v>1</v>
      </c>
      <c r="P92" s="225"/>
      <c r="Q92" s="226"/>
      <c r="R92" s="224">
        <v>77</v>
      </c>
      <c r="S92" s="225"/>
      <c r="T92" s="226"/>
      <c r="U92" s="224">
        <v>0</v>
      </c>
      <c r="V92" s="225"/>
      <c r="W92" s="226"/>
      <c r="X92" s="224">
        <v>0</v>
      </c>
      <c r="Y92" s="226"/>
      <c r="Z92" s="224">
        <v>10</v>
      </c>
      <c r="AA92" s="226"/>
      <c r="AB92" s="224">
        <v>87</v>
      </c>
      <c r="AC92" s="226"/>
    </row>
    <row r="93" spans="1:32" ht="24.9" customHeight="1" x14ac:dyDescent="0.25">
      <c r="A93" s="281" t="s">
        <v>7</v>
      </c>
      <c r="B93" s="282"/>
      <c r="C93" s="282"/>
      <c r="D93" s="282"/>
      <c r="E93" s="282"/>
      <c r="F93" s="282"/>
      <c r="G93" s="282"/>
      <c r="H93" s="282"/>
      <c r="I93" s="282"/>
      <c r="J93" s="283"/>
      <c r="K93" s="224">
        <v>332</v>
      </c>
      <c r="L93" s="226"/>
      <c r="M93" s="224">
        <v>56</v>
      </c>
      <c r="N93" s="226"/>
      <c r="O93" s="224">
        <v>2</v>
      </c>
      <c r="P93" s="225"/>
      <c r="Q93" s="226"/>
      <c r="R93" s="224">
        <v>390</v>
      </c>
      <c r="S93" s="225"/>
      <c r="T93" s="226"/>
      <c r="U93" s="224">
        <v>0</v>
      </c>
      <c r="V93" s="225"/>
      <c r="W93" s="226"/>
      <c r="X93" s="224">
        <v>5</v>
      </c>
      <c r="Y93" s="226"/>
      <c r="Z93" s="224">
        <v>14</v>
      </c>
      <c r="AA93" s="226"/>
      <c r="AB93" s="224">
        <v>409</v>
      </c>
      <c r="AC93" s="226"/>
    </row>
    <row r="94" spans="1:32" ht="15.6" x14ac:dyDescent="0.25">
      <c r="A94" s="75" t="s">
        <v>43</v>
      </c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7"/>
      <c r="V94" s="77"/>
      <c r="W94" s="77"/>
      <c r="X94" s="77"/>
      <c r="Y94" s="77"/>
      <c r="Z94" s="77"/>
      <c r="AA94" s="77"/>
      <c r="AB94" s="77"/>
      <c r="AC94" s="78"/>
    </row>
    <row r="95" spans="1:32" ht="21.75" customHeight="1" x14ac:dyDescent="0.25">
      <c r="A95" s="331"/>
      <c r="B95" s="332"/>
      <c r="C95" s="332"/>
      <c r="D95" s="332"/>
      <c r="E95" s="332"/>
      <c r="F95" s="332"/>
      <c r="G95" s="332"/>
      <c r="H95" s="332"/>
      <c r="I95" s="332"/>
      <c r="J95" s="333"/>
      <c r="K95" s="224" t="s">
        <v>0</v>
      </c>
      <c r="L95" s="226"/>
      <c r="M95" s="305" t="s">
        <v>1</v>
      </c>
      <c r="N95" s="306"/>
      <c r="O95" s="301" t="s">
        <v>2</v>
      </c>
      <c r="P95" s="302"/>
      <c r="Q95" s="301" t="s">
        <v>3</v>
      </c>
      <c r="R95" s="302"/>
      <c r="S95" s="301" t="s">
        <v>4</v>
      </c>
      <c r="T95" s="302"/>
      <c r="U95" s="301" t="s">
        <v>5</v>
      </c>
      <c r="V95" s="302"/>
      <c r="W95" s="301" t="s">
        <v>6</v>
      </c>
      <c r="X95" s="302"/>
      <c r="Y95" s="301" t="s">
        <v>44</v>
      </c>
      <c r="Z95" s="302"/>
      <c r="AA95" s="301" t="s">
        <v>7</v>
      </c>
      <c r="AB95" s="302"/>
      <c r="AC95" s="303" t="s">
        <v>86</v>
      </c>
      <c r="AD95" s="5"/>
      <c r="AE95" s="6"/>
      <c r="AF95" s="6"/>
    </row>
    <row r="96" spans="1:32" x14ac:dyDescent="0.25">
      <c r="A96" s="334"/>
      <c r="B96" s="335"/>
      <c r="C96" s="335"/>
      <c r="D96" s="335"/>
      <c r="E96" s="335"/>
      <c r="F96" s="335"/>
      <c r="G96" s="335"/>
      <c r="H96" s="335"/>
      <c r="I96" s="335"/>
      <c r="J96" s="336"/>
      <c r="K96" s="7" t="s">
        <v>9</v>
      </c>
      <c r="L96" s="7" t="s">
        <v>10</v>
      </c>
      <c r="M96" s="7" t="s">
        <v>9</v>
      </c>
      <c r="N96" s="7" t="s">
        <v>10</v>
      </c>
      <c r="O96" s="7" t="s">
        <v>9</v>
      </c>
      <c r="P96" s="7" t="s">
        <v>10</v>
      </c>
      <c r="Q96" s="7" t="s">
        <v>9</v>
      </c>
      <c r="R96" s="7" t="s">
        <v>10</v>
      </c>
      <c r="S96" s="7" t="s">
        <v>9</v>
      </c>
      <c r="T96" s="7" t="s">
        <v>10</v>
      </c>
      <c r="U96" s="7" t="s">
        <v>9</v>
      </c>
      <c r="V96" s="7" t="s">
        <v>10</v>
      </c>
      <c r="W96" s="7" t="s">
        <v>9</v>
      </c>
      <c r="X96" s="7" t="s">
        <v>10</v>
      </c>
      <c r="Y96" s="7" t="s">
        <v>9</v>
      </c>
      <c r="Z96" s="7" t="s">
        <v>10</v>
      </c>
      <c r="AA96" s="7" t="s">
        <v>9</v>
      </c>
      <c r="AB96" s="7" t="s">
        <v>10</v>
      </c>
      <c r="AC96" s="304"/>
    </row>
    <row r="97" spans="1:29" ht="24.9" customHeight="1" x14ac:dyDescent="0.25">
      <c r="A97" s="281" t="s">
        <v>39</v>
      </c>
      <c r="B97" s="282"/>
      <c r="C97" s="282"/>
      <c r="D97" s="282"/>
      <c r="E97" s="282"/>
      <c r="F97" s="282"/>
      <c r="G97" s="282"/>
      <c r="H97" s="282"/>
      <c r="I97" s="282"/>
      <c r="J97" s="283"/>
      <c r="K97" s="7">
        <v>0</v>
      </c>
      <c r="L97" s="7">
        <v>1</v>
      </c>
      <c r="M97" s="7">
        <v>1</v>
      </c>
      <c r="N97" s="7">
        <v>11</v>
      </c>
      <c r="O97" s="7">
        <v>9</v>
      </c>
      <c r="P97" s="7">
        <v>14</v>
      </c>
      <c r="Q97" s="7">
        <v>13</v>
      </c>
      <c r="R97" s="7">
        <v>14</v>
      </c>
      <c r="S97" s="7">
        <v>13</v>
      </c>
      <c r="T97" s="7">
        <v>13</v>
      </c>
      <c r="U97" s="7">
        <v>11</v>
      </c>
      <c r="V97" s="7">
        <v>7</v>
      </c>
      <c r="W97" s="7">
        <v>5</v>
      </c>
      <c r="X97" s="7">
        <v>3</v>
      </c>
      <c r="Y97" s="7">
        <v>9</v>
      </c>
      <c r="Z97" s="7">
        <v>2</v>
      </c>
      <c r="AA97" s="7">
        <v>61</v>
      </c>
      <c r="AB97" s="7">
        <v>65</v>
      </c>
      <c r="AC97" s="7">
        <v>126</v>
      </c>
    </row>
    <row r="98" spans="1:29" ht="24.9" customHeight="1" x14ac:dyDescent="0.25">
      <c r="A98" s="281" t="s">
        <v>40</v>
      </c>
      <c r="B98" s="282"/>
      <c r="C98" s="282"/>
      <c r="D98" s="282"/>
      <c r="E98" s="282"/>
      <c r="F98" s="282"/>
      <c r="G98" s="282"/>
      <c r="H98" s="282"/>
      <c r="I98" s="282"/>
      <c r="J98" s="283"/>
      <c r="K98" s="7">
        <v>0</v>
      </c>
      <c r="L98" s="7">
        <v>0</v>
      </c>
      <c r="M98" s="7">
        <v>3</v>
      </c>
      <c r="N98" s="7">
        <v>11</v>
      </c>
      <c r="O98" s="7">
        <v>16</v>
      </c>
      <c r="P98" s="7">
        <v>24</v>
      </c>
      <c r="Q98" s="7">
        <v>15</v>
      </c>
      <c r="R98" s="7">
        <v>16</v>
      </c>
      <c r="S98" s="7">
        <v>15</v>
      </c>
      <c r="T98" s="7">
        <v>10</v>
      </c>
      <c r="U98" s="7">
        <v>13</v>
      </c>
      <c r="V98" s="7">
        <v>7</v>
      </c>
      <c r="W98" s="7">
        <v>17</v>
      </c>
      <c r="X98" s="7">
        <v>3</v>
      </c>
      <c r="Y98" s="7">
        <v>24</v>
      </c>
      <c r="Z98" s="7">
        <v>9</v>
      </c>
      <c r="AA98" s="7">
        <v>103</v>
      </c>
      <c r="AB98" s="7">
        <v>80</v>
      </c>
      <c r="AC98" s="7">
        <v>183</v>
      </c>
    </row>
    <row r="99" spans="1:29" ht="24.9" customHeight="1" x14ac:dyDescent="0.25">
      <c r="A99" s="281" t="s">
        <v>41</v>
      </c>
      <c r="B99" s="282"/>
      <c r="C99" s="282"/>
      <c r="D99" s="282"/>
      <c r="E99" s="282"/>
      <c r="F99" s="282"/>
      <c r="G99" s="282"/>
      <c r="H99" s="282"/>
      <c r="I99" s="282"/>
      <c r="J99" s="283"/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2</v>
      </c>
      <c r="R99" s="7">
        <v>1</v>
      </c>
      <c r="S99" s="7">
        <v>0</v>
      </c>
      <c r="T99" s="7">
        <v>0</v>
      </c>
      <c r="U99" s="7">
        <v>0</v>
      </c>
      <c r="V99" s="7">
        <v>0</v>
      </c>
      <c r="W99" s="7">
        <v>1</v>
      </c>
      <c r="X99" s="7">
        <v>0</v>
      </c>
      <c r="Y99" s="7">
        <v>0</v>
      </c>
      <c r="Z99" s="7">
        <v>0</v>
      </c>
      <c r="AA99" s="7">
        <v>3</v>
      </c>
      <c r="AB99" s="7">
        <v>1</v>
      </c>
      <c r="AC99" s="7">
        <v>4</v>
      </c>
    </row>
    <row r="100" spans="1:29" ht="24.9" customHeight="1" x14ac:dyDescent="0.25">
      <c r="A100" s="281" t="s">
        <v>42</v>
      </c>
      <c r="B100" s="282"/>
      <c r="C100" s="282"/>
      <c r="D100" s="282"/>
      <c r="E100" s="282"/>
      <c r="F100" s="282"/>
      <c r="G100" s="282"/>
      <c r="H100" s="282"/>
      <c r="I100" s="282"/>
      <c r="J100" s="283"/>
      <c r="K100" s="7">
        <v>0</v>
      </c>
      <c r="L100" s="7">
        <v>0</v>
      </c>
      <c r="M100" s="7">
        <v>2</v>
      </c>
      <c r="N100" s="7">
        <v>5</v>
      </c>
      <c r="O100" s="7">
        <v>8</v>
      </c>
      <c r="P100" s="7">
        <v>16</v>
      </c>
      <c r="Q100" s="7">
        <v>6</v>
      </c>
      <c r="R100" s="7">
        <v>7</v>
      </c>
      <c r="S100" s="7">
        <v>2</v>
      </c>
      <c r="T100" s="7">
        <v>11</v>
      </c>
      <c r="U100" s="7">
        <v>2</v>
      </c>
      <c r="V100" s="7">
        <v>6</v>
      </c>
      <c r="W100" s="7">
        <v>5</v>
      </c>
      <c r="X100" s="7">
        <v>1</v>
      </c>
      <c r="Y100" s="7">
        <v>0</v>
      </c>
      <c r="Z100" s="7">
        <v>6</v>
      </c>
      <c r="AA100" s="7">
        <v>25</v>
      </c>
      <c r="AB100" s="7">
        <v>52</v>
      </c>
      <c r="AC100" s="7">
        <v>77</v>
      </c>
    </row>
    <row r="101" spans="1:29" ht="24.9" customHeight="1" x14ac:dyDescent="0.25">
      <c r="A101" s="224" t="s">
        <v>7</v>
      </c>
      <c r="B101" s="225"/>
      <c r="C101" s="225"/>
      <c r="D101" s="225"/>
      <c r="E101" s="225"/>
      <c r="F101" s="225"/>
      <c r="G101" s="225"/>
      <c r="H101" s="225"/>
      <c r="I101" s="225"/>
      <c r="J101" s="226"/>
      <c r="K101" s="7">
        <v>0</v>
      </c>
      <c r="L101" s="7">
        <v>1</v>
      </c>
      <c r="M101" s="7">
        <v>6</v>
      </c>
      <c r="N101" s="7">
        <v>27</v>
      </c>
      <c r="O101" s="7">
        <v>33</v>
      </c>
      <c r="P101" s="7">
        <v>54</v>
      </c>
      <c r="Q101" s="7">
        <v>36</v>
      </c>
      <c r="R101" s="7">
        <v>38</v>
      </c>
      <c r="S101" s="7">
        <v>30</v>
      </c>
      <c r="T101" s="7">
        <v>34</v>
      </c>
      <c r="U101" s="7">
        <v>26</v>
      </c>
      <c r="V101" s="7">
        <v>20</v>
      </c>
      <c r="W101" s="7">
        <v>28</v>
      </c>
      <c r="X101" s="7">
        <v>7</v>
      </c>
      <c r="Y101" s="7">
        <v>33</v>
      </c>
      <c r="Z101" s="7">
        <v>17</v>
      </c>
      <c r="AA101" s="7">
        <v>192</v>
      </c>
      <c r="AB101" s="7">
        <v>198</v>
      </c>
      <c r="AC101" s="7">
        <v>390</v>
      </c>
    </row>
    <row r="102" spans="1:29" ht="6.75" customHeight="1" x14ac:dyDescent="0.25">
      <c r="A102" s="79"/>
      <c r="B102" s="80"/>
      <c r="C102" s="80"/>
      <c r="D102" s="80"/>
      <c r="E102" s="80"/>
      <c r="F102" s="81"/>
      <c r="G102" s="82"/>
      <c r="H102" s="82"/>
      <c r="I102" s="82"/>
      <c r="J102" s="82"/>
      <c r="K102" s="82"/>
      <c r="L102" s="82"/>
      <c r="M102" s="83"/>
      <c r="N102" s="82"/>
      <c r="O102" s="337"/>
      <c r="P102" s="338"/>
      <c r="Q102" s="84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5"/>
    </row>
    <row r="103" spans="1:29" ht="18" customHeight="1" x14ac:dyDescent="0.25">
      <c r="A103" s="86" t="s">
        <v>45</v>
      </c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8"/>
      <c r="M103" s="89"/>
      <c r="N103" s="86" t="s">
        <v>46</v>
      </c>
      <c r="O103" s="87"/>
      <c r="P103" s="87"/>
      <c r="Q103" s="87"/>
      <c r="R103" s="87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1"/>
    </row>
    <row r="104" spans="1:29" ht="42.75" customHeight="1" x14ac:dyDescent="0.25">
      <c r="A104" s="307" t="s">
        <v>47</v>
      </c>
      <c r="B104" s="312" t="s">
        <v>48</v>
      </c>
      <c r="C104" s="313"/>
      <c r="D104" s="314" t="s">
        <v>49</v>
      </c>
      <c r="E104" s="315"/>
      <c r="F104" s="316"/>
      <c r="G104" s="314" t="s">
        <v>50</v>
      </c>
      <c r="H104" s="315"/>
      <c r="I104" s="315"/>
      <c r="J104" s="316"/>
      <c r="K104" s="307" t="s">
        <v>51</v>
      </c>
      <c r="L104" s="307" t="s">
        <v>52</v>
      </c>
      <c r="M104" s="20"/>
      <c r="N104" s="309" t="s">
        <v>53</v>
      </c>
      <c r="O104" s="310"/>
      <c r="P104" s="311"/>
      <c r="Q104" s="309" t="s">
        <v>54</v>
      </c>
      <c r="R104" s="310"/>
      <c r="S104" s="311"/>
      <c r="T104" s="309" t="s">
        <v>55</v>
      </c>
      <c r="U104" s="310"/>
      <c r="V104" s="310"/>
      <c r="W104" s="310"/>
      <c r="X104" s="310"/>
      <c r="Y104" s="310"/>
      <c r="Z104" s="310"/>
      <c r="AA104" s="310"/>
      <c r="AB104" s="310"/>
      <c r="AC104" s="311"/>
    </row>
    <row r="105" spans="1:29" ht="48" customHeight="1" x14ac:dyDescent="0.25">
      <c r="A105" s="308"/>
      <c r="B105" s="21" t="s">
        <v>7</v>
      </c>
      <c r="C105" s="22" t="s">
        <v>87</v>
      </c>
      <c r="D105" s="22" t="s">
        <v>56</v>
      </c>
      <c r="E105" s="22" t="s">
        <v>88</v>
      </c>
      <c r="F105" s="22" t="s">
        <v>89</v>
      </c>
      <c r="G105" s="23" t="s">
        <v>56</v>
      </c>
      <c r="H105" s="22" t="s">
        <v>90</v>
      </c>
      <c r="I105" s="23" t="s">
        <v>57</v>
      </c>
      <c r="J105" s="23" t="s">
        <v>58</v>
      </c>
      <c r="K105" s="308"/>
      <c r="L105" s="308"/>
      <c r="M105" s="20"/>
      <c r="N105" s="309">
        <v>64</v>
      </c>
      <c r="O105" s="310"/>
      <c r="P105" s="311"/>
      <c r="Q105" s="309">
        <v>0</v>
      </c>
      <c r="R105" s="310"/>
      <c r="S105" s="311"/>
      <c r="T105" s="309">
        <v>0</v>
      </c>
      <c r="U105" s="310"/>
      <c r="V105" s="310"/>
      <c r="W105" s="310"/>
      <c r="X105" s="310"/>
      <c r="Y105" s="310"/>
      <c r="Z105" s="310"/>
      <c r="AA105" s="310"/>
      <c r="AB105" s="310"/>
      <c r="AC105" s="311"/>
    </row>
    <row r="106" spans="1:29" ht="38.25" customHeight="1" x14ac:dyDescent="0.25">
      <c r="A106" s="279">
        <v>5809</v>
      </c>
      <c r="B106" s="279">
        <v>802</v>
      </c>
      <c r="C106" s="279">
        <v>19</v>
      </c>
      <c r="D106" s="279">
        <v>48</v>
      </c>
      <c r="E106" s="279">
        <v>351</v>
      </c>
      <c r="F106" s="279">
        <v>263</v>
      </c>
      <c r="G106" s="279">
        <v>1</v>
      </c>
      <c r="H106" s="279">
        <v>58</v>
      </c>
      <c r="I106" s="279">
        <v>77</v>
      </c>
      <c r="J106" s="279">
        <v>136</v>
      </c>
      <c r="K106" s="279">
        <v>111</v>
      </c>
      <c r="L106" s="279">
        <v>161</v>
      </c>
      <c r="M106" s="20"/>
      <c r="N106" s="309" t="s">
        <v>59</v>
      </c>
      <c r="O106" s="310"/>
      <c r="P106" s="311"/>
      <c r="Q106" s="309" t="s">
        <v>60</v>
      </c>
      <c r="R106" s="310"/>
      <c r="S106" s="311"/>
      <c r="T106" s="293" t="s">
        <v>61</v>
      </c>
      <c r="U106" s="294"/>
      <c r="V106" s="294"/>
      <c r="W106" s="295"/>
      <c r="X106" s="293" t="s">
        <v>62</v>
      </c>
      <c r="Y106" s="294"/>
      <c r="Z106" s="294"/>
      <c r="AA106" s="294"/>
      <c r="AB106" s="294"/>
      <c r="AC106" s="295"/>
    </row>
    <row r="107" spans="1:29" ht="19.5" customHeight="1" x14ac:dyDescent="0.25">
      <c r="A107" s="339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  <c r="M107" s="20"/>
      <c r="N107" s="287">
        <v>1</v>
      </c>
      <c r="O107" s="288"/>
      <c r="P107" s="289"/>
      <c r="Q107" s="287">
        <v>0</v>
      </c>
      <c r="R107" s="288"/>
      <c r="S107" s="289"/>
      <c r="T107" s="287">
        <v>0</v>
      </c>
      <c r="U107" s="288"/>
      <c r="V107" s="288"/>
      <c r="W107" s="289"/>
      <c r="X107" s="24"/>
      <c r="Y107" s="309" t="s">
        <v>0</v>
      </c>
      <c r="Z107" s="311"/>
      <c r="AA107" s="25" t="s">
        <v>1</v>
      </c>
      <c r="AB107" s="309" t="s">
        <v>63</v>
      </c>
      <c r="AC107" s="311"/>
    </row>
    <row r="108" spans="1:29" ht="18" customHeight="1" x14ac:dyDescent="0.25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  <c r="M108" s="20"/>
      <c r="N108" s="290"/>
      <c r="O108" s="291"/>
      <c r="P108" s="292"/>
      <c r="Q108" s="290"/>
      <c r="R108" s="291"/>
      <c r="S108" s="292"/>
      <c r="T108" s="290"/>
      <c r="U108" s="291"/>
      <c r="V108" s="291"/>
      <c r="W108" s="292"/>
      <c r="X108" s="26" t="s">
        <v>64</v>
      </c>
      <c r="Y108" s="317">
        <v>0</v>
      </c>
      <c r="Z108" s="317"/>
      <c r="AA108" s="25">
        <v>0</v>
      </c>
      <c r="AB108" s="317">
        <v>0</v>
      </c>
      <c r="AC108" s="317"/>
    </row>
    <row r="109" spans="1:29" ht="18" customHeight="1" x14ac:dyDescent="0.25">
      <c r="A109" s="339"/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  <c r="M109" s="20"/>
      <c r="N109" s="290"/>
      <c r="O109" s="291"/>
      <c r="P109" s="292"/>
      <c r="Q109" s="290"/>
      <c r="R109" s="291"/>
      <c r="S109" s="292"/>
      <c r="T109" s="290"/>
      <c r="U109" s="291"/>
      <c r="V109" s="291"/>
      <c r="W109" s="292"/>
      <c r="X109" s="26" t="s">
        <v>65</v>
      </c>
      <c r="Y109" s="317">
        <v>0</v>
      </c>
      <c r="Z109" s="317"/>
      <c r="AA109" s="25">
        <v>0</v>
      </c>
      <c r="AB109" s="317">
        <v>0</v>
      </c>
      <c r="AC109" s="317"/>
    </row>
    <row r="110" spans="1:29" ht="18" customHeight="1" x14ac:dyDescent="0.25">
      <c r="A110" s="280"/>
      <c r="B110" s="280"/>
      <c r="C110" s="280"/>
      <c r="D110" s="280"/>
      <c r="E110" s="280"/>
      <c r="F110" s="280"/>
      <c r="G110" s="280"/>
      <c r="H110" s="280"/>
      <c r="I110" s="280"/>
      <c r="J110" s="280"/>
      <c r="K110" s="280"/>
      <c r="L110" s="280"/>
      <c r="M110" s="20"/>
      <c r="N110" s="293"/>
      <c r="O110" s="294"/>
      <c r="P110" s="295"/>
      <c r="Q110" s="293"/>
      <c r="R110" s="294"/>
      <c r="S110" s="295"/>
      <c r="T110" s="293"/>
      <c r="U110" s="294"/>
      <c r="V110" s="294"/>
      <c r="W110" s="295"/>
      <c r="X110" s="26" t="s">
        <v>66</v>
      </c>
      <c r="Y110" s="317">
        <v>0</v>
      </c>
      <c r="Z110" s="317"/>
      <c r="AA110" s="25">
        <v>0</v>
      </c>
      <c r="AB110" s="317">
        <v>0</v>
      </c>
      <c r="AC110" s="317"/>
    </row>
    <row r="111" spans="1:29" ht="8.25" customHeight="1" x14ac:dyDescent="0.25">
      <c r="A111" s="27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92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78"/>
    </row>
    <row r="112" spans="1:29" ht="18" customHeight="1" x14ac:dyDescent="0.25">
      <c r="A112" s="86" t="s">
        <v>67</v>
      </c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8"/>
      <c r="M112" s="93"/>
      <c r="N112" s="86" t="s">
        <v>68</v>
      </c>
      <c r="O112" s="88"/>
      <c r="P112" s="87"/>
      <c r="Q112" s="94"/>
      <c r="R112" s="87"/>
      <c r="S112" s="87"/>
      <c r="T112" s="87"/>
      <c r="U112" s="87"/>
      <c r="V112" s="87"/>
      <c r="W112" s="87"/>
      <c r="X112" s="87"/>
      <c r="Y112" s="87"/>
      <c r="Z112" s="87"/>
      <c r="AA112" s="90"/>
      <c r="AB112" s="90"/>
      <c r="AC112" s="95"/>
    </row>
    <row r="113" spans="1:29" ht="57" customHeight="1" x14ac:dyDescent="0.25">
      <c r="A113" s="331"/>
      <c r="B113" s="332"/>
      <c r="C113" s="332"/>
      <c r="D113" s="332"/>
      <c r="E113" s="332"/>
      <c r="F113" s="333"/>
      <c r="G113" s="224" t="s">
        <v>11</v>
      </c>
      <c r="H113" s="226"/>
      <c r="I113" s="224" t="s">
        <v>12</v>
      </c>
      <c r="J113" s="226"/>
      <c r="K113" s="33" t="s">
        <v>69</v>
      </c>
      <c r="L113" s="34"/>
      <c r="M113" s="96"/>
      <c r="N113" s="314" t="s">
        <v>70</v>
      </c>
      <c r="O113" s="315"/>
      <c r="P113" s="316"/>
      <c r="Q113" s="314" t="s">
        <v>71</v>
      </c>
      <c r="R113" s="315"/>
      <c r="S113" s="316"/>
      <c r="T113" s="314" t="s">
        <v>72</v>
      </c>
      <c r="U113" s="315"/>
      <c r="V113" s="316"/>
      <c r="W113" s="314" t="s">
        <v>73</v>
      </c>
      <c r="X113" s="315"/>
      <c r="Y113" s="315"/>
      <c r="Z113" s="316"/>
      <c r="AA113" s="314" t="s">
        <v>74</v>
      </c>
      <c r="AB113" s="315"/>
      <c r="AC113" s="316"/>
    </row>
    <row r="114" spans="1:29" ht="15" customHeight="1" x14ac:dyDescent="0.25">
      <c r="A114" s="334"/>
      <c r="B114" s="335"/>
      <c r="C114" s="335"/>
      <c r="D114" s="335"/>
      <c r="E114" s="335"/>
      <c r="F114" s="336"/>
      <c r="G114" s="7" t="s">
        <v>75</v>
      </c>
      <c r="H114" s="7" t="s">
        <v>13</v>
      </c>
      <c r="I114" s="7" t="s">
        <v>75</v>
      </c>
      <c r="J114" s="7" t="s">
        <v>13</v>
      </c>
      <c r="K114" s="7" t="s">
        <v>75</v>
      </c>
      <c r="L114" s="7" t="s">
        <v>13</v>
      </c>
      <c r="M114" s="97"/>
      <c r="N114" s="37" t="s">
        <v>0</v>
      </c>
      <c r="O114" s="98" t="s">
        <v>1</v>
      </c>
      <c r="P114" s="98" t="s">
        <v>91</v>
      </c>
      <c r="Q114" s="37" t="s">
        <v>0</v>
      </c>
      <c r="R114" s="98" t="s">
        <v>1</v>
      </c>
      <c r="S114" s="98" t="s">
        <v>91</v>
      </c>
      <c r="T114" s="37" t="s">
        <v>0</v>
      </c>
      <c r="U114" s="98" t="s">
        <v>1</v>
      </c>
      <c r="V114" s="98" t="s">
        <v>91</v>
      </c>
      <c r="W114" s="37"/>
      <c r="X114" s="37" t="s">
        <v>0</v>
      </c>
      <c r="Y114" s="99" t="s">
        <v>1</v>
      </c>
      <c r="Z114" s="39" t="s">
        <v>76</v>
      </c>
      <c r="AA114" s="37" t="s">
        <v>0</v>
      </c>
      <c r="AB114" s="99" t="s">
        <v>1</v>
      </c>
      <c r="AC114" s="39" t="s">
        <v>76</v>
      </c>
    </row>
    <row r="115" spans="1:29" ht="24.9" customHeight="1" x14ac:dyDescent="0.25">
      <c r="A115" s="224" t="s">
        <v>77</v>
      </c>
      <c r="B115" s="225"/>
      <c r="C115" s="225"/>
      <c r="D115" s="225"/>
      <c r="E115" s="225"/>
      <c r="F115" s="226"/>
      <c r="G115" s="7">
        <v>112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97"/>
      <c r="N115" s="321">
        <v>65</v>
      </c>
      <c r="O115" s="321">
        <v>178</v>
      </c>
      <c r="P115" s="321">
        <v>493</v>
      </c>
      <c r="Q115" s="321">
        <v>27</v>
      </c>
      <c r="R115" s="321">
        <v>119</v>
      </c>
      <c r="S115" s="321">
        <v>266</v>
      </c>
      <c r="T115" s="321">
        <v>0</v>
      </c>
      <c r="U115" s="321">
        <v>1</v>
      </c>
      <c r="V115" s="321">
        <v>10</v>
      </c>
      <c r="W115" s="40" t="s">
        <v>64</v>
      </c>
      <c r="X115" s="41">
        <v>1</v>
      </c>
      <c r="Y115" s="41">
        <v>0</v>
      </c>
      <c r="Z115" s="41">
        <v>0</v>
      </c>
      <c r="AA115" s="41">
        <v>0</v>
      </c>
      <c r="AB115" s="41">
        <v>0</v>
      </c>
      <c r="AC115" s="41">
        <v>0</v>
      </c>
    </row>
    <row r="116" spans="1:29" ht="24.9" customHeight="1" x14ac:dyDescent="0.25">
      <c r="A116" s="224" t="s">
        <v>8</v>
      </c>
      <c r="B116" s="225"/>
      <c r="C116" s="225"/>
      <c r="D116" s="225"/>
      <c r="E116" s="225"/>
      <c r="F116" s="226"/>
      <c r="G116" s="7">
        <v>14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97"/>
      <c r="N116" s="322"/>
      <c r="O116" s="322"/>
      <c r="P116" s="322"/>
      <c r="Q116" s="322"/>
      <c r="R116" s="322"/>
      <c r="S116" s="322"/>
      <c r="T116" s="322"/>
      <c r="U116" s="322"/>
      <c r="V116" s="322"/>
      <c r="W116" s="40" t="s">
        <v>65</v>
      </c>
      <c r="X116" s="41">
        <v>0</v>
      </c>
      <c r="Y116" s="41">
        <v>0</v>
      </c>
      <c r="Z116" s="41">
        <v>0</v>
      </c>
      <c r="AA116" s="41">
        <v>0</v>
      </c>
      <c r="AB116" s="41">
        <v>0</v>
      </c>
      <c r="AC116" s="41">
        <v>0</v>
      </c>
    </row>
    <row r="117" spans="1:29" ht="24.9" customHeight="1" x14ac:dyDescent="0.25">
      <c r="A117" s="309" t="s">
        <v>78</v>
      </c>
      <c r="B117" s="310"/>
      <c r="C117" s="310"/>
      <c r="D117" s="310"/>
      <c r="E117" s="310"/>
      <c r="F117" s="311"/>
      <c r="G117" s="7">
        <v>1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97"/>
      <c r="N117" s="322"/>
      <c r="O117" s="322"/>
      <c r="P117" s="322"/>
      <c r="Q117" s="322"/>
      <c r="R117" s="322"/>
      <c r="S117" s="322"/>
      <c r="T117" s="322"/>
      <c r="U117" s="322"/>
      <c r="V117" s="322"/>
      <c r="W117" s="319" t="s">
        <v>66</v>
      </c>
      <c r="X117" s="321">
        <v>0</v>
      </c>
      <c r="Y117" s="321">
        <v>7</v>
      </c>
      <c r="Z117" s="321">
        <v>43</v>
      </c>
      <c r="AA117" s="321">
        <v>0</v>
      </c>
      <c r="AB117" s="321">
        <v>0</v>
      </c>
      <c r="AC117" s="321">
        <v>0</v>
      </c>
    </row>
    <row r="118" spans="1:29" ht="24.9" customHeight="1" x14ac:dyDescent="0.25">
      <c r="A118" s="224" t="s">
        <v>7</v>
      </c>
      <c r="B118" s="225"/>
      <c r="C118" s="225"/>
      <c r="D118" s="225"/>
      <c r="E118" s="225"/>
      <c r="F118" s="226"/>
      <c r="G118" s="7">
        <v>127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97"/>
      <c r="N118" s="323"/>
      <c r="O118" s="323"/>
      <c r="P118" s="323"/>
      <c r="Q118" s="323"/>
      <c r="R118" s="323"/>
      <c r="S118" s="323"/>
      <c r="T118" s="323"/>
      <c r="U118" s="323"/>
      <c r="V118" s="323"/>
      <c r="W118" s="320"/>
      <c r="X118" s="323"/>
      <c r="Y118" s="323"/>
      <c r="Z118" s="323"/>
      <c r="AA118" s="323"/>
      <c r="AB118" s="323"/>
      <c r="AC118" s="323"/>
    </row>
    <row r="119" spans="1:29" ht="23.4" x14ac:dyDescent="0.25">
      <c r="A119" s="159" t="s">
        <v>15</v>
      </c>
      <c r="B119" s="159"/>
      <c r="C119" s="159"/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  <c r="AB119" s="159"/>
      <c r="AC119" s="159"/>
    </row>
    <row r="120" spans="1:29" ht="23.4" x14ac:dyDescent="0.25">
      <c r="A120" s="159" t="s">
        <v>16</v>
      </c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2"/>
      <c r="Y120" s="160" t="s">
        <v>17</v>
      </c>
      <c r="Z120" s="160"/>
      <c r="AA120" s="2"/>
      <c r="AB120" s="2"/>
      <c r="AC120" s="2"/>
    </row>
    <row r="121" spans="1:29" ht="30.9" customHeight="1" x14ac:dyDescent="0.25">
      <c r="A121" s="326" t="s">
        <v>18</v>
      </c>
      <c r="B121" s="326"/>
      <c r="C121" s="326"/>
      <c r="D121" s="326"/>
      <c r="E121" s="327" t="s">
        <v>84</v>
      </c>
      <c r="F121" s="327"/>
      <c r="G121" s="327"/>
      <c r="H121" s="327"/>
      <c r="I121" s="328" t="s">
        <v>20</v>
      </c>
      <c r="J121" s="328"/>
      <c r="K121" s="329" t="s">
        <v>85</v>
      </c>
      <c r="L121" s="329"/>
      <c r="M121" s="328" t="s">
        <v>21</v>
      </c>
      <c r="N121" s="328"/>
      <c r="O121" s="340" t="s">
        <v>92</v>
      </c>
      <c r="P121" s="340"/>
      <c r="Q121" s="340"/>
      <c r="R121" s="340"/>
      <c r="S121" s="43"/>
      <c r="T121" s="166" t="s">
        <v>22</v>
      </c>
      <c r="U121" s="166"/>
      <c r="V121" s="166"/>
      <c r="W121" s="166"/>
      <c r="X121" s="166"/>
      <c r="Y121" s="152" t="s">
        <v>81</v>
      </c>
      <c r="Z121" s="152"/>
      <c r="AA121" s="152"/>
      <c r="AB121" s="153" t="s">
        <v>83</v>
      </c>
      <c r="AC121" s="153"/>
    </row>
    <row r="122" spans="1:29" ht="15" customHeight="1" x14ac:dyDescent="0.25">
      <c r="T122" s="166"/>
      <c r="U122" s="166"/>
      <c r="V122" s="166"/>
      <c r="W122" s="166"/>
      <c r="X122" s="166"/>
      <c r="Y122" s="152"/>
      <c r="Z122" s="152"/>
      <c r="AA122" s="152"/>
      <c r="AB122" s="153"/>
      <c r="AC122" s="153"/>
    </row>
    <row r="123" spans="1:29" ht="15.6" x14ac:dyDescent="0.25">
      <c r="A123" s="324" t="s">
        <v>24</v>
      </c>
      <c r="B123" s="324"/>
      <c r="C123" s="324"/>
      <c r="D123" s="324"/>
      <c r="E123" s="324"/>
      <c r="F123" s="324"/>
      <c r="G123" s="324"/>
      <c r="H123" s="325" t="s">
        <v>25</v>
      </c>
      <c r="I123" s="325"/>
      <c r="J123" s="325"/>
      <c r="K123" s="325"/>
      <c r="L123" s="325"/>
      <c r="M123" s="325"/>
      <c r="N123" s="325"/>
      <c r="O123" s="73"/>
      <c r="P123" s="73"/>
      <c r="T123" s="156" t="s">
        <v>26</v>
      </c>
      <c r="U123" s="156"/>
      <c r="V123" s="156"/>
      <c r="W123" s="156"/>
      <c r="X123" s="156"/>
      <c r="Y123" s="156"/>
      <c r="Z123" s="265" t="s">
        <v>27</v>
      </c>
      <c r="AA123" s="265"/>
      <c r="AB123" s="265"/>
      <c r="AC123" s="265"/>
    </row>
    <row r="124" spans="1:29" x14ac:dyDescent="0.25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</row>
    <row r="125" spans="1:29" ht="15" customHeight="1" x14ac:dyDescent="0.25">
      <c r="A125" s="284" t="s">
        <v>29</v>
      </c>
      <c r="B125" s="285"/>
      <c r="C125" s="285"/>
      <c r="D125" s="285"/>
      <c r="E125" s="285"/>
      <c r="F125" s="285"/>
      <c r="G125" s="285"/>
      <c r="H125" s="285"/>
      <c r="I125" s="285"/>
      <c r="J125" s="286"/>
      <c r="K125" s="273" t="s">
        <v>30</v>
      </c>
      <c r="L125" s="274"/>
      <c r="M125" s="273" t="s">
        <v>31</v>
      </c>
      <c r="N125" s="274"/>
      <c r="O125" s="287" t="s">
        <v>32</v>
      </c>
      <c r="P125" s="288"/>
      <c r="Q125" s="289"/>
      <c r="R125" s="273" t="s">
        <v>33</v>
      </c>
      <c r="S125" s="296"/>
      <c r="T125" s="274"/>
      <c r="U125" s="224" t="s">
        <v>34</v>
      </c>
      <c r="V125" s="225"/>
      <c r="W125" s="225"/>
      <c r="X125" s="225"/>
      <c r="Y125" s="225"/>
      <c r="Z125" s="225"/>
      <c r="AA125" s="226"/>
      <c r="AB125" s="273" t="s">
        <v>7</v>
      </c>
      <c r="AC125" s="274"/>
    </row>
    <row r="126" spans="1:29" ht="23.25" customHeight="1" x14ac:dyDescent="0.25">
      <c r="A126" s="169" t="s">
        <v>35</v>
      </c>
      <c r="B126" s="173"/>
      <c r="C126" s="173"/>
      <c r="D126" s="173"/>
      <c r="E126" s="173"/>
      <c r="F126" s="173"/>
      <c r="G126" s="173"/>
      <c r="H126" s="173"/>
      <c r="I126" s="173"/>
      <c r="J126" s="170"/>
      <c r="K126" s="275"/>
      <c r="L126" s="276"/>
      <c r="M126" s="275"/>
      <c r="N126" s="276"/>
      <c r="O126" s="290"/>
      <c r="P126" s="291"/>
      <c r="Q126" s="292"/>
      <c r="R126" s="275"/>
      <c r="S126" s="297"/>
      <c r="T126" s="276"/>
      <c r="U126" s="279" t="s">
        <v>36</v>
      </c>
      <c r="V126" s="279"/>
      <c r="W126" s="279"/>
      <c r="X126" s="279" t="s">
        <v>37</v>
      </c>
      <c r="Y126" s="279"/>
      <c r="Z126" s="279" t="s">
        <v>38</v>
      </c>
      <c r="AA126" s="279"/>
      <c r="AB126" s="275"/>
      <c r="AC126" s="276"/>
    </row>
    <row r="127" spans="1:29" x14ac:dyDescent="0.25">
      <c r="A127" s="171"/>
      <c r="B127" s="174"/>
      <c r="C127" s="174"/>
      <c r="D127" s="174"/>
      <c r="E127" s="174"/>
      <c r="F127" s="174"/>
      <c r="G127" s="174"/>
      <c r="H127" s="174"/>
      <c r="I127" s="174"/>
      <c r="J127" s="172"/>
      <c r="K127" s="277"/>
      <c r="L127" s="278"/>
      <c r="M127" s="277"/>
      <c r="N127" s="278"/>
      <c r="O127" s="293"/>
      <c r="P127" s="294"/>
      <c r="Q127" s="295"/>
      <c r="R127" s="277"/>
      <c r="S127" s="298"/>
      <c r="T127" s="278"/>
      <c r="U127" s="280"/>
      <c r="V127" s="280"/>
      <c r="W127" s="280"/>
      <c r="X127" s="280"/>
      <c r="Y127" s="280"/>
      <c r="Z127" s="280"/>
      <c r="AA127" s="280"/>
      <c r="AB127" s="277"/>
      <c r="AC127" s="278"/>
    </row>
    <row r="128" spans="1:29" ht="24.9" customHeight="1" x14ac:dyDescent="0.25">
      <c r="A128" s="281" t="s">
        <v>39</v>
      </c>
      <c r="B128" s="282"/>
      <c r="C128" s="282"/>
      <c r="D128" s="282"/>
      <c r="E128" s="282"/>
      <c r="F128" s="282"/>
      <c r="G128" s="282"/>
      <c r="H128" s="282"/>
      <c r="I128" s="282"/>
      <c r="J128" s="283"/>
      <c r="K128" s="224">
        <v>109</v>
      </c>
      <c r="L128" s="226"/>
      <c r="M128" s="224">
        <v>25</v>
      </c>
      <c r="N128" s="226"/>
      <c r="O128" s="224">
        <v>0</v>
      </c>
      <c r="P128" s="225"/>
      <c r="Q128" s="226"/>
      <c r="R128" s="224">
        <v>134</v>
      </c>
      <c r="S128" s="225"/>
      <c r="T128" s="226"/>
      <c r="U128" s="224">
        <v>1</v>
      </c>
      <c r="V128" s="225"/>
      <c r="W128" s="226"/>
      <c r="X128" s="224">
        <v>0</v>
      </c>
      <c r="Y128" s="226"/>
      <c r="Z128" s="224">
        <v>0</v>
      </c>
      <c r="AA128" s="226"/>
      <c r="AB128" s="224">
        <v>135</v>
      </c>
      <c r="AC128" s="226"/>
    </row>
    <row r="129" spans="1:32" ht="24.9" customHeight="1" x14ac:dyDescent="0.25">
      <c r="A129" s="281" t="s">
        <v>40</v>
      </c>
      <c r="B129" s="282"/>
      <c r="C129" s="282"/>
      <c r="D129" s="282"/>
      <c r="E129" s="282"/>
      <c r="F129" s="282"/>
      <c r="G129" s="282"/>
      <c r="H129" s="282"/>
      <c r="I129" s="282"/>
      <c r="J129" s="283"/>
      <c r="K129" s="224">
        <v>149</v>
      </c>
      <c r="L129" s="226"/>
      <c r="M129" s="224">
        <v>43</v>
      </c>
      <c r="N129" s="226"/>
      <c r="O129" s="224">
        <v>0</v>
      </c>
      <c r="P129" s="225"/>
      <c r="Q129" s="226"/>
      <c r="R129" s="224">
        <v>192</v>
      </c>
      <c r="S129" s="225"/>
      <c r="T129" s="226"/>
      <c r="U129" s="224">
        <v>0</v>
      </c>
      <c r="V129" s="225"/>
      <c r="W129" s="226"/>
      <c r="X129" s="224">
        <v>6</v>
      </c>
      <c r="Y129" s="226"/>
      <c r="Z129" s="224">
        <v>4</v>
      </c>
      <c r="AA129" s="226"/>
      <c r="AB129" s="224">
        <v>202</v>
      </c>
      <c r="AC129" s="226"/>
    </row>
    <row r="130" spans="1:32" ht="24.9" customHeight="1" x14ac:dyDescent="0.25">
      <c r="A130" s="281" t="s">
        <v>41</v>
      </c>
      <c r="B130" s="282"/>
      <c r="C130" s="282"/>
      <c r="D130" s="282"/>
      <c r="E130" s="282"/>
      <c r="F130" s="282"/>
      <c r="G130" s="282"/>
      <c r="H130" s="282"/>
      <c r="I130" s="282"/>
      <c r="J130" s="283"/>
      <c r="K130" s="224">
        <v>5</v>
      </c>
      <c r="L130" s="226"/>
      <c r="M130" s="224">
        <v>0</v>
      </c>
      <c r="N130" s="226"/>
      <c r="O130" s="224">
        <v>0</v>
      </c>
      <c r="P130" s="225"/>
      <c r="Q130" s="226"/>
      <c r="R130" s="224">
        <v>5</v>
      </c>
      <c r="S130" s="225"/>
      <c r="T130" s="226"/>
      <c r="U130" s="224">
        <v>0</v>
      </c>
      <c r="V130" s="225"/>
      <c r="W130" s="226"/>
      <c r="X130" s="224">
        <v>0</v>
      </c>
      <c r="Y130" s="226"/>
      <c r="Z130" s="224">
        <v>0</v>
      </c>
      <c r="AA130" s="226"/>
      <c r="AB130" s="224">
        <v>5</v>
      </c>
      <c r="AC130" s="226"/>
    </row>
    <row r="131" spans="1:32" ht="24.9" customHeight="1" x14ac:dyDescent="0.25">
      <c r="A131" s="281" t="s">
        <v>42</v>
      </c>
      <c r="B131" s="282"/>
      <c r="C131" s="282"/>
      <c r="D131" s="282"/>
      <c r="E131" s="282"/>
      <c r="F131" s="282"/>
      <c r="G131" s="282"/>
      <c r="H131" s="282"/>
      <c r="I131" s="282"/>
      <c r="J131" s="283"/>
      <c r="K131" s="224">
        <v>66</v>
      </c>
      <c r="L131" s="226"/>
      <c r="M131" s="224">
        <v>4</v>
      </c>
      <c r="N131" s="226"/>
      <c r="O131" s="224">
        <v>1</v>
      </c>
      <c r="P131" s="225"/>
      <c r="Q131" s="226"/>
      <c r="R131" s="224">
        <v>71</v>
      </c>
      <c r="S131" s="225"/>
      <c r="T131" s="226"/>
      <c r="U131" s="224">
        <v>0</v>
      </c>
      <c r="V131" s="225"/>
      <c r="W131" s="226"/>
      <c r="X131" s="224">
        <v>0</v>
      </c>
      <c r="Y131" s="226"/>
      <c r="Z131" s="224">
        <v>4</v>
      </c>
      <c r="AA131" s="226"/>
      <c r="AB131" s="224">
        <v>75</v>
      </c>
      <c r="AC131" s="226"/>
    </row>
    <row r="132" spans="1:32" ht="24.9" customHeight="1" x14ac:dyDescent="0.25">
      <c r="A132" s="281" t="s">
        <v>7</v>
      </c>
      <c r="B132" s="282"/>
      <c r="C132" s="282"/>
      <c r="D132" s="282"/>
      <c r="E132" s="282"/>
      <c r="F132" s="282"/>
      <c r="G132" s="282"/>
      <c r="H132" s="282"/>
      <c r="I132" s="282"/>
      <c r="J132" s="283"/>
      <c r="K132" s="224">
        <v>329</v>
      </c>
      <c r="L132" s="226"/>
      <c r="M132" s="224">
        <v>72</v>
      </c>
      <c r="N132" s="226"/>
      <c r="O132" s="224">
        <v>1</v>
      </c>
      <c r="P132" s="225"/>
      <c r="Q132" s="226"/>
      <c r="R132" s="224">
        <v>402</v>
      </c>
      <c r="S132" s="225"/>
      <c r="T132" s="226"/>
      <c r="U132" s="224">
        <v>1</v>
      </c>
      <c r="V132" s="225"/>
      <c r="W132" s="226"/>
      <c r="X132" s="224">
        <v>6</v>
      </c>
      <c r="Y132" s="226"/>
      <c r="Z132" s="224">
        <v>8</v>
      </c>
      <c r="AA132" s="226"/>
      <c r="AB132" s="224">
        <v>417</v>
      </c>
      <c r="AC132" s="226"/>
    </row>
    <row r="133" spans="1:32" ht="15.6" x14ac:dyDescent="0.25">
      <c r="A133" s="75" t="s">
        <v>43</v>
      </c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7"/>
      <c r="V133" s="77"/>
      <c r="W133" s="77"/>
      <c r="X133" s="77"/>
      <c r="Y133" s="77"/>
      <c r="Z133" s="77"/>
      <c r="AA133" s="77"/>
      <c r="AB133" s="77"/>
      <c r="AC133" s="78"/>
    </row>
    <row r="134" spans="1:32" ht="21.75" customHeight="1" x14ac:dyDescent="0.25">
      <c r="A134" s="331"/>
      <c r="B134" s="332"/>
      <c r="C134" s="332"/>
      <c r="D134" s="332"/>
      <c r="E134" s="332"/>
      <c r="F134" s="332"/>
      <c r="G134" s="332"/>
      <c r="H134" s="332"/>
      <c r="I134" s="332"/>
      <c r="J134" s="333"/>
      <c r="K134" s="224" t="s">
        <v>0</v>
      </c>
      <c r="L134" s="226"/>
      <c r="M134" s="305" t="s">
        <v>1</v>
      </c>
      <c r="N134" s="306"/>
      <c r="O134" s="301" t="s">
        <v>2</v>
      </c>
      <c r="P134" s="302"/>
      <c r="Q134" s="301" t="s">
        <v>3</v>
      </c>
      <c r="R134" s="302"/>
      <c r="S134" s="301" t="s">
        <v>4</v>
      </c>
      <c r="T134" s="302"/>
      <c r="U134" s="301" t="s">
        <v>5</v>
      </c>
      <c r="V134" s="302"/>
      <c r="W134" s="301" t="s">
        <v>6</v>
      </c>
      <c r="X134" s="302"/>
      <c r="Y134" s="301" t="s">
        <v>44</v>
      </c>
      <c r="Z134" s="302"/>
      <c r="AA134" s="301" t="s">
        <v>7</v>
      </c>
      <c r="AB134" s="302"/>
      <c r="AC134" s="303" t="s">
        <v>86</v>
      </c>
      <c r="AD134" s="5"/>
      <c r="AE134" s="6"/>
      <c r="AF134" s="6"/>
    </row>
    <row r="135" spans="1:32" x14ac:dyDescent="0.25">
      <c r="A135" s="334"/>
      <c r="B135" s="335"/>
      <c r="C135" s="335"/>
      <c r="D135" s="335"/>
      <c r="E135" s="335"/>
      <c r="F135" s="335"/>
      <c r="G135" s="335"/>
      <c r="H135" s="335"/>
      <c r="I135" s="335"/>
      <c r="J135" s="336"/>
      <c r="K135" s="7" t="s">
        <v>9</v>
      </c>
      <c r="L135" s="7" t="s">
        <v>10</v>
      </c>
      <c r="M135" s="7" t="s">
        <v>9</v>
      </c>
      <c r="N135" s="7" t="s">
        <v>10</v>
      </c>
      <c r="O135" s="7" t="s">
        <v>9</v>
      </c>
      <c r="P135" s="7" t="s">
        <v>10</v>
      </c>
      <c r="Q135" s="7" t="s">
        <v>9</v>
      </c>
      <c r="R135" s="7" t="s">
        <v>10</v>
      </c>
      <c r="S135" s="7" t="s">
        <v>9</v>
      </c>
      <c r="T135" s="7" t="s">
        <v>10</v>
      </c>
      <c r="U135" s="7" t="s">
        <v>9</v>
      </c>
      <c r="V135" s="7" t="s">
        <v>10</v>
      </c>
      <c r="W135" s="7" t="s">
        <v>9</v>
      </c>
      <c r="X135" s="7" t="s">
        <v>10</v>
      </c>
      <c r="Y135" s="7" t="s">
        <v>9</v>
      </c>
      <c r="Z135" s="7" t="s">
        <v>10</v>
      </c>
      <c r="AA135" s="7" t="s">
        <v>9</v>
      </c>
      <c r="AB135" s="7" t="s">
        <v>10</v>
      </c>
      <c r="AC135" s="304"/>
    </row>
    <row r="136" spans="1:32" ht="24.9" customHeight="1" x14ac:dyDescent="0.25">
      <c r="A136" s="281" t="s">
        <v>39</v>
      </c>
      <c r="B136" s="282"/>
      <c r="C136" s="282"/>
      <c r="D136" s="282"/>
      <c r="E136" s="282"/>
      <c r="F136" s="282"/>
      <c r="G136" s="282"/>
      <c r="H136" s="282"/>
      <c r="I136" s="282"/>
      <c r="J136" s="283"/>
      <c r="K136" s="7">
        <v>1</v>
      </c>
      <c r="L136" s="7">
        <v>0</v>
      </c>
      <c r="M136" s="7">
        <v>2</v>
      </c>
      <c r="N136" s="7">
        <v>6</v>
      </c>
      <c r="O136" s="7">
        <v>10</v>
      </c>
      <c r="P136" s="7">
        <v>29</v>
      </c>
      <c r="Q136" s="7">
        <v>17</v>
      </c>
      <c r="R136" s="7">
        <v>10</v>
      </c>
      <c r="S136" s="7">
        <v>9</v>
      </c>
      <c r="T136" s="7">
        <v>7</v>
      </c>
      <c r="U136" s="7">
        <v>11</v>
      </c>
      <c r="V136" s="7">
        <v>7</v>
      </c>
      <c r="W136" s="7">
        <v>6</v>
      </c>
      <c r="X136" s="7">
        <v>7</v>
      </c>
      <c r="Y136" s="7">
        <v>8</v>
      </c>
      <c r="Z136" s="7">
        <v>4</v>
      </c>
      <c r="AA136" s="7">
        <v>64</v>
      </c>
      <c r="AB136" s="7">
        <v>70</v>
      </c>
      <c r="AC136" s="7">
        <v>134</v>
      </c>
    </row>
    <row r="137" spans="1:32" ht="24.9" customHeight="1" x14ac:dyDescent="0.25">
      <c r="A137" s="281" t="s">
        <v>40</v>
      </c>
      <c r="B137" s="282"/>
      <c r="C137" s="282"/>
      <c r="D137" s="282"/>
      <c r="E137" s="282"/>
      <c r="F137" s="282"/>
      <c r="G137" s="282"/>
      <c r="H137" s="282"/>
      <c r="I137" s="282"/>
      <c r="J137" s="283"/>
      <c r="K137" s="7">
        <v>1</v>
      </c>
      <c r="L137" s="7">
        <v>1</v>
      </c>
      <c r="M137" s="7">
        <v>6</v>
      </c>
      <c r="N137" s="7">
        <v>16</v>
      </c>
      <c r="O137" s="7">
        <v>14</v>
      </c>
      <c r="P137" s="7">
        <v>16</v>
      </c>
      <c r="Q137" s="7">
        <v>15</v>
      </c>
      <c r="R137" s="7">
        <v>21</v>
      </c>
      <c r="S137" s="7">
        <v>17</v>
      </c>
      <c r="T137" s="7">
        <v>15</v>
      </c>
      <c r="U137" s="7">
        <v>19</v>
      </c>
      <c r="V137" s="7">
        <v>11</v>
      </c>
      <c r="W137" s="7">
        <v>13</v>
      </c>
      <c r="X137" s="7">
        <v>12</v>
      </c>
      <c r="Y137" s="7">
        <v>9</v>
      </c>
      <c r="Z137" s="7">
        <v>6</v>
      </c>
      <c r="AA137" s="7">
        <v>94</v>
      </c>
      <c r="AB137" s="7">
        <v>98</v>
      </c>
      <c r="AC137" s="7">
        <v>192</v>
      </c>
    </row>
    <row r="138" spans="1:32" ht="24.9" customHeight="1" x14ac:dyDescent="0.25">
      <c r="A138" s="281" t="s">
        <v>41</v>
      </c>
      <c r="B138" s="282"/>
      <c r="C138" s="282"/>
      <c r="D138" s="282"/>
      <c r="E138" s="282"/>
      <c r="F138" s="282"/>
      <c r="G138" s="282"/>
      <c r="H138" s="282"/>
      <c r="I138" s="282"/>
      <c r="J138" s="283"/>
      <c r="K138" s="7">
        <v>0</v>
      </c>
      <c r="L138" s="7">
        <v>0</v>
      </c>
      <c r="M138" s="7">
        <v>0</v>
      </c>
      <c r="N138" s="7">
        <v>0</v>
      </c>
      <c r="O138" s="7">
        <v>1</v>
      </c>
      <c r="P138" s="7">
        <v>0</v>
      </c>
      <c r="Q138" s="7">
        <v>1</v>
      </c>
      <c r="R138" s="7">
        <v>0</v>
      </c>
      <c r="S138" s="7">
        <v>0</v>
      </c>
      <c r="T138" s="7">
        <v>2</v>
      </c>
      <c r="U138" s="7">
        <v>0</v>
      </c>
      <c r="V138" s="7">
        <v>0</v>
      </c>
      <c r="W138" s="7">
        <v>0</v>
      </c>
      <c r="X138" s="7">
        <v>0</v>
      </c>
      <c r="Y138" s="7">
        <v>1</v>
      </c>
      <c r="Z138" s="7">
        <v>0</v>
      </c>
      <c r="AA138" s="7">
        <v>3</v>
      </c>
      <c r="AB138" s="7">
        <v>2</v>
      </c>
      <c r="AC138" s="7">
        <v>5</v>
      </c>
    </row>
    <row r="139" spans="1:32" ht="24.9" customHeight="1" x14ac:dyDescent="0.25">
      <c r="A139" s="281" t="s">
        <v>42</v>
      </c>
      <c r="B139" s="282"/>
      <c r="C139" s="282"/>
      <c r="D139" s="282"/>
      <c r="E139" s="282"/>
      <c r="F139" s="282"/>
      <c r="G139" s="282"/>
      <c r="H139" s="282"/>
      <c r="I139" s="282"/>
      <c r="J139" s="283"/>
      <c r="K139" s="7">
        <v>0</v>
      </c>
      <c r="L139" s="7">
        <v>0</v>
      </c>
      <c r="M139" s="7">
        <v>3</v>
      </c>
      <c r="N139" s="7">
        <v>8</v>
      </c>
      <c r="O139" s="7">
        <v>5</v>
      </c>
      <c r="P139" s="7">
        <v>13</v>
      </c>
      <c r="Q139" s="7">
        <v>6</v>
      </c>
      <c r="R139" s="7">
        <v>6</v>
      </c>
      <c r="S139" s="7">
        <v>4</v>
      </c>
      <c r="T139" s="7">
        <v>10</v>
      </c>
      <c r="U139" s="7">
        <v>5</v>
      </c>
      <c r="V139" s="7">
        <v>3</v>
      </c>
      <c r="W139" s="7">
        <v>3</v>
      </c>
      <c r="X139" s="7">
        <v>1</v>
      </c>
      <c r="Y139" s="7">
        <v>2</v>
      </c>
      <c r="Z139" s="7">
        <v>2</v>
      </c>
      <c r="AA139" s="7">
        <v>28</v>
      </c>
      <c r="AB139" s="7">
        <v>43</v>
      </c>
      <c r="AC139" s="7">
        <v>71</v>
      </c>
    </row>
    <row r="140" spans="1:32" ht="24.9" customHeight="1" x14ac:dyDescent="0.25">
      <c r="A140" s="224" t="s">
        <v>7</v>
      </c>
      <c r="B140" s="225"/>
      <c r="C140" s="225"/>
      <c r="D140" s="225"/>
      <c r="E140" s="225"/>
      <c r="F140" s="225"/>
      <c r="G140" s="225"/>
      <c r="H140" s="225"/>
      <c r="I140" s="225"/>
      <c r="J140" s="226"/>
      <c r="K140" s="7">
        <v>2</v>
      </c>
      <c r="L140" s="7">
        <v>1</v>
      </c>
      <c r="M140" s="7">
        <v>11</v>
      </c>
      <c r="N140" s="7">
        <v>30</v>
      </c>
      <c r="O140" s="7">
        <v>30</v>
      </c>
      <c r="P140" s="7">
        <v>58</v>
      </c>
      <c r="Q140" s="7">
        <v>39</v>
      </c>
      <c r="R140" s="7">
        <v>37</v>
      </c>
      <c r="S140" s="7">
        <v>30</v>
      </c>
      <c r="T140" s="7">
        <v>34</v>
      </c>
      <c r="U140" s="7">
        <v>35</v>
      </c>
      <c r="V140" s="7">
        <v>21</v>
      </c>
      <c r="W140" s="7">
        <v>22</v>
      </c>
      <c r="X140" s="7">
        <v>20</v>
      </c>
      <c r="Y140" s="7">
        <v>20</v>
      </c>
      <c r="Z140" s="7">
        <v>12</v>
      </c>
      <c r="AA140" s="7">
        <v>189</v>
      </c>
      <c r="AB140" s="7">
        <v>213</v>
      </c>
      <c r="AC140" s="7">
        <v>402</v>
      </c>
    </row>
    <row r="141" spans="1:32" ht="6.75" customHeight="1" x14ac:dyDescent="0.25">
      <c r="A141" s="79"/>
      <c r="B141" s="80"/>
      <c r="C141" s="80"/>
      <c r="D141" s="80"/>
      <c r="E141" s="80"/>
      <c r="F141" s="81"/>
      <c r="G141" s="82"/>
      <c r="H141" s="82"/>
      <c r="I141" s="82"/>
      <c r="J141" s="82"/>
      <c r="K141" s="82"/>
      <c r="L141" s="82"/>
      <c r="M141" s="83"/>
      <c r="N141" s="82"/>
      <c r="O141" s="337"/>
      <c r="P141" s="338"/>
      <c r="Q141" s="84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5"/>
    </row>
    <row r="142" spans="1:32" ht="18" customHeight="1" x14ac:dyDescent="0.25">
      <c r="A142" s="86" t="s">
        <v>45</v>
      </c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8"/>
      <c r="M142" s="89"/>
      <c r="N142" s="86" t="s">
        <v>46</v>
      </c>
      <c r="O142" s="87"/>
      <c r="P142" s="87"/>
      <c r="Q142" s="87"/>
      <c r="R142" s="87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1"/>
    </row>
    <row r="143" spans="1:32" ht="42.75" customHeight="1" x14ac:dyDescent="0.25">
      <c r="A143" s="307" t="s">
        <v>47</v>
      </c>
      <c r="B143" s="312" t="s">
        <v>48</v>
      </c>
      <c r="C143" s="313"/>
      <c r="D143" s="314" t="s">
        <v>49</v>
      </c>
      <c r="E143" s="315"/>
      <c r="F143" s="316"/>
      <c r="G143" s="314" t="s">
        <v>50</v>
      </c>
      <c r="H143" s="315"/>
      <c r="I143" s="315"/>
      <c r="J143" s="316"/>
      <c r="K143" s="307" t="s">
        <v>51</v>
      </c>
      <c r="L143" s="307" t="s">
        <v>52</v>
      </c>
      <c r="M143" s="20"/>
      <c r="N143" s="309" t="s">
        <v>53</v>
      </c>
      <c r="O143" s="310"/>
      <c r="P143" s="311"/>
      <c r="Q143" s="309" t="s">
        <v>54</v>
      </c>
      <c r="R143" s="310"/>
      <c r="S143" s="311"/>
      <c r="T143" s="309" t="s">
        <v>55</v>
      </c>
      <c r="U143" s="310"/>
      <c r="V143" s="310"/>
      <c r="W143" s="310"/>
      <c r="X143" s="310"/>
      <c r="Y143" s="310"/>
      <c r="Z143" s="310"/>
      <c r="AA143" s="310"/>
      <c r="AB143" s="310"/>
      <c r="AC143" s="311"/>
    </row>
    <row r="144" spans="1:32" ht="48" customHeight="1" x14ac:dyDescent="0.25">
      <c r="A144" s="308"/>
      <c r="B144" s="21" t="s">
        <v>7</v>
      </c>
      <c r="C144" s="22" t="s">
        <v>87</v>
      </c>
      <c r="D144" s="22" t="s">
        <v>56</v>
      </c>
      <c r="E144" s="22" t="s">
        <v>88</v>
      </c>
      <c r="F144" s="22" t="s">
        <v>89</v>
      </c>
      <c r="G144" s="23" t="s">
        <v>56</v>
      </c>
      <c r="H144" s="22" t="s">
        <v>90</v>
      </c>
      <c r="I144" s="23" t="s">
        <v>57</v>
      </c>
      <c r="J144" s="23" t="s">
        <v>58</v>
      </c>
      <c r="K144" s="308"/>
      <c r="L144" s="308"/>
      <c r="M144" s="20"/>
      <c r="N144" s="309">
        <v>201</v>
      </c>
      <c r="O144" s="310"/>
      <c r="P144" s="311"/>
      <c r="Q144" s="309">
        <v>1</v>
      </c>
      <c r="R144" s="310"/>
      <c r="S144" s="311"/>
      <c r="T144" s="309">
        <v>1</v>
      </c>
      <c r="U144" s="310"/>
      <c r="V144" s="310"/>
      <c r="W144" s="310"/>
      <c r="X144" s="310"/>
      <c r="Y144" s="310"/>
      <c r="Z144" s="310"/>
      <c r="AA144" s="310"/>
      <c r="AB144" s="310"/>
      <c r="AC144" s="311"/>
    </row>
    <row r="145" spans="1:29" ht="38.25" customHeight="1" x14ac:dyDescent="0.25">
      <c r="A145" s="279">
        <v>6228</v>
      </c>
      <c r="B145" s="279">
        <v>912</v>
      </c>
      <c r="C145" s="279">
        <v>15</v>
      </c>
      <c r="D145" s="279">
        <v>40</v>
      </c>
      <c r="E145" s="279">
        <v>383</v>
      </c>
      <c r="F145" s="279">
        <v>322</v>
      </c>
      <c r="G145" s="279">
        <v>1</v>
      </c>
      <c r="H145" s="279">
        <v>67</v>
      </c>
      <c r="I145" s="279">
        <v>59</v>
      </c>
      <c r="J145" s="279">
        <v>127</v>
      </c>
      <c r="K145" s="279">
        <v>118</v>
      </c>
      <c r="L145" s="279">
        <v>181</v>
      </c>
      <c r="M145" s="20"/>
      <c r="N145" s="309" t="s">
        <v>59</v>
      </c>
      <c r="O145" s="310"/>
      <c r="P145" s="311"/>
      <c r="Q145" s="309" t="s">
        <v>60</v>
      </c>
      <c r="R145" s="310"/>
      <c r="S145" s="311"/>
      <c r="T145" s="293" t="s">
        <v>61</v>
      </c>
      <c r="U145" s="294"/>
      <c r="V145" s="294"/>
      <c r="W145" s="295"/>
      <c r="X145" s="293" t="s">
        <v>62</v>
      </c>
      <c r="Y145" s="294"/>
      <c r="Z145" s="294"/>
      <c r="AA145" s="294"/>
      <c r="AB145" s="294"/>
      <c r="AC145" s="295"/>
    </row>
    <row r="146" spans="1:29" ht="19.5" customHeight="1" x14ac:dyDescent="0.25">
      <c r="A146" s="339"/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20"/>
      <c r="N146" s="287">
        <v>0</v>
      </c>
      <c r="O146" s="288"/>
      <c r="P146" s="289"/>
      <c r="Q146" s="287">
        <v>0</v>
      </c>
      <c r="R146" s="288"/>
      <c r="S146" s="289"/>
      <c r="T146" s="287">
        <v>0</v>
      </c>
      <c r="U146" s="288"/>
      <c r="V146" s="288"/>
      <c r="W146" s="289"/>
      <c r="X146" s="24"/>
      <c r="Y146" s="309" t="s">
        <v>0</v>
      </c>
      <c r="Z146" s="311"/>
      <c r="AA146" s="25" t="s">
        <v>1</v>
      </c>
      <c r="AB146" s="309" t="s">
        <v>63</v>
      </c>
      <c r="AC146" s="311"/>
    </row>
    <row r="147" spans="1:29" ht="18" customHeight="1" x14ac:dyDescent="0.25">
      <c r="A147" s="339"/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  <c r="M147" s="20"/>
      <c r="N147" s="290"/>
      <c r="O147" s="291"/>
      <c r="P147" s="292"/>
      <c r="Q147" s="290"/>
      <c r="R147" s="291"/>
      <c r="S147" s="292"/>
      <c r="T147" s="290"/>
      <c r="U147" s="291"/>
      <c r="V147" s="291"/>
      <c r="W147" s="292"/>
      <c r="X147" s="26" t="s">
        <v>64</v>
      </c>
      <c r="Y147" s="317">
        <v>0</v>
      </c>
      <c r="Z147" s="317"/>
      <c r="AA147" s="25">
        <v>0</v>
      </c>
      <c r="AB147" s="317">
        <v>0</v>
      </c>
      <c r="AC147" s="317"/>
    </row>
    <row r="148" spans="1:29" ht="18" customHeight="1" x14ac:dyDescent="0.25">
      <c r="A148" s="339"/>
      <c r="B148" s="339"/>
      <c r="C148" s="339"/>
      <c r="D148" s="339"/>
      <c r="E148" s="339"/>
      <c r="F148" s="339"/>
      <c r="G148" s="339"/>
      <c r="H148" s="339"/>
      <c r="I148" s="339"/>
      <c r="J148" s="339"/>
      <c r="K148" s="339"/>
      <c r="L148" s="339"/>
      <c r="M148" s="20"/>
      <c r="N148" s="290"/>
      <c r="O148" s="291"/>
      <c r="P148" s="292"/>
      <c r="Q148" s="290"/>
      <c r="R148" s="291"/>
      <c r="S148" s="292"/>
      <c r="T148" s="290"/>
      <c r="U148" s="291"/>
      <c r="V148" s="291"/>
      <c r="W148" s="292"/>
      <c r="X148" s="26" t="s">
        <v>65</v>
      </c>
      <c r="Y148" s="317">
        <v>0</v>
      </c>
      <c r="Z148" s="317"/>
      <c r="AA148" s="25">
        <v>0</v>
      </c>
      <c r="AB148" s="317">
        <v>18</v>
      </c>
      <c r="AC148" s="317"/>
    </row>
    <row r="149" spans="1:29" ht="18" customHeight="1" x14ac:dyDescent="0.25">
      <c r="A149" s="280"/>
      <c r="B149" s="280"/>
      <c r="C149" s="280"/>
      <c r="D149" s="280"/>
      <c r="E149" s="280"/>
      <c r="F149" s="280"/>
      <c r="G149" s="280"/>
      <c r="H149" s="280"/>
      <c r="I149" s="280"/>
      <c r="J149" s="280"/>
      <c r="K149" s="280"/>
      <c r="L149" s="280"/>
      <c r="M149" s="20"/>
      <c r="N149" s="293"/>
      <c r="O149" s="294"/>
      <c r="P149" s="295"/>
      <c r="Q149" s="293"/>
      <c r="R149" s="294"/>
      <c r="S149" s="295"/>
      <c r="T149" s="293"/>
      <c r="U149" s="294"/>
      <c r="V149" s="294"/>
      <c r="W149" s="295"/>
      <c r="X149" s="26" t="s">
        <v>66</v>
      </c>
      <c r="Y149" s="317">
        <v>0</v>
      </c>
      <c r="Z149" s="317"/>
      <c r="AA149" s="25">
        <v>0</v>
      </c>
      <c r="AB149" s="317">
        <v>0</v>
      </c>
      <c r="AC149" s="317"/>
    </row>
    <row r="150" spans="1:29" ht="8.25" customHeight="1" x14ac:dyDescent="0.25">
      <c r="A150" s="27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92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78"/>
    </row>
    <row r="151" spans="1:29" ht="18" customHeight="1" x14ac:dyDescent="0.25">
      <c r="A151" s="86" t="s">
        <v>67</v>
      </c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8"/>
      <c r="M151" s="93"/>
      <c r="N151" s="86" t="s">
        <v>68</v>
      </c>
      <c r="O151" s="88"/>
      <c r="P151" s="87"/>
      <c r="Q151" s="94"/>
      <c r="R151" s="87"/>
      <c r="S151" s="87"/>
      <c r="T151" s="87"/>
      <c r="U151" s="87"/>
      <c r="V151" s="87"/>
      <c r="W151" s="87"/>
      <c r="X151" s="87"/>
      <c r="Y151" s="87"/>
      <c r="Z151" s="87"/>
      <c r="AA151" s="90"/>
      <c r="AB151" s="90"/>
      <c r="AC151" s="95"/>
    </row>
    <row r="152" spans="1:29" ht="57" customHeight="1" x14ac:dyDescent="0.25">
      <c r="A152" s="331"/>
      <c r="B152" s="332"/>
      <c r="C152" s="332"/>
      <c r="D152" s="332"/>
      <c r="E152" s="332"/>
      <c r="F152" s="333"/>
      <c r="G152" s="224" t="s">
        <v>11</v>
      </c>
      <c r="H152" s="226"/>
      <c r="I152" s="224" t="s">
        <v>12</v>
      </c>
      <c r="J152" s="226"/>
      <c r="K152" s="33" t="s">
        <v>69</v>
      </c>
      <c r="L152" s="34"/>
      <c r="M152" s="96"/>
      <c r="N152" s="314" t="s">
        <v>70</v>
      </c>
      <c r="O152" s="315"/>
      <c r="P152" s="316"/>
      <c r="Q152" s="314" t="s">
        <v>71</v>
      </c>
      <c r="R152" s="315"/>
      <c r="S152" s="316"/>
      <c r="T152" s="314" t="s">
        <v>72</v>
      </c>
      <c r="U152" s="315"/>
      <c r="V152" s="316"/>
      <c r="W152" s="314" t="s">
        <v>73</v>
      </c>
      <c r="X152" s="315"/>
      <c r="Y152" s="315"/>
      <c r="Z152" s="316"/>
      <c r="AA152" s="314" t="s">
        <v>74</v>
      </c>
      <c r="AB152" s="315"/>
      <c r="AC152" s="316"/>
    </row>
    <row r="153" spans="1:29" ht="13.5" customHeight="1" x14ac:dyDescent="0.25">
      <c r="A153" s="334"/>
      <c r="B153" s="335"/>
      <c r="C153" s="335"/>
      <c r="D153" s="335"/>
      <c r="E153" s="335"/>
      <c r="F153" s="336"/>
      <c r="G153" s="7" t="s">
        <v>75</v>
      </c>
      <c r="H153" s="7" t="s">
        <v>13</v>
      </c>
      <c r="I153" s="7" t="s">
        <v>75</v>
      </c>
      <c r="J153" s="7" t="s">
        <v>13</v>
      </c>
      <c r="K153" s="7" t="s">
        <v>75</v>
      </c>
      <c r="L153" s="7" t="s">
        <v>13</v>
      </c>
      <c r="M153" s="97"/>
      <c r="N153" s="37" t="s">
        <v>0</v>
      </c>
      <c r="O153" s="98" t="s">
        <v>1</v>
      </c>
      <c r="P153" s="98" t="s">
        <v>91</v>
      </c>
      <c r="Q153" s="37" t="s">
        <v>0</v>
      </c>
      <c r="R153" s="98" t="s">
        <v>1</v>
      </c>
      <c r="S153" s="98" t="s">
        <v>91</v>
      </c>
      <c r="T153" s="37" t="s">
        <v>0</v>
      </c>
      <c r="U153" s="98" t="s">
        <v>1</v>
      </c>
      <c r="V153" s="98" t="s">
        <v>91</v>
      </c>
      <c r="W153" s="37"/>
      <c r="X153" s="37" t="s">
        <v>0</v>
      </c>
      <c r="Y153" s="99" t="s">
        <v>1</v>
      </c>
      <c r="Z153" s="39" t="s">
        <v>76</v>
      </c>
      <c r="AA153" s="37" t="s">
        <v>0</v>
      </c>
      <c r="AB153" s="99" t="s">
        <v>1</v>
      </c>
      <c r="AC153" s="39" t="s">
        <v>76</v>
      </c>
    </row>
    <row r="154" spans="1:29" ht="24.9" customHeight="1" x14ac:dyDescent="0.25">
      <c r="A154" s="224" t="s">
        <v>77</v>
      </c>
      <c r="B154" s="225"/>
      <c r="C154" s="225"/>
      <c r="D154" s="225"/>
      <c r="E154" s="225"/>
      <c r="F154" s="226"/>
      <c r="G154" s="7">
        <v>100</v>
      </c>
      <c r="H154" s="7">
        <v>0</v>
      </c>
      <c r="I154" s="7">
        <v>16</v>
      </c>
      <c r="J154" s="7">
        <v>0</v>
      </c>
      <c r="K154" s="7">
        <v>0</v>
      </c>
      <c r="L154" s="7">
        <v>0</v>
      </c>
      <c r="M154" s="97"/>
      <c r="N154" s="321">
        <v>106</v>
      </c>
      <c r="O154" s="321">
        <v>252</v>
      </c>
      <c r="P154" s="321">
        <v>725</v>
      </c>
      <c r="Q154" s="321">
        <v>55</v>
      </c>
      <c r="R154" s="321">
        <v>166</v>
      </c>
      <c r="S154" s="321">
        <v>334</v>
      </c>
      <c r="T154" s="321">
        <v>0</v>
      </c>
      <c r="U154" s="321">
        <v>6</v>
      </c>
      <c r="V154" s="321">
        <v>3</v>
      </c>
      <c r="W154" s="40" t="s">
        <v>64</v>
      </c>
      <c r="X154" s="41">
        <v>13</v>
      </c>
      <c r="Y154" s="41">
        <v>0</v>
      </c>
      <c r="Z154" s="41">
        <v>0</v>
      </c>
      <c r="AA154" s="41">
        <v>0</v>
      </c>
      <c r="AB154" s="41">
        <v>0</v>
      </c>
      <c r="AC154" s="41">
        <v>0</v>
      </c>
    </row>
    <row r="155" spans="1:29" ht="24.9" customHeight="1" x14ac:dyDescent="0.25">
      <c r="A155" s="224" t="s">
        <v>8</v>
      </c>
      <c r="B155" s="225"/>
      <c r="C155" s="225"/>
      <c r="D155" s="225"/>
      <c r="E155" s="225"/>
      <c r="F155" s="226"/>
      <c r="G155" s="7">
        <v>22</v>
      </c>
      <c r="H155" s="7">
        <v>2</v>
      </c>
      <c r="I155" s="7">
        <v>5</v>
      </c>
      <c r="J155" s="7">
        <v>0</v>
      </c>
      <c r="K155" s="7">
        <v>0</v>
      </c>
      <c r="L155" s="7">
        <v>0</v>
      </c>
      <c r="M155" s="97"/>
      <c r="N155" s="322"/>
      <c r="O155" s="322"/>
      <c r="P155" s="322"/>
      <c r="Q155" s="322"/>
      <c r="R155" s="322"/>
      <c r="S155" s="322"/>
      <c r="T155" s="322"/>
      <c r="U155" s="322"/>
      <c r="V155" s="322"/>
      <c r="W155" s="40" t="s">
        <v>65</v>
      </c>
      <c r="X155" s="41">
        <v>0</v>
      </c>
      <c r="Y155" s="41">
        <v>0</v>
      </c>
      <c r="Z155" s="41">
        <v>100</v>
      </c>
      <c r="AA155" s="41">
        <v>0</v>
      </c>
      <c r="AB155" s="41">
        <v>0</v>
      </c>
      <c r="AC155" s="41">
        <v>0</v>
      </c>
    </row>
    <row r="156" spans="1:29" ht="24.9" customHeight="1" x14ac:dyDescent="0.25">
      <c r="A156" s="309" t="s">
        <v>78</v>
      </c>
      <c r="B156" s="310"/>
      <c r="C156" s="310"/>
      <c r="D156" s="310"/>
      <c r="E156" s="310"/>
      <c r="F156" s="311"/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97"/>
      <c r="N156" s="322"/>
      <c r="O156" s="322"/>
      <c r="P156" s="322"/>
      <c r="Q156" s="322"/>
      <c r="R156" s="322"/>
      <c r="S156" s="322"/>
      <c r="T156" s="322"/>
      <c r="U156" s="322"/>
      <c r="V156" s="322"/>
      <c r="W156" s="319" t="s">
        <v>66</v>
      </c>
      <c r="X156" s="321">
        <v>0</v>
      </c>
      <c r="Y156" s="321">
        <v>43</v>
      </c>
      <c r="Z156" s="321">
        <v>33</v>
      </c>
      <c r="AA156" s="321">
        <v>0</v>
      </c>
      <c r="AB156" s="321">
        <v>0</v>
      </c>
      <c r="AC156" s="321">
        <v>0</v>
      </c>
    </row>
    <row r="157" spans="1:29" ht="24.9" customHeight="1" x14ac:dyDescent="0.25">
      <c r="A157" s="224" t="s">
        <v>7</v>
      </c>
      <c r="B157" s="225"/>
      <c r="C157" s="225"/>
      <c r="D157" s="225"/>
      <c r="E157" s="225"/>
      <c r="F157" s="226"/>
      <c r="G157" s="7">
        <v>122</v>
      </c>
      <c r="H157" s="7">
        <v>2</v>
      </c>
      <c r="I157" s="7">
        <v>21</v>
      </c>
      <c r="J157" s="7">
        <v>0</v>
      </c>
      <c r="K157" s="7">
        <v>0</v>
      </c>
      <c r="L157" s="7">
        <v>0</v>
      </c>
      <c r="M157" s="97"/>
      <c r="N157" s="323"/>
      <c r="O157" s="323"/>
      <c r="P157" s="323"/>
      <c r="Q157" s="323"/>
      <c r="R157" s="323"/>
      <c r="S157" s="323"/>
      <c r="T157" s="323"/>
      <c r="U157" s="323"/>
      <c r="V157" s="323"/>
      <c r="W157" s="320"/>
      <c r="X157" s="323"/>
      <c r="Y157" s="323"/>
      <c r="Z157" s="323"/>
      <c r="AA157" s="323"/>
      <c r="AB157" s="323"/>
      <c r="AC157" s="323"/>
    </row>
    <row r="158" spans="1:29" ht="23.4" x14ac:dyDescent="0.25">
      <c r="A158" s="159" t="s">
        <v>15</v>
      </c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  <c r="AA158" s="159"/>
      <c r="AB158" s="159"/>
      <c r="AC158" s="159"/>
    </row>
    <row r="159" spans="1:29" ht="23.4" x14ac:dyDescent="0.25">
      <c r="A159" s="159" t="s">
        <v>16</v>
      </c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2"/>
      <c r="Y159" s="160" t="s">
        <v>17</v>
      </c>
      <c r="Z159" s="160"/>
      <c r="AA159" s="2"/>
      <c r="AB159" s="2"/>
      <c r="AC159" s="2"/>
    </row>
    <row r="160" spans="1:29" ht="30.9" customHeight="1" x14ac:dyDescent="0.25">
      <c r="A160" s="326" t="s">
        <v>18</v>
      </c>
      <c r="B160" s="326"/>
      <c r="C160" s="326"/>
      <c r="D160" s="326"/>
      <c r="E160" s="327" t="s">
        <v>84</v>
      </c>
      <c r="F160" s="327"/>
      <c r="G160" s="327"/>
      <c r="H160" s="327"/>
      <c r="I160" s="328" t="s">
        <v>20</v>
      </c>
      <c r="J160" s="328"/>
      <c r="K160" s="329" t="s">
        <v>85</v>
      </c>
      <c r="L160" s="329"/>
      <c r="M160" s="328" t="s">
        <v>21</v>
      </c>
      <c r="N160" s="328"/>
      <c r="O160" s="340" t="s">
        <v>92</v>
      </c>
      <c r="P160" s="340"/>
      <c r="Q160" s="340"/>
      <c r="R160" s="340"/>
      <c r="S160" s="43"/>
      <c r="T160" s="166" t="s">
        <v>22</v>
      </c>
      <c r="U160" s="166"/>
      <c r="V160" s="166"/>
      <c r="W160" s="166"/>
      <c r="X160" s="166"/>
      <c r="Y160" s="152" t="s">
        <v>14</v>
      </c>
      <c r="Z160" s="152"/>
      <c r="AA160" s="152"/>
      <c r="AB160" s="153" t="s">
        <v>83</v>
      </c>
      <c r="AC160" s="153"/>
    </row>
    <row r="161" spans="1:32" ht="15" customHeight="1" x14ac:dyDescent="0.25">
      <c r="T161" s="166"/>
      <c r="U161" s="166"/>
      <c r="V161" s="166"/>
      <c r="W161" s="166"/>
      <c r="X161" s="166"/>
      <c r="Y161" s="152"/>
      <c r="Z161" s="152"/>
      <c r="AA161" s="152"/>
      <c r="AB161" s="153"/>
      <c r="AC161" s="153"/>
    </row>
    <row r="162" spans="1:32" ht="15.6" x14ac:dyDescent="0.25">
      <c r="A162" s="324" t="s">
        <v>24</v>
      </c>
      <c r="B162" s="324"/>
      <c r="C162" s="324"/>
      <c r="D162" s="324"/>
      <c r="E162" s="324"/>
      <c r="F162" s="324"/>
      <c r="G162" s="324"/>
      <c r="H162" s="325" t="s">
        <v>25</v>
      </c>
      <c r="I162" s="325"/>
      <c r="J162" s="325"/>
      <c r="K162" s="325"/>
      <c r="L162" s="325"/>
      <c r="M162" s="325"/>
      <c r="N162" s="325"/>
      <c r="O162" s="73"/>
      <c r="P162" s="73"/>
      <c r="T162" s="156" t="s">
        <v>26</v>
      </c>
      <c r="U162" s="156"/>
      <c r="V162" s="156"/>
      <c r="W162" s="156"/>
      <c r="X162" s="156"/>
      <c r="Y162" s="156"/>
      <c r="Z162" s="265" t="s">
        <v>27</v>
      </c>
      <c r="AA162" s="265"/>
      <c r="AB162" s="265"/>
      <c r="AC162" s="265"/>
    </row>
    <row r="163" spans="1:32" x14ac:dyDescent="0.25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</row>
    <row r="164" spans="1:32" ht="15" customHeight="1" x14ac:dyDescent="0.25">
      <c r="A164" s="284" t="s">
        <v>29</v>
      </c>
      <c r="B164" s="285"/>
      <c r="C164" s="285"/>
      <c r="D164" s="285"/>
      <c r="E164" s="285"/>
      <c r="F164" s="285"/>
      <c r="G164" s="285"/>
      <c r="H164" s="285"/>
      <c r="I164" s="285"/>
      <c r="J164" s="286"/>
      <c r="K164" s="273" t="s">
        <v>30</v>
      </c>
      <c r="L164" s="274"/>
      <c r="M164" s="273" t="s">
        <v>31</v>
      </c>
      <c r="N164" s="274"/>
      <c r="O164" s="287" t="s">
        <v>32</v>
      </c>
      <c r="P164" s="288"/>
      <c r="Q164" s="289"/>
      <c r="R164" s="273" t="s">
        <v>33</v>
      </c>
      <c r="S164" s="296"/>
      <c r="T164" s="274"/>
      <c r="U164" s="224" t="s">
        <v>34</v>
      </c>
      <c r="V164" s="225"/>
      <c r="W164" s="225"/>
      <c r="X164" s="225"/>
      <c r="Y164" s="225"/>
      <c r="Z164" s="225"/>
      <c r="AA164" s="226"/>
      <c r="AB164" s="273" t="s">
        <v>7</v>
      </c>
      <c r="AC164" s="274"/>
    </row>
    <row r="165" spans="1:32" ht="23.25" customHeight="1" x14ac:dyDescent="0.25">
      <c r="A165" s="169" t="s">
        <v>35</v>
      </c>
      <c r="B165" s="173"/>
      <c r="C165" s="173"/>
      <c r="D165" s="173"/>
      <c r="E165" s="173"/>
      <c r="F165" s="173"/>
      <c r="G165" s="173"/>
      <c r="H165" s="173"/>
      <c r="I165" s="173"/>
      <c r="J165" s="170"/>
      <c r="K165" s="275"/>
      <c r="L165" s="276"/>
      <c r="M165" s="275"/>
      <c r="N165" s="276"/>
      <c r="O165" s="290"/>
      <c r="P165" s="291"/>
      <c r="Q165" s="292"/>
      <c r="R165" s="275"/>
      <c r="S165" s="297"/>
      <c r="T165" s="276"/>
      <c r="U165" s="279" t="s">
        <v>36</v>
      </c>
      <c r="V165" s="279"/>
      <c r="W165" s="279"/>
      <c r="X165" s="279" t="s">
        <v>37</v>
      </c>
      <c r="Y165" s="279"/>
      <c r="Z165" s="279" t="s">
        <v>38</v>
      </c>
      <c r="AA165" s="279"/>
      <c r="AB165" s="275"/>
      <c r="AC165" s="276"/>
    </row>
    <row r="166" spans="1:32" x14ac:dyDescent="0.25">
      <c r="A166" s="171"/>
      <c r="B166" s="174"/>
      <c r="C166" s="174"/>
      <c r="D166" s="174"/>
      <c r="E166" s="174"/>
      <c r="F166" s="174"/>
      <c r="G166" s="174"/>
      <c r="H166" s="174"/>
      <c r="I166" s="174"/>
      <c r="J166" s="172"/>
      <c r="K166" s="277"/>
      <c r="L166" s="278"/>
      <c r="M166" s="277"/>
      <c r="N166" s="278"/>
      <c r="O166" s="293"/>
      <c r="P166" s="294"/>
      <c r="Q166" s="295"/>
      <c r="R166" s="277"/>
      <c r="S166" s="298"/>
      <c r="T166" s="278"/>
      <c r="U166" s="280"/>
      <c r="V166" s="280"/>
      <c r="W166" s="280"/>
      <c r="X166" s="280"/>
      <c r="Y166" s="280"/>
      <c r="Z166" s="280"/>
      <c r="AA166" s="280"/>
      <c r="AB166" s="277"/>
      <c r="AC166" s="278"/>
    </row>
    <row r="167" spans="1:32" ht="24.9" customHeight="1" x14ac:dyDescent="0.25">
      <c r="A167" s="281" t="s">
        <v>39</v>
      </c>
      <c r="B167" s="282"/>
      <c r="C167" s="282"/>
      <c r="D167" s="282"/>
      <c r="E167" s="282"/>
      <c r="F167" s="282"/>
      <c r="G167" s="282"/>
      <c r="H167" s="282"/>
      <c r="I167" s="282"/>
      <c r="J167" s="283"/>
      <c r="K167" s="341">
        <v>447</v>
      </c>
      <c r="L167" s="342"/>
      <c r="M167" s="341">
        <v>84</v>
      </c>
      <c r="N167" s="342"/>
      <c r="O167" s="341">
        <v>5</v>
      </c>
      <c r="P167" s="343"/>
      <c r="Q167" s="342"/>
      <c r="R167" s="341">
        <v>536</v>
      </c>
      <c r="S167" s="343"/>
      <c r="T167" s="342"/>
      <c r="U167" s="341">
        <v>2</v>
      </c>
      <c r="V167" s="343"/>
      <c r="W167" s="342"/>
      <c r="X167" s="341">
        <v>9</v>
      </c>
      <c r="Y167" s="342"/>
      <c r="Z167" s="341">
        <v>7</v>
      </c>
      <c r="AA167" s="342"/>
      <c r="AB167" s="341">
        <v>554</v>
      </c>
      <c r="AC167" s="342"/>
    </row>
    <row r="168" spans="1:32" ht="24.9" customHeight="1" x14ac:dyDescent="0.25">
      <c r="A168" s="281" t="s">
        <v>40</v>
      </c>
      <c r="B168" s="282"/>
      <c r="C168" s="282"/>
      <c r="D168" s="282"/>
      <c r="E168" s="282"/>
      <c r="F168" s="282"/>
      <c r="G168" s="282"/>
      <c r="H168" s="282"/>
      <c r="I168" s="282"/>
      <c r="J168" s="283"/>
      <c r="K168" s="341">
        <v>595</v>
      </c>
      <c r="L168" s="342"/>
      <c r="M168" s="341">
        <v>142</v>
      </c>
      <c r="N168" s="342"/>
      <c r="O168" s="341">
        <v>2</v>
      </c>
      <c r="P168" s="343"/>
      <c r="Q168" s="342"/>
      <c r="R168" s="341">
        <v>739</v>
      </c>
      <c r="S168" s="343"/>
      <c r="T168" s="342"/>
      <c r="U168" s="341">
        <v>0</v>
      </c>
      <c r="V168" s="343"/>
      <c r="W168" s="342"/>
      <c r="X168" s="341">
        <v>13</v>
      </c>
      <c r="Y168" s="342"/>
      <c r="Z168" s="341">
        <v>16</v>
      </c>
      <c r="AA168" s="342"/>
      <c r="AB168" s="341">
        <v>768</v>
      </c>
      <c r="AC168" s="342"/>
    </row>
    <row r="169" spans="1:32" ht="24.9" customHeight="1" x14ac:dyDescent="0.25">
      <c r="A169" s="281" t="s">
        <v>41</v>
      </c>
      <c r="B169" s="282"/>
      <c r="C169" s="282"/>
      <c r="D169" s="282"/>
      <c r="E169" s="282"/>
      <c r="F169" s="282"/>
      <c r="G169" s="282"/>
      <c r="H169" s="282"/>
      <c r="I169" s="282"/>
      <c r="J169" s="283"/>
      <c r="K169" s="341">
        <v>16</v>
      </c>
      <c r="L169" s="342"/>
      <c r="M169" s="341">
        <v>1</v>
      </c>
      <c r="N169" s="342"/>
      <c r="O169" s="341">
        <v>0</v>
      </c>
      <c r="P169" s="343"/>
      <c r="Q169" s="342"/>
      <c r="R169" s="341">
        <v>17</v>
      </c>
      <c r="S169" s="343"/>
      <c r="T169" s="342"/>
      <c r="U169" s="341">
        <v>0</v>
      </c>
      <c r="V169" s="343"/>
      <c r="W169" s="342"/>
      <c r="X169" s="341">
        <v>0</v>
      </c>
      <c r="Y169" s="342"/>
      <c r="Z169" s="341">
        <v>0</v>
      </c>
      <c r="AA169" s="342"/>
      <c r="AB169" s="341">
        <v>17</v>
      </c>
      <c r="AC169" s="342"/>
    </row>
    <row r="170" spans="1:32" ht="24.9" customHeight="1" x14ac:dyDescent="0.25">
      <c r="A170" s="281" t="s">
        <v>42</v>
      </c>
      <c r="B170" s="282"/>
      <c r="C170" s="282"/>
      <c r="D170" s="282"/>
      <c r="E170" s="282"/>
      <c r="F170" s="282"/>
      <c r="G170" s="282"/>
      <c r="H170" s="282"/>
      <c r="I170" s="282"/>
      <c r="J170" s="283"/>
      <c r="K170" s="341">
        <v>284</v>
      </c>
      <c r="L170" s="342"/>
      <c r="M170" s="341">
        <v>15</v>
      </c>
      <c r="N170" s="342"/>
      <c r="O170" s="341">
        <v>3</v>
      </c>
      <c r="P170" s="343"/>
      <c r="Q170" s="342"/>
      <c r="R170" s="341">
        <v>302</v>
      </c>
      <c r="S170" s="343"/>
      <c r="T170" s="342"/>
      <c r="U170" s="341">
        <v>0</v>
      </c>
      <c r="V170" s="343"/>
      <c r="W170" s="342"/>
      <c r="X170" s="341">
        <v>1</v>
      </c>
      <c r="Y170" s="342"/>
      <c r="Z170" s="341">
        <v>29</v>
      </c>
      <c r="AA170" s="342"/>
      <c r="AB170" s="341">
        <v>332</v>
      </c>
      <c r="AC170" s="342"/>
    </row>
    <row r="171" spans="1:32" ht="24.9" customHeight="1" x14ac:dyDescent="0.25">
      <c r="A171" s="281" t="s">
        <v>7</v>
      </c>
      <c r="B171" s="282"/>
      <c r="C171" s="282"/>
      <c r="D171" s="282"/>
      <c r="E171" s="282"/>
      <c r="F171" s="282"/>
      <c r="G171" s="282"/>
      <c r="H171" s="282"/>
      <c r="I171" s="282"/>
      <c r="J171" s="283"/>
      <c r="K171" s="341">
        <v>1342</v>
      </c>
      <c r="L171" s="342"/>
      <c r="M171" s="341">
        <v>242</v>
      </c>
      <c r="N171" s="342"/>
      <c r="O171" s="341">
        <v>10</v>
      </c>
      <c r="P171" s="343"/>
      <c r="Q171" s="342"/>
      <c r="R171" s="341">
        <v>1594</v>
      </c>
      <c r="S171" s="343"/>
      <c r="T171" s="342"/>
      <c r="U171" s="341">
        <v>2</v>
      </c>
      <c r="V171" s="343"/>
      <c r="W171" s="342"/>
      <c r="X171" s="341">
        <v>23</v>
      </c>
      <c r="Y171" s="342"/>
      <c r="Z171" s="341">
        <v>52</v>
      </c>
      <c r="AA171" s="342"/>
      <c r="AB171" s="341">
        <v>1671</v>
      </c>
      <c r="AC171" s="342"/>
    </row>
    <row r="172" spans="1:32" ht="15.6" x14ac:dyDescent="0.25">
      <c r="A172" s="75" t="s">
        <v>43</v>
      </c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7"/>
      <c r="V172" s="77"/>
      <c r="W172" s="77"/>
      <c r="X172" s="77"/>
      <c r="Y172" s="77"/>
      <c r="Z172" s="77"/>
      <c r="AA172" s="77"/>
      <c r="AB172" s="77"/>
      <c r="AC172" s="78"/>
    </row>
    <row r="173" spans="1:32" ht="21.75" customHeight="1" x14ac:dyDescent="0.25">
      <c r="A173" s="331"/>
      <c r="B173" s="332"/>
      <c r="C173" s="332"/>
      <c r="D173" s="332"/>
      <c r="E173" s="332"/>
      <c r="F173" s="332"/>
      <c r="G173" s="332"/>
      <c r="H173" s="332"/>
      <c r="I173" s="332"/>
      <c r="J173" s="333"/>
      <c r="K173" s="224" t="s">
        <v>0</v>
      </c>
      <c r="L173" s="226"/>
      <c r="M173" s="305" t="s">
        <v>1</v>
      </c>
      <c r="N173" s="306"/>
      <c r="O173" s="301" t="s">
        <v>2</v>
      </c>
      <c r="P173" s="302"/>
      <c r="Q173" s="301" t="s">
        <v>3</v>
      </c>
      <c r="R173" s="302"/>
      <c r="S173" s="301" t="s">
        <v>4</v>
      </c>
      <c r="T173" s="302"/>
      <c r="U173" s="301" t="s">
        <v>5</v>
      </c>
      <c r="V173" s="302"/>
      <c r="W173" s="301" t="s">
        <v>6</v>
      </c>
      <c r="X173" s="302"/>
      <c r="Y173" s="301" t="s">
        <v>44</v>
      </c>
      <c r="Z173" s="302"/>
      <c r="AA173" s="301" t="s">
        <v>7</v>
      </c>
      <c r="AB173" s="302"/>
      <c r="AC173" s="303" t="s">
        <v>86</v>
      </c>
      <c r="AD173" s="5"/>
      <c r="AE173" s="6"/>
      <c r="AF173" s="6"/>
    </row>
    <row r="174" spans="1:32" x14ac:dyDescent="0.25">
      <c r="A174" s="334"/>
      <c r="B174" s="335"/>
      <c r="C174" s="335"/>
      <c r="D174" s="335"/>
      <c r="E174" s="335"/>
      <c r="F174" s="335"/>
      <c r="G174" s="335"/>
      <c r="H174" s="335"/>
      <c r="I174" s="335"/>
      <c r="J174" s="336"/>
      <c r="K174" s="7" t="s">
        <v>9</v>
      </c>
      <c r="L174" s="7" t="s">
        <v>10</v>
      </c>
      <c r="M174" s="7" t="s">
        <v>9</v>
      </c>
      <c r="N174" s="7" t="s">
        <v>10</v>
      </c>
      <c r="O174" s="7" t="s">
        <v>9</v>
      </c>
      <c r="P174" s="7" t="s">
        <v>10</v>
      </c>
      <c r="Q174" s="7" t="s">
        <v>9</v>
      </c>
      <c r="R174" s="7" t="s">
        <v>10</v>
      </c>
      <c r="S174" s="7" t="s">
        <v>9</v>
      </c>
      <c r="T174" s="7" t="s">
        <v>10</v>
      </c>
      <c r="U174" s="7" t="s">
        <v>9</v>
      </c>
      <c r="V174" s="7" t="s">
        <v>10</v>
      </c>
      <c r="W174" s="7" t="s">
        <v>9</v>
      </c>
      <c r="X174" s="7" t="s">
        <v>10</v>
      </c>
      <c r="Y174" s="7" t="s">
        <v>9</v>
      </c>
      <c r="Z174" s="7" t="s">
        <v>10</v>
      </c>
      <c r="AA174" s="7" t="s">
        <v>9</v>
      </c>
      <c r="AB174" s="7" t="s">
        <v>10</v>
      </c>
      <c r="AC174" s="304"/>
    </row>
    <row r="175" spans="1:32" ht="18" customHeight="1" x14ac:dyDescent="0.25">
      <c r="A175" s="281" t="s">
        <v>39</v>
      </c>
      <c r="B175" s="282"/>
      <c r="C175" s="282"/>
      <c r="D175" s="282"/>
      <c r="E175" s="282"/>
      <c r="F175" s="282"/>
      <c r="G175" s="282"/>
      <c r="H175" s="282"/>
      <c r="I175" s="282"/>
      <c r="J175" s="283"/>
      <c r="K175" s="71">
        <v>1</v>
      </c>
      <c r="L175" s="71">
        <v>1</v>
      </c>
      <c r="M175" s="71">
        <v>6</v>
      </c>
      <c r="N175" s="71">
        <v>34</v>
      </c>
      <c r="O175" s="71">
        <v>57</v>
      </c>
      <c r="P175" s="71">
        <v>90</v>
      </c>
      <c r="Q175" s="71">
        <v>52</v>
      </c>
      <c r="R175" s="71">
        <v>47</v>
      </c>
      <c r="S175" s="71">
        <v>43</v>
      </c>
      <c r="T175" s="71">
        <v>37</v>
      </c>
      <c r="U175" s="71">
        <v>49</v>
      </c>
      <c r="V175" s="71">
        <v>29</v>
      </c>
      <c r="W175" s="71">
        <v>20</v>
      </c>
      <c r="X175" s="71">
        <v>26</v>
      </c>
      <c r="Y175" s="71">
        <v>31</v>
      </c>
      <c r="Z175" s="71">
        <v>13</v>
      </c>
      <c r="AA175" s="71">
        <v>259</v>
      </c>
      <c r="AB175" s="71">
        <v>277</v>
      </c>
      <c r="AC175" s="71">
        <v>536</v>
      </c>
    </row>
    <row r="176" spans="1:32" ht="18" customHeight="1" x14ac:dyDescent="0.25">
      <c r="A176" s="281" t="s">
        <v>40</v>
      </c>
      <c r="B176" s="282"/>
      <c r="C176" s="282"/>
      <c r="D176" s="282"/>
      <c r="E176" s="282"/>
      <c r="F176" s="282"/>
      <c r="G176" s="282"/>
      <c r="H176" s="282"/>
      <c r="I176" s="282"/>
      <c r="J176" s="283"/>
      <c r="K176" s="71">
        <v>3</v>
      </c>
      <c r="L176" s="71">
        <v>3</v>
      </c>
      <c r="M176" s="71">
        <v>18</v>
      </c>
      <c r="N176" s="71">
        <v>43</v>
      </c>
      <c r="O176" s="71">
        <v>62</v>
      </c>
      <c r="P176" s="71">
        <v>104</v>
      </c>
      <c r="Q176" s="71">
        <v>54</v>
      </c>
      <c r="R176" s="71">
        <v>85</v>
      </c>
      <c r="S176" s="71">
        <v>60</v>
      </c>
      <c r="T176" s="71">
        <v>48</v>
      </c>
      <c r="U176" s="71">
        <v>55</v>
      </c>
      <c r="V176" s="71">
        <v>38</v>
      </c>
      <c r="W176" s="71">
        <v>55</v>
      </c>
      <c r="X176" s="71">
        <v>28</v>
      </c>
      <c r="Y176" s="71">
        <v>54</v>
      </c>
      <c r="Z176" s="71">
        <v>29</v>
      </c>
      <c r="AA176" s="71">
        <v>361</v>
      </c>
      <c r="AB176" s="71">
        <v>378</v>
      </c>
      <c r="AC176" s="71">
        <v>739</v>
      </c>
    </row>
    <row r="177" spans="1:29" ht="18" customHeight="1" x14ac:dyDescent="0.25">
      <c r="A177" s="281" t="s">
        <v>41</v>
      </c>
      <c r="B177" s="282"/>
      <c r="C177" s="282"/>
      <c r="D177" s="282"/>
      <c r="E177" s="282"/>
      <c r="F177" s="282"/>
      <c r="G177" s="282"/>
      <c r="H177" s="282"/>
      <c r="I177" s="282"/>
      <c r="J177" s="283"/>
      <c r="K177" s="71">
        <v>0</v>
      </c>
      <c r="L177" s="71">
        <v>0</v>
      </c>
      <c r="M177" s="71">
        <v>0</v>
      </c>
      <c r="N177" s="71">
        <v>0</v>
      </c>
      <c r="O177" s="71">
        <v>1</v>
      </c>
      <c r="P177" s="71">
        <v>1</v>
      </c>
      <c r="Q177" s="71">
        <v>3</v>
      </c>
      <c r="R177" s="71">
        <v>1</v>
      </c>
      <c r="S177" s="71">
        <v>2</v>
      </c>
      <c r="T177" s="71">
        <v>3</v>
      </c>
      <c r="U177" s="71">
        <v>3</v>
      </c>
      <c r="V177" s="71">
        <v>0</v>
      </c>
      <c r="W177" s="71">
        <v>1</v>
      </c>
      <c r="X177" s="71">
        <v>1</v>
      </c>
      <c r="Y177" s="71">
        <v>1</v>
      </c>
      <c r="Z177" s="71">
        <v>0</v>
      </c>
      <c r="AA177" s="71">
        <v>11</v>
      </c>
      <c r="AB177" s="71">
        <v>6</v>
      </c>
      <c r="AC177" s="71">
        <v>17</v>
      </c>
    </row>
    <row r="178" spans="1:29" ht="18" customHeight="1" x14ac:dyDescent="0.25">
      <c r="A178" s="281" t="s">
        <v>42</v>
      </c>
      <c r="B178" s="282"/>
      <c r="C178" s="282"/>
      <c r="D178" s="282"/>
      <c r="E178" s="282"/>
      <c r="F178" s="282"/>
      <c r="G178" s="282"/>
      <c r="H178" s="282"/>
      <c r="I178" s="282"/>
      <c r="J178" s="283"/>
      <c r="K178" s="71">
        <v>1</v>
      </c>
      <c r="L178" s="71">
        <v>0</v>
      </c>
      <c r="M178" s="71">
        <v>13</v>
      </c>
      <c r="N178" s="71">
        <v>25</v>
      </c>
      <c r="O178" s="71">
        <v>26</v>
      </c>
      <c r="P178" s="71">
        <v>53</v>
      </c>
      <c r="Q178" s="71">
        <v>21</v>
      </c>
      <c r="R178" s="71">
        <v>32</v>
      </c>
      <c r="S178" s="71">
        <v>19</v>
      </c>
      <c r="T178" s="71">
        <v>45</v>
      </c>
      <c r="U178" s="71">
        <v>14</v>
      </c>
      <c r="V178" s="71">
        <v>20</v>
      </c>
      <c r="W178" s="71">
        <v>13</v>
      </c>
      <c r="X178" s="71">
        <v>4</v>
      </c>
      <c r="Y178" s="71">
        <v>8</v>
      </c>
      <c r="Z178" s="71">
        <v>8</v>
      </c>
      <c r="AA178" s="71">
        <v>115</v>
      </c>
      <c r="AB178" s="71">
        <v>187</v>
      </c>
      <c r="AC178" s="71">
        <v>302</v>
      </c>
    </row>
    <row r="179" spans="1:29" ht="18" customHeight="1" x14ac:dyDescent="0.25">
      <c r="A179" s="224" t="s">
        <v>7</v>
      </c>
      <c r="B179" s="225"/>
      <c r="C179" s="225"/>
      <c r="D179" s="225"/>
      <c r="E179" s="225"/>
      <c r="F179" s="225"/>
      <c r="G179" s="225"/>
      <c r="H179" s="225"/>
      <c r="I179" s="225"/>
      <c r="J179" s="226"/>
      <c r="K179" s="71">
        <v>5</v>
      </c>
      <c r="L179" s="71">
        <v>4</v>
      </c>
      <c r="M179" s="71">
        <v>37</v>
      </c>
      <c r="N179" s="71">
        <v>102</v>
      </c>
      <c r="O179" s="71">
        <v>146</v>
      </c>
      <c r="P179" s="71">
        <v>248</v>
      </c>
      <c r="Q179" s="71">
        <v>130</v>
      </c>
      <c r="R179" s="71">
        <v>165</v>
      </c>
      <c r="S179" s="71">
        <v>124</v>
      </c>
      <c r="T179" s="71">
        <v>133</v>
      </c>
      <c r="U179" s="71">
        <v>121</v>
      </c>
      <c r="V179" s="71">
        <v>87</v>
      </c>
      <c r="W179" s="71">
        <v>89</v>
      </c>
      <c r="X179" s="71">
        <v>59</v>
      </c>
      <c r="Y179" s="71">
        <v>94</v>
      </c>
      <c r="Z179" s="71">
        <v>50</v>
      </c>
      <c r="AA179" s="71">
        <v>746</v>
      </c>
      <c r="AB179" s="71">
        <v>848</v>
      </c>
      <c r="AC179" s="71">
        <v>1594</v>
      </c>
    </row>
    <row r="180" spans="1:29" ht="6.75" customHeight="1" x14ac:dyDescent="0.25">
      <c r="A180" s="79"/>
      <c r="B180" s="80"/>
      <c r="C180" s="80"/>
      <c r="D180" s="80"/>
      <c r="E180" s="80"/>
      <c r="F180" s="81"/>
      <c r="G180" s="82"/>
      <c r="H180" s="82"/>
      <c r="I180" s="82"/>
      <c r="J180" s="82"/>
      <c r="K180" s="82"/>
      <c r="L180" s="82"/>
      <c r="M180" s="83"/>
      <c r="N180" s="82"/>
      <c r="O180" s="100"/>
      <c r="P180" s="82"/>
      <c r="Q180" s="84"/>
      <c r="R180" s="82"/>
      <c r="S180" s="82"/>
      <c r="T180" s="82"/>
      <c r="U180" s="82"/>
      <c r="V180" s="82"/>
      <c r="W180" s="82"/>
      <c r="X180" s="82"/>
      <c r="Y180" s="82"/>
      <c r="Z180" s="82"/>
      <c r="AA180" s="82"/>
      <c r="AB180" s="82"/>
      <c r="AC180" s="85"/>
    </row>
    <row r="181" spans="1:29" ht="18" customHeight="1" x14ac:dyDescent="0.25">
      <c r="A181" s="86" t="s">
        <v>45</v>
      </c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8"/>
      <c r="M181" s="89"/>
      <c r="N181" s="86" t="s">
        <v>46</v>
      </c>
      <c r="O181" s="87"/>
      <c r="P181" s="87"/>
      <c r="Q181" s="87"/>
      <c r="R181" s="87"/>
      <c r="S181" s="90"/>
      <c r="T181" s="90"/>
      <c r="U181" s="90"/>
      <c r="V181" s="90"/>
      <c r="W181" s="90"/>
      <c r="X181" s="90"/>
      <c r="Y181" s="90"/>
      <c r="Z181" s="90"/>
      <c r="AA181" s="90"/>
      <c r="AB181" s="90"/>
      <c r="AC181" s="91"/>
    </row>
    <row r="182" spans="1:29" ht="45" customHeight="1" x14ac:dyDescent="0.25">
      <c r="A182" s="307" t="s">
        <v>47</v>
      </c>
      <c r="B182" s="312" t="s">
        <v>48</v>
      </c>
      <c r="C182" s="313"/>
      <c r="D182" s="314" t="s">
        <v>49</v>
      </c>
      <c r="E182" s="315"/>
      <c r="F182" s="316"/>
      <c r="G182" s="314" t="s">
        <v>50</v>
      </c>
      <c r="H182" s="315"/>
      <c r="I182" s="315"/>
      <c r="J182" s="316"/>
      <c r="K182" s="307" t="s">
        <v>51</v>
      </c>
      <c r="L182" s="307" t="s">
        <v>52</v>
      </c>
      <c r="M182" s="20"/>
      <c r="N182" s="309" t="s">
        <v>53</v>
      </c>
      <c r="O182" s="310"/>
      <c r="P182" s="311"/>
      <c r="Q182" s="309" t="s">
        <v>54</v>
      </c>
      <c r="R182" s="310"/>
      <c r="S182" s="311"/>
      <c r="T182" s="309" t="s">
        <v>55</v>
      </c>
      <c r="U182" s="310"/>
      <c r="V182" s="310"/>
      <c r="W182" s="310"/>
      <c r="X182" s="310"/>
      <c r="Y182" s="310"/>
      <c r="Z182" s="310"/>
      <c r="AA182" s="310"/>
      <c r="AB182" s="310"/>
      <c r="AC182" s="311"/>
    </row>
    <row r="183" spans="1:29" ht="48" customHeight="1" x14ac:dyDescent="0.25">
      <c r="A183" s="308"/>
      <c r="B183" s="21" t="s">
        <v>7</v>
      </c>
      <c r="C183" s="22" t="s">
        <v>87</v>
      </c>
      <c r="D183" s="22" t="s">
        <v>56</v>
      </c>
      <c r="E183" s="22" t="s">
        <v>88</v>
      </c>
      <c r="F183" s="22" t="s">
        <v>89</v>
      </c>
      <c r="G183" s="23" t="s">
        <v>56</v>
      </c>
      <c r="H183" s="22" t="s">
        <v>90</v>
      </c>
      <c r="I183" s="23" t="s">
        <v>57</v>
      </c>
      <c r="J183" s="23" t="s">
        <v>58</v>
      </c>
      <c r="K183" s="308"/>
      <c r="L183" s="308"/>
      <c r="M183" s="20"/>
      <c r="N183" s="309">
        <v>597</v>
      </c>
      <c r="O183" s="310"/>
      <c r="P183" s="311"/>
      <c r="Q183" s="287">
        <v>4</v>
      </c>
      <c r="R183" s="288"/>
      <c r="S183" s="289"/>
      <c r="T183" s="309">
        <v>4</v>
      </c>
      <c r="U183" s="310"/>
      <c r="V183" s="310"/>
      <c r="W183" s="310"/>
      <c r="X183" s="310"/>
      <c r="Y183" s="310"/>
      <c r="Z183" s="310"/>
      <c r="AA183" s="310"/>
      <c r="AB183" s="310"/>
      <c r="AC183" s="311"/>
    </row>
    <row r="184" spans="1:29" ht="38.25" customHeight="1" x14ac:dyDescent="0.25">
      <c r="A184" s="270">
        <v>24041</v>
      </c>
      <c r="B184" s="270">
        <v>3421</v>
      </c>
      <c r="C184" s="270">
        <v>64</v>
      </c>
      <c r="D184" s="270">
        <v>335</v>
      </c>
      <c r="E184" s="270">
        <v>1446</v>
      </c>
      <c r="F184" s="270">
        <v>1059</v>
      </c>
      <c r="G184" s="270">
        <v>31</v>
      </c>
      <c r="H184" s="270">
        <v>251</v>
      </c>
      <c r="I184" s="270">
        <v>273</v>
      </c>
      <c r="J184" s="270">
        <v>555</v>
      </c>
      <c r="K184" s="270">
        <v>450</v>
      </c>
      <c r="L184" s="270">
        <v>640</v>
      </c>
      <c r="M184" s="20"/>
      <c r="N184" s="309" t="s">
        <v>59</v>
      </c>
      <c r="O184" s="310"/>
      <c r="P184" s="311"/>
      <c r="Q184" s="309" t="s">
        <v>60</v>
      </c>
      <c r="R184" s="310"/>
      <c r="S184" s="311"/>
      <c r="T184" s="293" t="s">
        <v>61</v>
      </c>
      <c r="U184" s="294"/>
      <c r="V184" s="294"/>
      <c r="W184" s="295"/>
      <c r="X184" s="293" t="s">
        <v>62</v>
      </c>
      <c r="Y184" s="294"/>
      <c r="Z184" s="294"/>
      <c r="AA184" s="294"/>
      <c r="AB184" s="294"/>
      <c r="AC184" s="295"/>
    </row>
    <row r="185" spans="1:29" ht="19.5" customHeight="1" x14ac:dyDescent="0.25">
      <c r="A185" s="271"/>
      <c r="B185" s="271"/>
      <c r="C185" s="271"/>
      <c r="D185" s="271"/>
      <c r="E185" s="271"/>
      <c r="F185" s="271"/>
      <c r="G185" s="271"/>
      <c r="H185" s="271"/>
      <c r="I185" s="271"/>
      <c r="J185" s="271"/>
      <c r="K185" s="271"/>
      <c r="L185" s="271"/>
      <c r="M185" s="20"/>
      <c r="N185" s="287">
        <v>1</v>
      </c>
      <c r="O185" s="288"/>
      <c r="P185" s="289"/>
      <c r="Q185" s="287">
        <v>0</v>
      </c>
      <c r="R185" s="288"/>
      <c r="S185" s="289"/>
      <c r="T185" s="287">
        <v>0</v>
      </c>
      <c r="U185" s="288"/>
      <c r="V185" s="288"/>
      <c r="W185" s="289"/>
      <c r="X185" s="24"/>
      <c r="Y185" s="309" t="s">
        <v>0</v>
      </c>
      <c r="Z185" s="311"/>
      <c r="AA185" s="25" t="s">
        <v>1</v>
      </c>
      <c r="AB185" s="309" t="s">
        <v>63</v>
      </c>
      <c r="AC185" s="311"/>
    </row>
    <row r="186" spans="1:29" ht="18" customHeight="1" x14ac:dyDescent="0.25">
      <c r="A186" s="271"/>
      <c r="B186" s="271"/>
      <c r="C186" s="271"/>
      <c r="D186" s="271"/>
      <c r="E186" s="271"/>
      <c r="F186" s="271"/>
      <c r="G186" s="271"/>
      <c r="H186" s="271"/>
      <c r="I186" s="271"/>
      <c r="J186" s="271"/>
      <c r="K186" s="271"/>
      <c r="L186" s="271"/>
      <c r="M186" s="20"/>
      <c r="N186" s="290"/>
      <c r="O186" s="291"/>
      <c r="P186" s="292"/>
      <c r="Q186" s="290"/>
      <c r="R186" s="291"/>
      <c r="S186" s="292"/>
      <c r="T186" s="290"/>
      <c r="U186" s="291"/>
      <c r="V186" s="291"/>
      <c r="W186" s="292"/>
      <c r="X186" s="26" t="s">
        <v>64</v>
      </c>
      <c r="Y186" s="317">
        <v>0</v>
      </c>
      <c r="Z186" s="317"/>
      <c r="AA186" s="25">
        <v>0</v>
      </c>
      <c r="AB186" s="317">
        <v>0</v>
      </c>
      <c r="AC186" s="317"/>
    </row>
    <row r="187" spans="1:29" ht="18" customHeight="1" x14ac:dyDescent="0.25">
      <c r="A187" s="271"/>
      <c r="B187" s="271"/>
      <c r="C187" s="271"/>
      <c r="D187" s="271"/>
      <c r="E187" s="271"/>
      <c r="F187" s="271"/>
      <c r="G187" s="271"/>
      <c r="H187" s="271"/>
      <c r="I187" s="271"/>
      <c r="J187" s="271"/>
      <c r="K187" s="271"/>
      <c r="L187" s="271"/>
      <c r="M187" s="20"/>
      <c r="N187" s="290"/>
      <c r="O187" s="291"/>
      <c r="P187" s="292"/>
      <c r="Q187" s="290"/>
      <c r="R187" s="291"/>
      <c r="S187" s="292"/>
      <c r="T187" s="290"/>
      <c r="U187" s="291"/>
      <c r="V187" s="291"/>
      <c r="W187" s="292"/>
      <c r="X187" s="26" t="s">
        <v>65</v>
      </c>
      <c r="Y187" s="317">
        <v>0</v>
      </c>
      <c r="Z187" s="317"/>
      <c r="AA187" s="25">
        <v>0</v>
      </c>
      <c r="AB187" s="317">
        <v>18</v>
      </c>
      <c r="AC187" s="317"/>
    </row>
    <row r="188" spans="1:29" ht="18" customHeight="1" x14ac:dyDescent="0.25">
      <c r="A188" s="272"/>
      <c r="B188" s="272"/>
      <c r="C188" s="272"/>
      <c r="D188" s="272"/>
      <c r="E188" s="272"/>
      <c r="F188" s="272"/>
      <c r="G188" s="272"/>
      <c r="H188" s="272"/>
      <c r="I188" s="272"/>
      <c r="J188" s="272"/>
      <c r="K188" s="272"/>
      <c r="L188" s="272"/>
      <c r="M188" s="20"/>
      <c r="N188" s="293"/>
      <c r="O188" s="294"/>
      <c r="P188" s="295"/>
      <c r="Q188" s="293"/>
      <c r="R188" s="294"/>
      <c r="S188" s="295"/>
      <c r="T188" s="293"/>
      <c r="U188" s="294"/>
      <c r="V188" s="294"/>
      <c r="W188" s="295"/>
      <c r="X188" s="26" t="s">
        <v>66</v>
      </c>
      <c r="Y188" s="317">
        <v>0</v>
      </c>
      <c r="Z188" s="317"/>
      <c r="AA188" s="25">
        <v>0</v>
      </c>
      <c r="AB188" s="317">
        <v>0</v>
      </c>
      <c r="AC188" s="317"/>
    </row>
    <row r="189" spans="1:29" ht="8.25" customHeight="1" x14ac:dyDescent="0.25">
      <c r="A189" s="27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92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78"/>
    </row>
    <row r="190" spans="1:29" ht="18" customHeight="1" x14ac:dyDescent="0.25">
      <c r="A190" s="86" t="s">
        <v>67</v>
      </c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8"/>
      <c r="M190" s="93"/>
      <c r="N190" s="86" t="s">
        <v>68</v>
      </c>
      <c r="O190" s="88"/>
      <c r="P190" s="87"/>
      <c r="Q190" s="94"/>
      <c r="R190" s="87"/>
      <c r="S190" s="87"/>
      <c r="T190" s="87"/>
      <c r="U190" s="87"/>
      <c r="V190" s="87"/>
      <c r="W190" s="87"/>
      <c r="X190" s="87"/>
      <c r="Y190" s="87"/>
      <c r="Z190" s="87"/>
      <c r="AA190" s="90"/>
      <c r="AB190" s="90"/>
      <c r="AC190" s="95"/>
    </row>
    <row r="191" spans="1:29" ht="57" customHeight="1" x14ac:dyDescent="0.25">
      <c r="A191" s="331"/>
      <c r="B191" s="332"/>
      <c r="C191" s="332"/>
      <c r="D191" s="332"/>
      <c r="E191" s="332"/>
      <c r="F191" s="333"/>
      <c r="G191" s="224" t="s">
        <v>11</v>
      </c>
      <c r="H191" s="226"/>
      <c r="I191" s="224" t="s">
        <v>12</v>
      </c>
      <c r="J191" s="226"/>
      <c r="K191" s="33" t="s">
        <v>69</v>
      </c>
      <c r="L191" s="34"/>
      <c r="M191" s="96"/>
      <c r="N191" s="314" t="s">
        <v>70</v>
      </c>
      <c r="O191" s="315"/>
      <c r="P191" s="316"/>
      <c r="Q191" s="314" t="s">
        <v>71</v>
      </c>
      <c r="R191" s="315"/>
      <c r="S191" s="316"/>
      <c r="T191" s="314" t="s">
        <v>72</v>
      </c>
      <c r="U191" s="315"/>
      <c r="V191" s="316"/>
      <c r="W191" s="314" t="s">
        <v>73</v>
      </c>
      <c r="X191" s="315"/>
      <c r="Y191" s="315"/>
      <c r="Z191" s="316"/>
      <c r="AA191" s="314" t="s">
        <v>74</v>
      </c>
      <c r="AB191" s="315"/>
      <c r="AC191" s="316"/>
    </row>
    <row r="192" spans="1:29" ht="13.5" customHeight="1" x14ac:dyDescent="0.25">
      <c r="A192" s="334"/>
      <c r="B192" s="335"/>
      <c r="C192" s="335"/>
      <c r="D192" s="335"/>
      <c r="E192" s="335"/>
      <c r="F192" s="336"/>
      <c r="G192" s="7" t="s">
        <v>75</v>
      </c>
      <c r="H192" s="7" t="s">
        <v>13</v>
      </c>
      <c r="I192" s="7" t="s">
        <v>75</v>
      </c>
      <c r="J192" s="7" t="s">
        <v>13</v>
      </c>
      <c r="K192" s="7" t="s">
        <v>75</v>
      </c>
      <c r="L192" s="7" t="s">
        <v>13</v>
      </c>
      <c r="M192" s="97"/>
      <c r="N192" s="37" t="s">
        <v>0</v>
      </c>
      <c r="O192" s="98" t="s">
        <v>1</v>
      </c>
      <c r="P192" s="98" t="s">
        <v>91</v>
      </c>
      <c r="Q192" s="37" t="s">
        <v>0</v>
      </c>
      <c r="R192" s="98" t="s">
        <v>1</v>
      </c>
      <c r="S192" s="98" t="s">
        <v>91</v>
      </c>
      <c r="T192" s="37" t="s">
        <v>0</v>
      </c>
      <c r="U192" s="98" t="s">
        <v>1</v>
      </c>
      <c r="V192" s="98" t="s">
        <v>91</v>
      </c>
      <c r="W192" s="37"/>
      <c r="X192" s="37" t="s">
        <v>0</v>
      </c>
      <c r="Y192" s="99" t="s">
        <v>1</v>
      </c>
      <c r="Z192" s="39" t="s">
        <v>76</v>
      </c>
      <c r="AA192" s="37" t="s">
        <v>0</v>
      </c>
      <c r="AB192" s="99" t="s">
        <v>1</v>
      </c>
      <c r="AC192" s="39" t="s">
        <v>76</v>
      </c>
    </row>
    <row r="193" spans="1:29" ht="24.9" customHeight="1" x14ac:dyDescent="0.25">
      <c r="A193" s="224" t="s">
        <v>77</v>
      </c>
      <c r="B193" s="225"/>
      <c r="C193" s="225"/>
      <c r="D193" s="225"/>
      <c r="E193" s="225"/>
      <c r="F193" s="226"/>
      <c r="G193" s="7">
        <v>431</v>
      </c>
      <c r="H193" s="7">
        <v>1</v>
      </c>
      <c r="I193" s="7">
        <v>16</v>
      </c>
      <c r="J193" s="7">
        <v>0</v>
      </c>
      <c r="K193" s="7">
        <v>0</v>
      </c>
      <c r="L193" s="7">
        <v>0</v>
      </c>
      <c r="M193" s="97"/>
      <c r="N193" s="344">
        <v>344</v>
      </c>
      <c r="O193" s="344">
        <v>819</v>
      </c>
      <c r="P193" s="344">
        <v>2660</v>
      </c>
      <c r="Q193" s="344">
        <v>157</v>
      </c>
      <c r="R193" s="344">
        <v>472</v>
      </c>
      <c r="S193" s="344">
        <v>1187</v>
      </c>
      <c r="T193" s="344">
        <v>1</v>
      </c>
      <c r="U193" s="344">
        <v>11</v>
      </c>
      <c r="V193" s="344">
        <v>34</v>
      </c>
      <c r="W193" s="40" t="s">
        <v>64</v>
      </c>
      <c r="X193" s="7">
        <v>26</v>
      </c>
      <c r="Y193" s="7">
        <v>8</v>
      </c>
      <c r="Z193" s="7">
        <v>13</v>
      </c>
      <c r="AA193" s="7">
        <v>0</v>
      </c>
      <c r="AB193" s="7">
        <v>0</v>
      </c>
      <c r="AC193" s="7">
        <v>0</v>
      </c>
    </row>
    <row r="194" spans="1:29" ht="24.9" customHeight="1" x14ac:dyDescent="0.25">
      <c r="A194" s="224" t="s">
        <v>8</v>
      </c>
      <c r="B194" s="225"/>
      <c r="C194" s="225"/>
      <c r="D194" s="225"/>
      <c r="E194" s="225"/>
      <c r="F194" s="226"/>
      <c r="G194" s="7">
        <v>77</v>
      </c>
      <c r="H194" s="7">
        <v>3</v>
      </c>
      <c r="I194" s="7">
        <v>5</v>
      </c>
      <c r="J194" s="7">
        <v>0</v>
      </c>
      <c r="K194" s="7">
        <v>0</v>
      </c>
      <c r="L194" s="7">
        <v>0</v>
      </c>
      <c r="M194" s="97"/>
      <c r="N194" s="345"/>
      <c r="O194" s="345"/>
      <c r="P194" s="345"/>
      <c r="Q194" s="345"/>
      <c r="R194" s="345"/>
      <c r="S194" s="345"/>
      <c r="T194" s="345"/>
      <c r="U194" s="345"/>
      <c r="V194" s="345"/>
      <c r="W194" s="40" t="s">
        <v>65</v>
      </c>
      <c r="X194" s="7">
        <v>0</v>
      </c>
      <c r="Y194" s="7">
        <v>0</v>
      </c>
      <c r="Z194" s="7">
        <v>111</v>
      </c>
      <c r="AA194" s="7">
        <v>0</v>
      </c>
      <c r="AB194" s="7">
        <v>0</v>
      </c>
      <c r="AC194" s="7">
        <v>0</v>
      </c>
    </row>
    <row r="195" spans="1:29" ht="24.9" customHeight="1" x14ac:dyDescent="0.25">
      <c r="A195" s="309" t="s">
        <v>78</v>
      </c>
      <c r="B195" s="310"/>
      <c r="C195" s="310"/>
      <c r="D195" s="310"/>
      <c r="E195" s="310"/>
      <c r="F195" s="311"/>
      <c r="G195" s="7">
        <v>9</v>
      </c>
      <c r="H195" s="7">
        <v>1</v>
      </c>
      <c r="I195" s="7">
        <v>0</v>
      </c>
      <c r="J195" s="7">
        <v>0</v>
      </c>
      <c r="K195" s="7">
        <v>0</v>
      </c>
      <c r="L195" s="7">
        <v>0</v>
      </c>
      <c r="M195" s="97"/>
      <c r="N195" s="345"/>
      <c r="O195" s="345"/>
      <c r="P195" s="345"/>
      <c r="Q195" s="345"/>
      <c r="R195" s="345"/>
      <c r="S195" s="345"/>
      <c r="T195" s="345"/>
      <c r="U195" s="345"/>
      <c r="V195" s="345"/>
      <c r="W195" s="319" t="s">
        <v>66</v>
      </c>
      <c r="X195" s="321">
        <v>0</v>
      </c>
      <c r="Y195" s="321">
        <v>85</v>
      </c>
      <c r="Z195" s="321">
        <v>227</v>
      </c>
      <c r="AA195" s="321">
        <v>0</v>
      </c>
      <c r="AB195" s="321">
        <v>0</v>
      </c>
      <c r="AC195" s="321">
        <v>0</v>
      </c>
    </row>
    <row r="196" spans="1:29" ht="24.9" customHeight="1" x14ac:dyDescent="0.25">
      <c r="A196" s="224" t="s">
        <v>7</v>
      </c>
      <c r="B196" s="225"/>
      <c r="C196" s="225"/>
      <c r="D196" s="225"/>
      <c r="E196" s="225"/>
      <c r="F196" s="226"/>
      <c r="G196" s="7">
        <v>517</v>
      </c>
      <c r="H196" s="7">
        <v>5</v>
      </c>
      <c r="I196" s="7">
        <v>21</v>
      </c>
      <c r="J196" s="7">
        <v>0</v>
      </c>
      <c r="K196" s="7">
        <v>0</v>
      </c>
      <c r="L196" s="7">
        <v>0</v>
      </c>
      <c r="M196" s="97"/>
      <c r="N196" s="346"/>
      <c r="O196" s="346"/>
      <c r="P196" s="346"/>
      <c r="Q196" s="346"/>
      <c r="R196" s="346"/>
      <c r="S196" s="346"/>
      <c r="T196" s="346"/>
      <c r="U196" s="346"/>
      <c r="V196" s="346"/>
      <c r="W196" s="320"/>
      <c r="X196" s="323"/>
      <c r="Y196" s="323"/>
      <c r="Z196" s="323"/>
      <c r="AA196" s="323"/>
      <c r="AB196" s="323"/>
      <c r="AC196" s="323"/>
    </row>
  </sheetData>
  <mergeCells count="779">
    <mergeCell ref="A194:F194"/>
    <mergeCell ref="A195:F195"/>
    <mergeCell ref="W195:W196"/>
    <mergeCell ref="A196:F196"/>
    <mergeCell ref="T191:V191"/>
    <mergeCell ref="W191:Z191"/>
    <mergeCell ref="AA191:AC191"/>
    <mergeCell ref="A193:F193"/>
    <mergeCell ref="N193:N196"/>
    <mergeCell ref="O193:O196"/>
    <mergeCell ref="P193:P196"/>
    <mergeCell ref="Q193:Q196"/>
    <mergeCell ref="R193:R196"/>
    <mergeCell ref="S193:S196"/>
    <mergeCell ref="X195:X196"/>
    <mergeCell ref="Y195:Y196"/>
    <mergeCell ref="Z195:Z196"/>
    <mergeCell ref="AA195:AA196"/>
    <mergeCell ref="AB195:AB196"/>
    <mergeCell ref="AC195:AC196"/>
    <mergeCell ref="T193:T196"/>
    <mergeCell ref="U193:U196"/>
    <mergeCell ref="V193:V196"/>
    <mergeCell ref="A191:F192"/>
    <mergeCell ref="G191:H191"/>
    <mergeCell ref="I191:J191"/>
    <mergeCell ref="N191:P191"/>
    <mergeCell ref="Q191:S191"/>
    <mergeCell ref="G184:G188"/>
    <mergeCell ref="H184:H188"/>
    <mergeCell ref="I184:I188"/>
    <mergeCell ref="J184:J188"/>
    <mergeCell ref="K184:K188"/>
    <mergeCell ref="L184:L188"/>
    <mergeCell ref="A184:A188"/>
    <mergeCell ref="B184:B188"/>
    <mergeCell ref="C184:C188"/>
    <mergeCell ref="D184:D188"/>
    <mergeCell ref="E184:E188"/>
    <mergeCell ref="F184:F188"/>
    <mergeCell ref="N184:P184"/>
    <mergeCell ref="Q184:S184"/>
    <mergeCell ref="T184:W184"/>
    <mergeCell ref="X184:AC184"/>
    <mergeCell ref="N185:P188"/>
    <mergeCell ref="Q185:S188"/>
    <mergeCell ref="T185:W188"/>
    <mergeCell ref="Y185:Z185"/>
    <mergeCell ref="AB185:AC185"/>
    <mergeCell ref="Y186:Z186"/>
    <mergeCell ref="AB186:AC186"/>
    <mergeCell ref="Y187:Z187"/>
    <mergeCell ref="AB187:AC187"/>
    <mergeCell ref="Y188:Z188"/>
    <mergeCell ref="AB188:AC188"/>
    <mergeCell ref="K182:K183"/>
    <mergeCell ref="L182:L183"/>
    <mergeCell ref="N182:P182"/>
    <mergeCell ref="Q182:S182"/>
    <mergeCell ref="T182:AC182"/>
    <mergeCell ref="N183:P183"/>
    <mergeCell ref="Q183:S183"/>
    <mergeCell ref="T183:AC183"/>
    <mergeCell ref="A176:J176"/>
    <mergeCell ref="A177:J177"/>
    <mergeCell ref="A178:J178"/>
    <mergeCell ref="A179:J179"/>
    <mergeCell ref="A182:A183"/>
    <mergeCell ref="B182:C182"/>
    <mergeCell ref="D182:F182"/>
    <mergeCell ref="G182:J182"/>
    <mergeCell ref="U173:V173"/>
    <mergeCell ref="W173:X173"/>
    <mergeCell ref="Y173:Z173"/>
    <mergeCell ref="AA173:AB173"/>
    <mergeCell ref="AC173:AC174"/>
    <mergeCell ref="A175:J175"/>
    <mergeCell ref="A173:J174"/>
    <mergeCell ref="K173:L173"/>
    <mergeCell ref="M173:N173"/>
    <mergeCell ref="O173:P173"/>
    <mergeCell ref="Q173:R173"/>
    <mergeCell ref="S173:T173"/>
    <mergeCell ref="A171:J171"/>
    <mergeCell ref="K171:L171"/>
    <mergeCell ref="M171:N171"/>
    <mergeCell ref="O171:Q171"/>
    <mergeCell ref="R171:T171"/>
    <mergeCell ref="U171:W171"/>
    <mergeCell ref="X171:Y171"/>
    <mergeCell ref="Z171:AA171"/>
    <mergeCell ref="AB171:AC171"/>
    <mergeCell ref="A170:J170"/>
    <mergeCell ref="K170:L170"/>
    <mergeCell ref="M170:N170"/>
    <mergeCell ref="O170:Q170"/>
    <mergeCell ref="R170:T170"/>
    <mergeCell ref="U170:W170"/>
    <mergeCell ref="X170:Y170"/>
    <mergeCell ref="Z170:AA170"/>
    <mergeCell ref="AB170:AC170"/>
    <mergeCell ref="A169:J169"/>
    <mergeCell ref="K169:L169"/>
    <mergeCell ref="M169:N169"/>
    <mergeCell ref="O169:Q169"/>
    <mergeCell ref="R169:T169"/>
    <mergeCell ref="U169:W169"/>
    <mergeCell ref="X169:Y169"/>
    <mergeCell ref="Z169:AA169"/>
    <mergeCell ref="AB169:AC169"/>
    <mergeCell ref="A168:J168"/>
    <mergeCell ref="K168:L168"/>
    <mergeCell ref="M168:N168"/>
    <mergeCell ref="O168:Q168"/>
    <mergeCell ref="R168:T168"/>
    <mergeCell ref="U168:W168"/>
    <mergeCell ref="X168:Y168"/>
    <mergeCell ref="Z168:AA168"/>
    <mergeCell ref="AB168:AC168"/>
    <mergeCell ref="AB164:AC166"/>
    <mergeCell ref="A165:J166"/>
    <mergeCell ref="U165:W166"/>
    <mergeCell ref="X165:Y166"/>
    <mergeCell ref="Z165:AA166"/>
    <mergeCell ref="A167:J167"/>
    <mergeCell ref="K167:L167"/>
    <mergeCell ref="M167:N167"/>
    <mergeCell ref="O167:Q167"/>
    <mergeCell ref="R167:T167"/>
    <mergeCell ref="A164:J164"/>
    <mergeCell ref="K164:L166"/>
    <mergeCell ref="M164:N166"/>
    <mergeCell ref="O164:Q166"/>
    <mergeCell ref="R164:T166"/>
    <mergeCell ref="U164:AA164"/>
    <mergeCell ref="U167:W167"/>
    <mergeCell ref="X167:Y167"/>
    <mergeCell ref="Z167:AA167"/>
    <mergeCell ref="AB167:AC167"/>
    <mergeCell ref="Y160:AA161"/>
    <mergeCell ref="AB160:AC161"/>
    <mergeCell ref="A162:G162"/>
    <mergeCell ref="H162:N162"/>
    <mergeCell ref="T162:Y162"/>
    <mergeCell ref="Z162:AC162"/>
    <mergeCell ref="A158:AC158"/>
    <mergeCell ref="A159:W159"/>
    <mergeCell ref="Y159:Z159"/>
    <mergeCell ref="A160:D160"/>
    <mergeCell ref="E160:H160"/>
    <mergeCell ref="I160:J160"/>
    <mergeCell ref="K160:L160"/>
    <mergeCell ref="M160:N160"/>
    <mergeCell ref="O160:R160"/>
    <mergeCell ref="T160:X161"/>
    <mergeCell ref="A155:F155"/>
    <mergeCell ref="A156:F156"/>
    <mergeCell ref="W156:W157"/>
    <mergeCell ref="A157:F157"/>
    <mergeCell ref="T152:V152"/>
    <mergeCell ref="W152:Z152"/>
    <mergeCell ref="AA152:AC152"/>
    <mergeCell ref="A154:F154"/>
    <mergeCell ref="N154:N157"/>
    <mergeCell ref="O154:O157"/>
    <mergeCell ref="P154:P157"/>
    <mergeCell ref="Q154:Q157"/>
    <mergeCell ref="R154:R157"/>
    <mergeCell ref="S154:S157"/>
    <mergeCell ref="X156:X157"/>
    <mergeCell ref="Y156:Y157"/>
    <mergeCell ref="Z156:Z157"/>
    <mergeCell ref="AA156:AA157"/>
    <mergeCell ref="AB156:AB157"/>
    <mergeCell ref="AC156:AC157"/>
    <mergeCell ref="T154:T157"/>
    <mergeCell ref="U154:U157"/>
    <mergeCell ref="V154:V157"/>
    <mergeCell ref="A152:F153"/>
    <mergeCell ref="G152:H152"/>
    <mergeCell ref="I152:J152"/>
    <mergeCell ref="N152:P152"/>
    <mergeCell ref="Q152:S152"/>
    <mergeCell ref="G145:G149"/>
    <mergeCell ref="H145:H149"/>
    <mergeCell ref="I145:I149"/>
    <mergeCell ref="J145:J149"/>
    <mergeCell ref="K145:K149"/>
    <mergeCell ref="L145:L149"/>
    <mergeCell ref="A145:A149"/>
    <mergeCell ref="B145:B149"/>
    <mergeCell ref="C145:C149"/>
    <mergeCell ref="D145:D149"/>
    <mergeCell ref="E145:E149"/>
    <mergeCell ref="F145:F149"/>
    <mergeCell ref="N145:P145"/>
    <mergeCell ref="Q145:S145"/>
    <mergeCell ref="T145:W145"/>
    <mergeCell ref="X145:AC145"/>
    <mergeCell ref="N146:P149"/>
    <mergeCell ref="Q146:S149"/>
    <mergeCell ref="T146:W149"/>
    <mergeCell ref="Y146:Z146"/>
    <mergeCell ref="AB146:AC146"/>
    <mergeCell ref="Y147:Z147"/>
    <mergeCell ref="AB147:AC147"/>
    <mergeCell ref="Y148:Z148"/>
    <mergeCell ref="AB148:AC148"/>
    <mergeCell ref="Y149:Z149"/>
    <mergeCell ref="AB149:AC149"/>
    <mergeCell ref="L143:L144"/>
    <mergeCell ref="N143:P143"/>
    <mergeCell ref="Q143:S143"/>
    <mergeCell ref="T143:AC143"/>
    <mergeCell ref="N144:P144"/>
    <mergeCell ref="Q144:S144"/>
    <mergeCell ref="T144:AC144"/>
    <mergeCell ref="A137:J137"/>
    <mergeCell ref="A138:J138"/>
    <mergeCell ref="A139:J139"/>
    <mergeCell ref="A140:J140"/>
    <mergeCell ref="O141:P141"/>
    <mergeCell ref="A143:A144"/>
    <mergeCell ref="B143:C143"/>
    <mergeCell ref="D143:F143"/>
    <mergeCell ref="G143:J143"/>
    <mergeCell ref="K143:K144"/>
    <mergeCell ref="U134:V134"/>
    <mergeCell ref="W134:X134"/>
    <mergeCell ref="Y134:Z134"/>
    <mergeCell ref="AA134:AB134"/>
    <mergeCell ref="AC134:AC135"/>
    <mergeCell ref="A136:J136"/>
    <mergeCell ref="A134:J135"/>
    <mergeCell ref="K134:L134"/>
    <mergeCell ref="M134:N134"/>
    <mergeCell ref="O134:P134"/>
    <mergeCell ref="Q134:R134"/>
    <mergeCell ref="S134:T134"/>
    <mergeCell ref="A132:J132"/>
    <mergeCell ref="K132:L132"/>
    <mergeCell ref="M132:N132"/>
    <mergeCell ref="O132:Q132"/>
    <mergeCell ref="R132:T132"/>
    <mergeCell ref="U132:W132"/>
    <mergeCell ref="X132:Y132"/>
    <mergeCell ref="Z132:AA132"/>
    <mergeCell ref="AB132:AC132"/>
    <mergeCell ref="A131:J131"/>
    <mergeCell ref="K131:L131"/>
    <mergeCell ref="M131:N131"/>
    <mergeCell ref="O131:Q131"/>
    <mergeCell ref="R131:T131"/>
    <mergeCell ref="U131:W131"/>
    <mergeCell ref="X131:Y131"/>
    <mergeCell ref="Z131:AA131"/>
    <mergeCell ref="AB131:AC131"/>
    <mergeCell ref="A130:J130"/>
    <mergeCell ref="K130:L130"/>
    <mergeCell ref="M130:N130"/>
    <mergeCell ref="O130:Q130"/>
    <mergeCell ref="R130:T130"/>
    <mergeCell ref="U130:W130"/>
    <mergeCell ref="X130:Y130"/>
    <mergeCell ref="Z130:AA130"/>
    <mergeCell ref="AB130:AC130"/>
    <mergeCell ref="A129:J129"/>
    <mergeCell ref="K129:L129"/>
    <mergeCell ref="M129:N129"/>
    <mergeCell ref="O129:Q129"/>
    <mergeCell ref="R129:T129"/>
    <mergeCell ref="U129:W129"/>
    <mergeCell ref="X129:Y129"/>
    <mergeCell ref="Z129:AA129"/>
    <mergeCell ref="AB129:AC129"/>
    <mergeCell ref="AB125:AC127"/>
    <mergeCell ref="A126:J127"/>
    <mergeCell ref="U126:W127"/>
    <mergeCell ref="X126:Y127"/>
    <mergeCell ref="Z126:AA127"/>
    <mergeCell ref="A128:J128"/>
    <mergeCell ref="K128:L128"/>
    <mergeCell ref="M128:N128"/>
    <mergeCell ref="O128:Q128"/>
    <mergeCell ref="R128:T128"/>
    <mergeCell ref="A125:J125"/>
    <mergeCell ref="K125:L127"/>
    <mergeCell ref="M125:N127"/>
    <mergeCell ref="O125:Q127"/>
    <mergeCell ref="R125:T127"/>
    <mergeCell ref="U125:AA125"/>
    <mergeCell ref="U128:W128"/>
    <mergeCell ref="X128:Y128"/>
    <mergeCell ref="Z128:AA128"/>
    <mergeCell ref="AB128:AC128"/>
    <mergeCell ref="Y121:AA122"/>
    <mergeCell ref="AB121:AC122"/>
    <mergeCell ref="A123:G123"/>
    <mergeCell ref="H123:N123"/>
    <mergeCell ref="T123:Y123"/>
    <mergeCell ref="Z123:AC123"/>
    <mergeCell ref="A119:AC119"/>
    <mergeCell ref="A120:W120"/>
    <mergeCell ref="Y120:Z120"/>
    <mergeCell ref="A121:D121"/>
    <mergeCell ref="E121:H121"/>
    <mergeCell ref="I121:J121"/>
    <mergeCell ref="K121:L121"/>
    <mergeCell ref="M121:N121"/>
    <mergeCell ref="O121:R121"/>
    <mergeCell ref="T121:X122"/>
    <mergeCell ref="A116:F116"/>
    <mergeCell ref="A117:F117"/>
    <mergeCell ref="W117:W118"/>
    <mergeCell ref="A118:F118"/>
    <mergeCell ref="T113:V113"/>
    <mergeCell ref="W113:Z113"/>
    <mergeCell ref="AA113:AC113"/>
    <mergeCell ref="A115:F115"/>
    <mergeCell ref="N115:N118"/>
    <mergeCell ref="O115:O118"/>
    <mergeCell ref="P115:P118"/>
    <mergeCell ref="Q115:Q118"/>
    <mergeCell ref="R115:R118"/>
    <mergeCell ref="S115:S118"/>
    <mergeCell ref="X117:X118"/>
    <mergeCell ref="Y117:Y118"/>
    <mergeCell ref="Z117:Z118"/>
    <mergeCell ref="AA117:AA118"/>
    <mergeCell ref="AB117:AB118"/>
    <mergeCell ref="AC117:AC118"/>
    <mergeCell ref="T115:T118"/>
    <mergeCell ref="U115:U118"/>
    <mergeCell ref="V115:V118"/>
    <mergeCell ref="A113:F114"/>
    <mergeCell ref="G113:H113"/>
    <mergeCell ref="I113:J113"/>
    <mergeCell ref="N113:P113"/>
    <mergeCell ref="Q113:S113"/>
    <mergeCell ref="G106:G110"/>
    <mergeCell ref="H106:H110"/>
    <mergeCell ref="I106:I110"/>
    <mergeCell ref="J106:J110"/>
    <mergeCell ref="K106:K110"/>
    <mergeCell ref="L106:L110"/>
    <mergeCell ref="A106:A110"/>
    <mergeCell ref="B106:B110"/>
    <mergeCell ref="C106:C110"/>
    <mergeCell ref="D106:D110"/>
    <mergeCell ref="E106:E110"/>
    <mergeCell ref="F106:F110"/>
    <mergeCell ref="N106:P106"/>
    <mergeCell ref="Q106:S106"/>
    <mergeCell ref="T106:W106"/>
    <mergeCell ref="X106:AC106"/>
    <mergeCell ref="N107:P110"/>
    <mergeCell ref="Q107:S110"/>
    <mergeCell ref="T107:W110"/>
    <mergeCell ref="Y107:Z107"/>
    <mergeCell ref="AB107:AC107"/>
    <mergeCell ref="Y108:Z108"/>
    <mergeCell ref="AB108:AC108"/>
    <mergeCell ref="Y109:Z109"/>
    <mergeCell ref="AB109:AC109"/>
    <mergeCell ref="Y110:Z110"/>
    <mergeCell ref="AB110:AC110"/>
    <mergeCell ref="L104:L105"/>
    <mergeCell ref="N104:P104"/>
    <mergeCell ref="Q104:S104"/>
    <mergeCell ref="T104:AC104"/>
    <mergeCell ref="N105:P105"/>
    <mergeCell ref="Q105:S105"/>
    <mergeCell ref="T105:AC105"/>
    <mergeCell ref="A98:J98"/>
    <mergeCell ref="A99:J99"/>
    <mergeCell ref="A100:J100"/>
    <mergeCell ref="A101:J101"/>
    <mergeCell ref="O102:P102"/>
    <mergeCell ref="A104:A105"/>
    <mergeCell ref="B104:C104"/>
    <mergeCell ref="D104:F104"/>
    <mergeCell ref="G104:J104"/>
    <mergeCell ref="K104:K105"/>
    <mergeCell ref="U95:V95"/>
    <mergeCell ref="W95:X95"/>
    <mergeCell ref="Y95:Z95"/>
    <mergeCell ref="AA95:AB95"/>
    <mergeCell ref="AC95:AC96"/>
    <mergeCell ref="A97:J97"/>
    <mergeCell ref="A95:J96"/>
    <mergeCell ref="K95:L95"/>
    <mergeCell ref="M95:N95"/>
    <mergeCell ref="O95:P95"/>
    <mergeCell ref="Q95:R95"/>
    <mergeCell ref="S95:T95"/>
    <mergeCell ref="A93:J93"/>
    <mergeCell ref="K93:L93"/>
    <mergeCell ref="M93:N93"/>
    <mergeCell ref="O93:Q93"/>
    <mergeCell ref="R93:T93"/>
    <mergeCell ref="U93:W93"/>
    <mergeCell ref="X93:Y93"/>
    <mergeCell ref="Z93:AA93"/>
    <mergeCell ref="AB93:AC93"/>
    <mergeCell ref="A92:J92"/>
    <mergeCell ref="K92:L92"/>
    <mergeCell ref="M92:N92"/>
    <mergeCell ref="O92:Q92"/>
    <mergeCell ref="R92:T92"/>
    <mergeCell ref="U92:W92"/>
    <mergeCell ref="X92:Y92"/>
    <mergeCell ref="Z92:AA92"/>
    <mergeCell ref="AB92:AC92"/>
    <mergeCell ref="A91:J91"/>
    <mergeCell ref="K91:L91"/>
    <mergeCell ref="M91:N91"/>
    <mergeCell ref="O91:Q91"/>
    <mergeCell ref="R91:T91"/>
    <mergeCell ref="U91:W91"/>
    <mergeCell ref="X91:Y91"/>
    <mergeCell ref="Z91:AA91"/>
    <mergeCell ref="AB91:AC91"/>
    <mergeCell ref="A90:J90"/>
    <mergeCell ref="K90:L90"/>
    <mergeCell ref="M90:N90"/>
    <mergeCell ref="O90:Q90"/>
    <mergeCell ref="R90:T90"/>
    <mergeCell ref="U90:W90"/>
    <mergeCell ref="X90:Y90"/>
    <mergeCell ref="Z90:AA90"/>
    <mergeCell ref="AB90:AC90"/>
    <mergeCell ref="AB86:AC88"/>
    <mergeCell ref="A87:J88"/>
    <mergeCell ref="U87:W88"/>
    <mergeCell ref="X87:Y88"/>
    <mergeCell ref="Z87:AA88"/>
    <mergeCell ref="A89:J89"/>
    <mergeCell ref="K89:L89"/>
    <mergeCell ref="M89:N89"/>
    <mergeCell ref="O89:Q89"/>
    <mergeCell ref="R89:T89"/>
    <mergeCell ref="A86:J86"/>
    <mergeCell ref="K86:L88"/>
    <mergeCell ref="M86:N88"/>
    <mergeCell ref="O86:Q88"/>
    <mergeCell ref="R86:T88"/>
    <mergeCell ref="U86:AA86"/>
    <mergeCell ref="U89:W89"/>
    <mergeCell ref="X89:Y89"/>
    <mergeCell ref="Z89:AA89"/>
    <mergeCell ref="AB89:AC89"/>
    <mergeCell ref="Y82:AA83"/>
    <mergeCell ref="AB82:AC83"/>
    <mergeCell ref="A84:G84"/>
    <mergeCell ref="H84:N84"/>
    <mergeCell ref="T84:Y84"/>
    <mergeCell ref="Z84:AC84"/>
    <mergeCell ref="A80:AC80"/>
    <mergeCell ref="A81:W81"/>
    <mergeCell ref="Y81:Z81"/>
    <mergeCell ref="A82:D82"/>
    <mergeCell ref="E82:H82"/>
    <mergeCell ref="I82:J82"/>
    <mergeCell ref="K82:L82"/>
    <mergeCell ref="M82:N82"/>
    <mergeCell ref="O82:R82"/>
    <mergeCell ref="T82:X83"/>
    <mergeCell ref="A77:F77"/>
    <mergeCell ref="A78:F78"/>
    <mergeCell ref="W78:W79"/>
    <mergeCell ref="A79:F79"/>
    <mergeCell ref="T74:V74"/>
    <mergeCell ref="W74:Z74"/>
    <mergeCell ref="AA74:AC74"/>
    <mergeCell ref="A76:F76"/>
    <mergeCell ref="N76:N79"/>
    <mergeCell ref="O76:O79"/>
    <mergeCell ref="P76:P79"/>
    <mergeCell ref="Q76:Q79"/>
    <mergeCell ref="R76:R79"/>
    <mergeCell ref="S76:S79"/>
    <mergeCell ref="X78:X79"/>
    <mergeCell ref="Y78:Y79"/>
    <mergeCell ref="Z78:Z79"/>
    <mergeCell ref="AA78:AA79"/>
    <mergeCell ref="AB78:AB79"/>
    <mergeCell ref="AC78:AC79"/>
    <mergeCell ref="T76:T79"/>
    <mergeCell ref="U76:U79"/>
    <mergeCell ref="V76:V79"/>
    <mergeCell ref="A74:F75"/>
    <mergeCell ref="G74:H74"/>
    <mergeCell ref="I74:J74"/>
    <mergeCell ref="N74:P74"/>
    <mergeCell ref="Q74:S74"/>
    <mergeCell ref="G67:G71"/>
    <mergeCell ref="H67:H71"/>
    <mergeCell ref="I67:I71"/>
    <mergeCell ref="J67:J71"/>
    <mergeCell ref="K67:K71"/>
    <mergeCell ref="L67:L71"/>
    <mergeCell ref="A67:A71"/>
    <mergeCell ref="B67:B71"/>
    <mergeCell ref="C67:C71"/>
    <mergeCell ref="D67:D71"/>
    <mergeCell ref="E67:E71"/>
    <mergeCell ref="F67:F71"/>
    <mergeCell ref="N67:P67"/>
    <mergeCell ref="Q67:S67"/>
    <mergeCell ref="T67:W67"/>
    <mergeCell ref="X67:AC67"/>
    <mergeCell ref="N68:P71"/>
    <mergeCell ref="Q68:S71"/>
    <mergeCell ref="T68:W71"/>
    <mergeCell ref="Y68:Z68"/>
    <mergeCell ref="AB68:AC68"/>
    <mergeCell ref="Y69:Z69"/>
    <mergeCell ref="AB69:AC69"/>
    <mergeCell ref="Y70:Z70"/>
    <mergeCell ref="AB70:AC70"/>
    <mergeCell ref="Y71:Z71"/>
    <mergeCell ref="AB71:AC71"/>
    <mergeCell ref="L65:L66"/>
    <mergeCell ref="N65:P65"/>
    <mergeCell ref="Q65:S65"/>
    <mergeCell ref="T65:AC65"/>
    <mergeCell ref="N66:P66"/>
    <mergeCell ref="Q66:S66"/>
    <mergeCell ref="T66:AC66"/>
    <mergeCell ref="A59:J59"/>
    <mergeCell ref="A60:J60"/>
    <mergeCell ref="A61:J61"/>
    <mergeCell ref="A62:J62"/>
    <mergeCell ref="O63:P63"/>
    <mergeCell ref="A65:A66"/>
    <mergeCell ref="B65:C65"/>
    <mergeCell ref="D65:F65"/>
    <mergeCell ref="G65:J65"/>
    <mergeCell ref="K65:K66"/>
    <mergeCell ref="U56:V56"/>
    <mergeCell ref="W56:X56"/>
    <mergeCell ref="Y56:Z56"/>
    <mergeCell ref="AA56:AB56"/>
    <mergeCell ref="AC56:AC57"/>
    <mergeCell ref="A58:J58"/>
    <mergeCell ref="A56:J57"/>
    <mergeCell ref="K56:L56"/>
    <mergeCell ref="M56:N56"/>
    <mergeCell ref="O56:P56"/>
    <mergeCell ref="Q56:R56"/>
    <mergeCell ref="S56:T56"/>
    <mergeCell ref="A54:J54"/>
    <mergeCell ref="K54:L54"/>
    <mergeCell ref="M54:N54"/>
    <mergeCell ref="O54:Q54"/>
    <mergeCell ref="R54:T54"/>
    <mergeCell ref="U54:W54"/>
    <mergeCell ref="X54:Y54"/>
    <mergeCell ref="Z54:AA54"/>
    <mergeCell ref="AB54:AC54"/>
    <mergeCell ref="A53:J53"/>
    <mergeCell ref="K53:L53"/>
    <mergeCell ref="M53:N53"/>
    <mergeCell ref="O53:Q53"/>
    <mergeCell ref="R53:T53"/>
    <mergeCell ref="U53:W53"/>
    <mergeCell ref="X53:Y53"/>
    <mergeCell ref="Z53:AA53"/>
    <mergeCell ref="AB53:AC53"/>
    <mergeCell ref="A52:J52"/>
    <mergeCell ref="K52:L52"/>
    <mergeCell ref="M52:N52"/>
    <mergeCell ref="O52:Q52"/>
    <mergeCell ref="R52:T52"/>
    <mergeCell ref="U52:W52"/>
    <mergeCell ref="X52:Y52"/>
    <mergeCell ref="Z52:AA52"/>
    <mergeCell ref="AB52:AC52"/>
    <mergeCell ref="A51:J51"/>
    <mergeCell ref="K51:L51"/>
    <mergeCell ref="M51:N51"/>
    <mergeCell ref="O51:Q51"/>
    <mergeCell ref="R51:T51"/>
    <mergeCell ref="U51:W51"/>
    <mergeCell ref="X51:Y51"/>
    <mergeCell ref="Z51:AA51"/>
    <mergeCell ref="AB51:AC51"/>
    <mergeCell ref="AB47:AC49"/>
    <mergeCell ref="A48:J49"/>
    <mergeCell ref="U48:W49"/>
    <mergeCell ref="X48:Y49"/>
    <mergeCell ref="Z48:AA49"/>
    <mergeCell ref="A50:J50"/>
    <mergeCell ref="K50:L50"/>
    <mergeCell ref="M50:N50"/>
    <mergeCell ref="O50:Q50"/>
    <mergeCell ref="R50:T50"/>
    <mergeCell ref="A47:J47"/>
    <mergeCell ref="K47:L49"/>
    <mergeCell ref="M47:N49"/>
    <mergeCell ref="O47:Q49"/>
    <mergeCell ref="R47:T49"/>
    <mergeCell ref="U47:AA47"/>
    <mergeCell ref="U50:W50"/>
    <mergeCell ref="X50:Y50"/>
    <mergeCell ref="Z50:AA50"/>
    <mergeCell ref="AB50:AC50"/>
    <mergeCell ref="Y43:AA44"/>
    <mergeCell ref="AB43:AC44"/>
    <mergeCell ref="A45:G45"/>
    <mergeCell ref="H45:N45"/>
    <mergeCell ref="T45:Y45"/>
    <mergeCell ref="Z45:AC45"/>
    <mergeCell ref="A41:AC41"/>
    <mergeCell ref="A42:W42"/>
    <mergeCell ref="Y42:Z42"/>
    <mergeCell ref="A43:D43"/>
    <mergeCell ref="E43:H43"/>
    <mergeCell ref="I43:J43"/>
    <mergeCell ref="K43:L43"/>
    <mergeCell ref="M43:N43"/>
    <mergeCell ref="O43:R43"/>
    <mergeCell ref="T43:X44"/>
    <mergeCell ref="A38:F38"/>
    <mergeCell ref="A39:F39"/>
    <mergeCell ref="W39:W40"/>
    <mergeCell ref="A40:F40"/>
    <mergeCell ref="T35:V35"/>
    <mergeCell ref="W35:Z35"/>
    <mergeCell ref="AA35:AC35"/>
    <mergeCell ref="A37:F37"/>
    <mergeCell ref="N37:N40"/>
    <mergeCell ref="O37:O40"/>
    <mergeCell ref="P37:P40"/>
    <mergeCell ref="Q37:Q40"/>
    <mergeCell ref="R37:R40"/>
    <mergeCell ref="S37:S40"/>
    <mergeCell ref="X39:X40"/>
    <mergeCell ref="Y39:Y40"/>
    <mergeCell ref="Z39:Z40"/>
    <mergeCell ref="AA39:AA40"/>
    <mergeCell ref="AB39:AB40"/>
    <mergeCell ref="AC39:AC40"/>
    <mergeCell ref="T37:T40"/>
    <mergeCell ref="U37:U40"/>
    <mergeCell ref="V37:V40"/>
    <mergeCell ref="A35:F36"/>
    <mergeCell ref="G35:H35"/>
    <mergeCell ref="I35:J35"/>
    <mergeCell ref="N35:P35"/>
    <mergeCell ref="Q35:S35"/>
    <mergeCell ref="G28:G32"/>
    <mergeCell ref="H28:H32"/>
    <mergeCell ref="I28:I32"/>
    <mergeCell ref="J28:J32"/>
    <mergeCell ref="K28:K32"/>
    <mergeCell ref="L28:L32"/>
    <mergeCell ref="A28:A32"/>
    <mergeCell ref="B28:B32"/>
    <mergeCell ref="C28:C32"/>
    <mergeCell ref="D28:D32"/>
    <mergeCell ref="E28:E32"/>
    <mergeCell ref="F28:F32"/>
    <mergeCell ref="N28:P28"/>
    <mergeCell ref="Q28:S28"/>
    <mergeCell ref="T28:W28"/>
    <mergeCell ref="X28:AC28"/>
    <mergeCell ref="N29:P32"/>
    <mergeCell ref="Q29:S32"/>
    <mergeCell ref="T29:W32"/>
    <mergeCell ref="Y29:Z29"/>
    <mergeCell ref="AB29:AC29"/>
    <mergeCell ref="Y30:Z30"/>
    <mergeCell ref="AB30:AC30"/>
    <mergeCell ref="Y31:Z31"/>
    <mergeCell ref="AB31:AC31"/>
    <mergeCell ref="Y32:Z32"/>
    <mergeCell ref="AB32:AC32"/>
    <mergeCell ref="L26:L27"/>
    <mergeCell ref="N26:P26"/>
    <mergeCell ref="Q26:S26"/>
    <mergeCell ref="T26:AC26"/>
    <mergeCell ref="N27:P27"/>
    <mergeCell ref="Q27:S27"/>
    <mergeCell ref="T27:AC27"/>
    <mergeCell ref="A20:J20"/>
    <mergeCell ref="A21:J21"/>
    <mergeCell ref="A22:J22"/>
    <mergeCell ref="A23:J23"/>
    <mergeCell ref="O24:P24"/>
    <mergeCell ref="A26:A27"/>
    <mergeCell ref="B26:C26"/>
    <mergeCell ref="D26:F26"/>
    <mergeCell ref="G26:J26"/>
    <mergeCell ref="K26:K27"/>
    <mergeCell ref="U17:V17"/>
    <mergeCell ref="W17:X17"/>
    <mergeCell ref="Y17:Z17"/>
    <mergeCell ref="AA17:AB17"/>
    <mergeCell ref="AC17:AC18"/>
    <mergeCell ref="A19:J19"/>
    <mergeCell ref="A17:J18"/>
    <mergeCell ref="K17:L17"/>
    <mergeCell ref="M17:N17"/>
    <mergeCell ref="O17:P17"/>
    <mergeCell ref="Q17:R17"/>
    <mergeCell ref="S17:T17"/>
    <mergeCell ref="A15:J15"/>
    <mergeCell ref="K15:L15"/>
    <mergeCell ref="M15:N15"/>
    <mergeCell ref="O15:Q15"/>
    <mergeCell ref="R15:T15"/>
    <mergeCell ref="U15:W15"/>
    <mergeCell ref="X15:Y15"/>
    <mergeCell ref="Z15:AA15"/>
    <mergeCell ref="AB15:AC15"/>
    <mergeCell ref="A14:J14"/>
    <mergeCell ref="K14:L14"/>
    <mergeCell ref="M14:N14"/>
    <mergeCell ref="O14:Q14"/>
    <mergeCell ref="R14:T14"/>
    <mergeCell ref="U14:W14"/>
    <mergeCell ref="X14:Y14"/>
    <mergeCell ref="Z14:AA14"/>
    <mergeCell ref="AB14:AC14"/>
    <mergeCell ref="A13:J13"/>
    <mergeCell ref="K13:L13"/>
    <mergeCell ref="M13:N13"/>
    <mergeCell ref="O13:Q13"/>
    <mergeCell ref="R13:T13"/>
    <mergeCell ref="U13:W13"/>
    <mergeCell ref="X13:Y13"/>
    <mergeCell ref="Z13:AA13"/>
    <mergeCell ref="AB13:AC13"/>
    <mergeCell ref="A12:J12"/>
    <mergeCell ref="K12:L12"/>
    <mergeCell ref="M12:N12"/>
    <mergeCell ref="O12:Q12"/>
    <mergeCell ref="R12:T12"/>
    <mergeCell ref="U12:W12"/>
    <mergeCell ref="X12:Y12"/>
    <mergeCell ref="Z12:AA12"/>
    <mergeCell ref="AB12:AC12"/>
    <mergeCell ref="AB8:AC10"/>
    <mergeCell ref="A9:J10"/>
    <mergeCell ref="U9:W10"/>
    <mergeCell ref="X9:Y10"/>
    <mergeCell ref="Z9:AA10"/>
    <mergeCell ref="A11:J11"/>
    <mergeCell ref="K11:L11"/>
    <mergeCell ref="M11:N11"/>
    <mergeCell ref="O11:Q11"/>
    <mergeCell ref="R11:T11"/>
    <mergeCell ref="A8:J8"/>
    <mergeCell ref="K8:L10"/>
    <mergeCell ref="M8:N10"/>
    <mergeCell ref="O8:Q10"/>
    <mergeCell ref="R8:T10"/>
    <mergeCell ref="U8:AA8"/>
    <mergeCell ref="U11:W11"/>
    <mergeCell ref="X11:Y11"/>
    <mergeCell ref="Z11:AA11"/>
    <mergeCell ref="AB11:AC11"/>
    <mergeCell ref="Y4:AA5"/>
    <mergeCell ref="AB4:AC5"/>
    <mergeCell ref="A6:G6"/>
    <mergeCell ref="H6:N6"/>
    <mergeCell ref="T6:Y6"/>
    <mergeCell ref="Z6:AC6"/>
    <mergeCell ref="A2:AC2"/>
    <mergeCell ref="A3:W3"/>
    <mergeCell ref="Y3:Z3"/>
    <mergeCell ref="A4:D4"/>
    <mergeCell ref="E4:H4"/>
    <mergeCell ref="I4:J4"/>
    <mergeCell ref="K4:L4"/>
    <mergeCell ref="M4:N4"/>
    <mergeCell ref="O4:R4"/>
    <mergeCell ref="T4:X5"/>
  </mergeCells>
  <printOptions horizontalCentered="1"/>
  <pageMargins left="0.25" right="0.25" top="0.25" bottom="0.25" header="0.25" footer="0.25"/>
  <pageSetup paperSize="9" scale="63" orientation="landscape" r:id="rId1"/>
  <rowBreaks count="4" manualBreakCount="4">
    <brk id="40" max="24" man="1"/>
    <brk id="79" max="24" man="1"/>
    <brk id="118" max="24" man="1"/>
    <brk id="157" max="24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8000"/>
  </sheetPr>
  <dimension ref="A1:AF196"/>
  <sheetViews>
    <sheetView view="pageBreakPreview" topLeftCell="A159" zoomScale="85" zoomScaleNormal="100" zoomScaleSheetLayoutView="85" workbookViewId="0">
      <selection activeCell="Y160" sqref="Y160:AA161"/>
    </sheetView>
  </sheetViews>
  <sheetFormatPr defaultColWidth="9.109375" defaultRowHeight="14.4" x14ac:dyDescent="0.3"/>
  <cols>
    <col min="1" max="1" width="7.88671875" style="1" customWidth="1"/>
    <col min="2" max="2" width="11.44140625" style="1" customWidth="1"/>
    <col min="3" max="3" width="11" style="1" customWidth="1"/>
    <col min="4" max="7" width="7.33203125" style="1" customWidth="1"/>
    <col min="8" max="8" width="7.6640625" style="1" customWidth="1"/>
    <col min="9" max="9" width="8.33203125" style="1" customWidth="1"/>
    <col min="10" max="10" width="7.33203125" style="1" customWidth="1"/>
    <col min="11" max="11" width="9.6640625" style="1" customWidth="1"/>
    <col min="12" max="12" width="8" style="1" customWidth="1"/>
    <col min="13" max="13" width="7.33203125" style="1" customWidth="1"/>
    <col min="14" max="14" width="6.33203125" style="1" customWidth="1"/>
    <col min="15" max="19" width="5.33203125" style="1" customWidth="1"/>
    <col min="20" max="20" width="6.33203125" style="1" customWidth="1"/>
    <col min="21" max="22" width="5.33203125" style="1" customWidth="1"/>
    <col min="23" max="29" width="7.33203125" style="1" customWidth="1"/>
    <col min="30" max="16384" width="9.109375" style="1"/>
  </cols>
  <sheetData>
    <row r="1" spans="1:32" ht="7.5" customHeight="1" x14ac:dyDescent="0.3"/>
    <row r="2" spans="1:32" ht="18" customHeight="1" x14ac:dyDescent="0.45">
      <c r="A2" s="158" t="s">
        <v>15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</row>
    <row r="3" spans="1:32" ht="21" customHeight="1" x14ac:dyDescent="0.3">
      <c r="A3" s="159" t="s">
        <v>16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2"/>
      <c r="Y3" s="160" t="s">
        <v>17</v>
      </c>
      <c r="Z3" s="160"/>
      <c r="AA3" s="2"/>
      <c r="AB3" s="2"/>
      <c r="AC3" s="2"/>
    </row>
    <row r="4" spans="1:32" ht="30.9" customHeight="1" x14ac:dyDescent="0.3">
      <c r="A4" s="326" t="s">
        <v>18</v>
      </c>
      <c r="B4" s="326"/>
      <c r="C4" s="326"/>
      <c r="D4" s="326"/>
      <c r="E4" s="327" t="s">
        <v>99</v>
      </c>
      <c r="F4" s="327"/>
      <c r="G4" s="327"/>
      <c r="H4" s="327"/>
      <c r="I4" s="328" t="s">
        <v>20</v>
      </c>
      <c r="J4" s="328"/>
      <c r="K4" s="329" t="s">
        <v>85</v>
      </c>
      <c r="L4" s="329"/>
      <c r="M4" s="328" t="s">
        <v>21</v>
      </c>
      <c r="N4" s="328"/>
      <c r="O4" s="340" t="s">
        <v>92</v>
      </c>
      <c r="P4" s="340"/>
      <c r="Q4" s="340"/>
      <c r="R4" s="340"/>
      <c r="S4" s="43"/>
      <c r="T4" s="166" t="s">
        <v>22</v>
      </c>
      <c r="U4" s="166"/>
      <c r="V4" s="166"/>
      <c r="W4" s="166"/>
      <c r="X4" s="166"/>
      <c r="Y4" s="152" t="s">
        <v>23</v>
      </c>
      <c r="Z4" s="152"/>
      <c r="AA4" s="152"/>
      <c r="AB4" s="153" t="s">
        <v>83</v>
      </c>
      <c r="AC4" s="153"/>
    </row>
    <row r="5" spans="1:32" ht="5.25" customHeight="1" x14ac:dyDescent="0.3">
      <c r="T5" s="166"/>
      <c r="U5" s="166"/>
      <c r="V5" s="166"/>
      <c r="W5" s="166"/>
      <c r="X5" s="166"/>
      <c r="Y5" s="152"/>
      <c r="Z5" s="152"/>
      <c r="AA5" s="152"/>
      <c r="AB5" s="153"/>
      <c r="AC5" s="153"/>
    </row>
    <row r="6" spans="1:32" ht="15.75" customHeight="1" x14ac:dyDescent="0.3">
      <c r="A6" s="324" t="s">
        <v>24</v>
      </c>
      <c r="B6" s="324"/>
      <c r="C6" s="324"/>
      <c r="D6" s="324"/>
      <c r="E6" s="324"/>
      <c r="F6" s="324"/>
      <c r="G6" s="324"/>
      <c r="H6" s="347" t="s">
        <v>25</v>
      </c>
      <c r="I6" s="347"/>
      <c r="J6" s="347"/>
      <c r="K6" s="347"/>
      <c r="L6" s="347"/>
      <c r="M6" s="347"/>
      <c r="N6" s="347"/>
      <c r="O6" s="44"/>
      <c r="P6" s="44"/>
      <c r="T6" s="156" t="s">
        <v>26</v>
      </c>
      <c r="U6" s="156"/>
      <c r="V6" s="156"/>
      <c r="W6" s="156"/>
      <c r="X6" s="156"/>
      <c r="Y6" s="156"/>
      <c r="Z6" s="265" t="s">
        <v>27</v>
      </c>
      <c r="AA6" s="265"/>
      <c r="AB6" s="265"/>
      <c r="AC6" s="265"/>
      <c r="AE6" s="1" t="s">
        <v>28</v>
      </c>
      <c r="AF6" s="1" t="s">
        <v>28</v>
      </c>
    </row>
    <row r="7" spans="1:32" ht="7.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32" ht="15" customHeight="1" x14ac:dyDescent="0.3">
      <c r="A8" s="284" t="s">
        <v>29</v>
      </c>
      <c r="B8" s="285"/>
      <c r="C8" s="285"/>
      <c r="D8" s="285"/>
      <c r="E8" s="285"/>
      <c r="F8" s="285"/>
      <c r="G8" s="285"/>
      <c r="H8" s="285"/>
      <c r="I8" s="285"/>
      <c r="J8" s="286"/>
      <c r="K8" s="273" t="s">
        <v>30</v>
      </c>
      <c r="L8" s="274"/>
      <c r="M8" s="273" t="s">
        <v>31</v>
      </c>
      <c r="N8" s="274"/>
      <c r="O8" s="287" t="s">
        <v>32</v>
      </c>
      <c r="P8" s="288"/>
      <c r="Q8" s="289"/>
      <c r="R8" s="273" t="s">
        <v>33</v>
      </c>
      <c r="S8" s="296"/>
      <c r="T8" s="274"/>
      <c r="U8" s="224" t="s">
        <v>34</v>
      </c>
      <c r="V8" s="225"/>
      <c r="W8" s="225"/>
      <c r="X8" s="225"/>
      <c r="Y8" s="225"/>
      <c r="Z8" s="225"/>
      <c r="AA8" s="226"/>
      <c r="AB8" s="273" t="s">
        <v>7</v>
      </c>
      <c r="AC8" s="274"/>
    </row>
    <row r="9" spans="1:32" ht="23.25" customHeight="1" x14ac:dyDescent="0.3">
      <c r="A9" s="169" t="s">
        <v>35</v>
      </c>
      <c r="B9" s="173"/>
      <c r="C9" s="173"/>
      <c r="D9" s="173"/>
      <c r="E9" s="173"/>
      <c r="F9" s="173"/>
      <c r="G9" s="173"/>
      <c r="H9" s="173"/>
      <c r="I9" s="173"/>
      <c r="J9" s="170"/>
      <c r="K9" s="275"/>
      <c r="L9" s="276"/>
      <c r="M9" s="275"/>
      <c r="N9" s="276"/>
      <c r="O9" s="290"/>
      <c r="P9" s="291"/>
      <c r="Q9" s="292"/>
      <c r="R9" s="275"/>
      <c r="S9" s="297"/>
      <c r="T9" s="276"/>
      <c r="U9" s="279" t="s">
        <v>36</v>
      </c>
      <c r="V9" s="279"/>
      <c r="W9" s="279"/>
      <c r="X9" s="279" t="s">
        <v>37</v>
      </c>
      <c r="Y9" s="279"/>
      <c r="Z9" s="279" t="s">
        <v>38</v>
      </c>
      <c r="AA9" s="279"/>
      <c r="AB9" s="275"/>
      <c r="AC9" s="276"/>
    </row>
    <row r="10" spans="1:32" x14ac:dyDescent="0.3">
      <c r="A10" s="171"/>
      <c r="B10" s="174"/>
      <c r="C10" s="174"/>
      <c r="D10" s="174"/>
      <c r="E10" s="174"/>
      <c r="F10" s="174"/>
      <c r="G10" s="174"/>
      <c r="H10" s="174"/>
      <c r="I10" s="174"/>
      <c r="J10" s="172"/>
      <c r="K10" s="277"/>
      <c r="L10" s="278"/>
      <c r="M10" s="277"/>
      <c r="N10" s="278"/>
      <c r="O10" s="293"/>
      <c r="P10" s="294"/>
      <c r="Q10" s="295"/>
      <c r="R10" s="277"/>
      <c r="S10" s="298"/>
      <c r="T10" s="278"/>
      <c r="U10" s="280"/>
      <c r="V10" s="280"/>
      <c r="W10" s="280"/>
      <c r="X10" s="280"/>
      <c r="Y10" s="280"/>
      <c r="Z10" s="280"/>
      <c r="AA10" s="280"/>
      <c r="AB10" s="277"/>
      <c r="AC10" s="278"/>
    </row>
    <row r="11" spans="1:32" ht="24.9" customHeight="1" x14ac:dyDescent="0.3">
      <c r="A11" s="281" t="s">
        <v>39</v>
      </c>
      <c r="B11" s="282"/>
      <c r="C11" s="282"/>
      <c r="D11" s="282"/>
      <c r="E11" s="282"/>
      <c r="F11" s="282"/>
      <c r="G11" s="282"/>
      <c r="H11" s="282"/>
      <c r="I11" s="282"/>
      <c r="J11" s="283"/>
      <c r="K11" s="224">
        <v>44</v>
      </c>
      <c r="L11" s="226"/>
      <c r="M11" s="224">
        <v>10</v>
      </c>
      <c r="N11" s="226"/>
      <c r="O11" s="224">
        <v>0</v>
      </c>
      <c r="P11" s="225"/>
      <c r="Q11" s="226"/>
      <c r="R11" s="224">
        <v>54</v>
      </c>
      <c r="S11" s="225"/>
      <c r="T11" s="226"/>
      <c r="U11" s="224">
        <v>0</v>
      </c>
      <c r="V11" s="225"/>
      <c r="W11" s="226"/>
      <c r="X11" s="224">
        <v>0</v>
      </c>
      <c r="Y11" s="226"/>
      <c r="Z11" s="224">
        <v>0</v>
      </c>
      <c r="AA11" s="226"/>
      <c r="AB11" s="299">
        <v>54</v>
      </c>
      <c r="AC11" s="300"/>
    </row>
    <row r="12" spans="1:32" ht="24.9" customHeight="1" x14ac:dyDescent="0.3">
      <c r="A12" s="281" t="s">
        <v>40</v>
      </c>
      <c r="B12" s="282"/>
      <c r="C12" s="282"/>
      <c r="D12" s="282"/>
      <c r="E12" s="282"/>
      <c r="F12" s="282"/>
      <c r="G12" s="282"/>
      <c r="H12" s="282"/>
      <c r="I12" s="282"/>
      <c r="J12" s="283"/>
      <c r="K12" s="224">
        <v>13</v>
      </c>
      <c r="L12" s="226"/>
      <c r="M12" s="224">
        <v>1</v>
      </c>
      <c r="N12" s="226"/>
      <c r="O12" s="224">
        <v>0</v>
      </c>
      <c r="P12" s="225"/>
      <c r="Q12" s="226"/>
      <c r="R12" s="224">
        <v>14</v>
      </c>
      <c r="S12" s="225"/>
      <c r="T12" s="226"/>
      <c r="U12" s="224">
        <v>0</v>
      </c>
      <c r="V12" s="225"/>
      <c r="W12" s="226"/>
      <c r="X12" s="224">
        <v>0</v>
      </c>
      <c r="Y12" s="226"/>
      <c r="Z12" s="224">
        <v>0</v>
      </c>
      <c r="AA12" s="226"/>
      <c r="AB12" s="299">
        <v>14</v>
      </c>
      <c r="AC12" s="300"/>
    </row>
    <row r="13" spans="1:32" ht="24.9" customHeight="1" x14ac:dyDescent="0.3">
      <c r="A13" s="281" t="s">
        <v>41</v>
      </c>
      <c r="B13" s="282"/>
      <c r="C13" s="282"/>
      <c r="D13" s="282"/>
      <c r="E13" s="282"/>
      <c r="F13" s="282"/>
      <c r="G13" s="282"/>
      <c r="H13" s="282"/>
      <c r="I13" s="282"/>
      <c r="J13" s="283"/>
      <c r="K13" s="224">
        <v>0</v>
      </c>
      <c r="L13" s="226"/>
      <c r="M13" s="224">
        <v>0</v>
      </c>
      <c r="N13" s="226"/>
      <c r="O13" s="224">
        <v>0</v>
      </c>
      <c r="P13" s="225"/>
      <c r="Q13" s="226"/>
      <c r="R13" s="224">
        <v>0</v>
      </c>
      <c r="S13" s="225"/>
      <c r="T13" s="226"/>
      <c r="U13" s="224">
        <v>0</v>
      </c>
      <c r="V13" s="225"/>
      <c r="W13" s="226"/>
      <c r="X13" s="224">
        <v>0</v>
      </c>
      <c r="Y13" s="226"/>
      <c r="Z13" s="224">
        <v>0</v>
      </c>
      <c r="AA13" s="226"/>
      <c r="AB13" s="299">
        <v>0</v>
      </c>
      <c r="AC13" s="300"/>
    </row>
    <row r="14" spans="1:32" ht="24.9" customHeight="1" x14ac:dyDescent="0.3">
      <c r="A14" s="281" t="s">
        <v>42</v>
      </c>
      <c r="B14" s="282"/>
      <c r="C14" s="282"/>
      <c r="D14" s="282"/>
      <c r="E14" s="282"/>
      <c r="F14" s="282"/>
      <c r="G14" s="282"/>
      <c r="H14" s="282"/>
      <c r="I14" s="282"/>
      <c r="J14" s="283"/>
      <c r="K14" s="224">
        <v>4</v>
      </c>
      <c r="L14" s="226"/>
      <c r="M14" s="224">
        <v>0</v>
      </c>
      <c r="N14" s="226"/>
      <c r="O14" s="224">
        <v>0</v>
      </c>
      <c r="P14" s="225"/>
      <c r="Q14" s="226"/>
      <c r="R14" s="224">
        <v>4</v>
      </c>
      <c r="S14" s="225"/>
      <c r="T14" s="226"/>
      <c r="U14" s="224">
        <v>0</v>
      </c>
      <c r="V14" s="225"/>
      <c r="W14" s="226"/>
      <c r="X14" s="224">
        <v>0</v>
      </c>
      <c r="Y14" s="226"/>
      <c r="Z14" s="224">
        <v>0</v>
      </c>
      <c r="AA14" s="226"/>
      <c r="AB14" s="299">
        <v>4</v>
      </c>
      <c r="AC14" s="300"/>
    </row>
    <row r="15" spans="1:32" ht="24.9" customHeight="1" x14ac:dyDescent="0.3">
      <c r="A15" s="281" t="s">
        <v>7</v>
      </c>
      <c r="B15" s="282"/>
      <c r="C15" s="282"/>
      <c r="D15" s="282"/>
      <c r="E15" s="282"/>
      <c r="F15" s="282"/>
      <c r="G15" s="282"/>
      <c r="H15" s="282"/>
      <c r="I15" s="282"/>
      <c r="J15" s="283"/>
      <c r="K15" s="224">
        <v>61</v>
      </c>
      <c r="L15" s="226"/>
      <c r="M15" s="224">
        <v>11</v>
      </c>
      <c r="N15" s="226"/>
      <c r="O15" s="224">
        <v>0</v>
      </c>
      <c r="P15" s="225"/>
      <c r="Q15" s="226"/>
      <c r="R15" s="224">
        <v>72</v>
      </c>
      <c r="S15" s="225"/>
      <c r="T15" s="226"/>
      <c r="U15" s="224">
        <v>0</v>
      </c>
      <c r="V15" s="225"/>
      <c r="W15" s="226"/>
      <c r="X15" s="224">
        <v>0</v>
      </c>
      <c r="Y15" s="226"/>
      <c r="Z15" s="224">
        <v>0</v>
      </c>
      <c r="AA15" s="226"/>
      <c r="AB15" s="299">
        <v>72</v>
      </c>
      <c r="AC15" s="300"/>
    </row>
    <row r="16" spans="1:32" ht="15.6" x14ac:dyDescent="0.3">
      <c r="A16" s="45" t="s">
        <v>43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7"/>
      <c r="V16" s="47"/>
      <c r="W16" s="47"/>
      <c r="X16" s="47"/>
      <c r="Y16" s="47"/>
      <c r="Z16" s="47"/>
      <c r="AA16" s="47"/>
      <c r="AB16" s="47"/>
      <c r="AC16" s="4"/>
    </row>
    <row r="17" spans="1:32" ht="21.75" customHeight="1" x14ac:dyDescent="0.3">
      <c r="A17" s="205"/>
      <c r="B17" s="206"/>
      <c r="C17" s="206"/>
      <c r="D17" s="206"/>
      <c r="E17" s="206"/>
      <c r="F17" s="206"/>
      <c r="G17" s="206"/>
      <c r="H17" s="206"/>
      <c r="I17" s="206"/>
      <c r="J17" s="207"/>
      <c r="K17" s="224" t="s">
        <v>0</v>
      </c>
      <c r="L17" s="226"/>
      <c r="M17" s="305" t="s">
        <v>1</v>
      </c>
      <c r="N17" s="306"/>
      <c r="O17" s="301" t="s">
        <v>2</v>
      </c>
      <c r="P17" s="302"/>
      <c r="Q17" s="301" t="s">
        <v>3</v>
      </c>
      <c r="R17" s="302"/>
      <c r="S17" s="301" t="s">
        <v>4</v>
      </c>
      <c r="T17" s="302"/>
      <c r="U17" s="301" t="s">
        <v>5</v>
      </c>
      <c r="V17" s="302"/>
      <c r="W17" s="301" t="s">
        <v>6</v>
      </c>
      <c r="X17" s="302"/>
      <c r="Y17" s="301" t="s">
        <v>44</v>
      </c>
      <c r="Z17" s="302"/>
      <c r="AA17" s="301" t="s">
        <v>7</v>
      </c>
      <c r="AB17" s="302"/>
      <c r="AC17" s="303" t="s">
        <v>86</v>
      </c>
      <c r="AD17" s="5"/>
      <c r="AE17" s="6"/>
      <c r="AF17" s="6"/>
    </row>
    <row r="18" spans="1:32" x14ac:dyDescent="0.3">
      <c r="A18" s="208"/>
      <c r="B18" s="209"/>
      <c r="C18" s="209"/>
      <c r="D18" s="209"/>
      <c r="E18" s="209"/>
      <c r="F18" s="209"/>
      <c r="G18" s="209"/>
      <c r="H18" s="209"/>
      <c r="I18" s="209"/>
      <c r="J18" s="210"/>
      <c r="K18" s="7" t="s">
        <v>9</v>
      </c>
      <c r="L18" s="7" t="s">
        <v>10</v>
      </c>
      <c r="M18" s="7" t="s">
        <v>9</v>
      </c>
      <c r="N18" s="7" t="s">
        <v>10</v>
      </c>
      <c r="O18" s="7" t="s">
        <v>9</v>
      </c>
      <c r="P18" s="7" t="s">
        <v>10</v>
      </c>
      <c r="Q18" s="7" t="s">
        <v>9</v>
      </c>
      <c r="R18" s="7" t="s">
        <v>10</v>
      </c>
      <c r="S18" s="7" t="s">
        <v>9</v>
      </c>
      <c r="T18" s="7" t="s">
        <v>10</v>
      </c>
      <c r="U18" s="7" t="s">
        <v>9</v>
      </c>
      <c r="V18" s="7" t="s">
        <v>10</v>
      </c>
      <c r="W18" s="7" t="s">
        <v>9</v>
      </c>
      <c r="X18" s="7" t="s">
        <v>10</v>
      </c>
      <c r="Y18" s="7" t="s">
        <v>9</v>
      </c>
      <c r="Z18" s="7" t="s">
        <v>10</v>
      </c>
      <c r="AA18" s="7" t="s">
        <v>9</v>
      </c>
      <c r="AB18" s="7" t="s">
        <v>10</v>
      </c>
      <c r="AC18" s="304"/>
    </row>
    <row r="19" spans="1:32" ht="24.9" customHeight="1" x14ac:dyDescent="0.3">
      <c r="A19" s="281" t="s">
        <v>39</v>
      </c>
      <c r="B19" s="282"/>
      <c r="C19" s="282"/>
      <c r="D19" s="282"/>
      <c r="E19" s="282"/>
      <c r="F19" s="282"/>
      <c r="G19" s="282"/>
      <c r="H19" s="282"/>
      <c r="I19" s="282"/>
      <c r="J19" s="283"/>
      <c r="K19" s="7">
        <v>0</v>
      </c>
      <c r="L19" s="7">
        <v>0</v>
      </c>
      <c r="M19" s="7">
        <v>0</v>
      </c>
      <c r="N19" s="7">
        <v>0</v>
      </c>
      <c r="O19" s="7">
        <v>4</v>
      </c>
      <c r="P19" s="7">
        <v>16</v>
      </c>
      <c r="Q19" s="7">
        <v>5</v>
      </c>
      <c r="R19" s="7">
        <v>7</v>
      </c>
      <c r="S19" s="7">
        <v>4</v>
      </c>
      <c r="T19" s="7">
        <v>6</v>
      </c>
      <c r="U19" s="7">
        <v>4</v>
      </c>
      <c r="V19" s="7">
        <v>4</v>
      </c>
      <c r="W19" s="7">
        <v>1</v>
      </c>
      <c r="X19" s="7">
        <v>1</v>
      </c>
      <c r="Y19" s="7">
        <v>1</v>
      </c>
      <c r="Z19" s="7">
        <v>1</v>
      </c>
      <c r="AA19" s="7">
        <v>19</v>
      </c>
      <c r="AB19" s="7">
        <v>35</v>
      </c>
      <c r="AC19" s="7">
        <v>54</v>
      </c>
    </row>
    <row r="20" spans="1:32" ht="24.9" customHeight="1" x14ac:dyDescent="0.3">
      <c r="A20" s="281" t="s">
        <v>40</v>
      </c>
      <c r="B20" s="282"/>
      <c r="C20" s="282"/>
      <c r="D20" s="282"/>
      <c r="E20" s="282"/>
      <c r="F20" s="282"/>
      <c r="G20" s="282"/>
      <c r="H20" s="282"/>
      <c r="I20" s="282"/>
      <c r="J20" s="283"/>
      <c r="K20" s="7">
        <v>0</v>
      </c>
      <c r="L20" s="7">
        <v>0</v>
      </c>
      <c r="M20" s="7">
        <v>0</v>
      </c>
      <c r="N20" s="7">
        <v>0</v>
      </c>
      <c r="O20" s="7">
        <v>1</v>
      </c>
      <c r="P20" s="7">
        <v>1</v>
      </c>
      <c r="Q20" s="7">
        <v>0</v>
      </c>
      <c r="R20" s="7">
        <v>2</v>
      </c>
      <c r="S20" s="7">
        <v>5</v>
      </c>
      <c r="T20" s="7">
        <v>1</v>
      </c>
      <c r="U20" s="7">
        <v>1</v>
      </c>
      <c r="V20" s="7">
        <v>0</v>
      </c>
      <c r="W20" s="7">
        <v>0</v>
      </c>
      <c r="X20" s="7">
        <v>2</v>
      </c>
      <c r="Y20" s="7">
        <v>0</v>
      </c>
      <c r="Z20" s="7">
        <v>1</v>
      </c>
      <c r="AA20" s="7">
        <v>7</v>
      </c>
      <c r="AB20" s="7">
        <v>7</v>
      </c>
      <c r="AC20" s="7">
        <v>14</v>
      </c>
    </row>
    <row r="21" spans="1:32" ht="24.9" customHeight="1" x14ac:dyDescent="0.3">
      <c r="A21" s="281" t="s">
        <v>41</v>
      </c>
      <c r="B21" s="282"/>
      <c r="C21" s="282"/>
      <c r="D21" s="282"/>
      <c r="E21" s="282"/>
      <c r="F21" s="282"/>
      <c r="G21" s="282"/>
      <c r="H21" s="282"/>
      <c r="I21" s="282"/>
      <c r="J21" s="283"/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</row>
    <row r="22" spans="1:32" ht="24.9" customHeight="1" x14ac:dyDescent="0.3">
      <c r="A22" s="281" t="s">
        <v>42</v>
      </c>
      <c r="B22" s="282"/>
      <c r="C22" s="282"/>
      <c r="D22" s="282"/>
      <c r="E22" s="282"/>
      <c r="F22" s="282"/>
      <c r="G22" s="282"/>
      <c r="H22" s="282"/>
      <c r="I22" s="282"/>
      <c r="J22" s="283"/>
      <c r="K22" s="7">
        <v>0</v>
      </c>
      <c r="L22" s="7">
        <v>0</v>
      </c>
      <c r="M22" s="7">
        <v>0</v>
      </c>
      <c r="N22" s="7">
        <v>0</v>
      </c>
      <c r="O22" s="7">
        <v>1</v>
      </c>
      <c r="P22" s="7">
        <v>1</v>
      </c>
      <c r="Q22" s="7">
        <v>1</v>
      </c>
      <c r="R22" s="7">
        <v>0</v>
      </c>
      <c r="S22" s="7">
        <v>0</v>
      </c>
      <c r="T22" s="7">
        <v>0</v>
      </c>
      <c r="U22" s="7">
        <v>1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3</v>
      </c>
      <c r="AB22" s="7">
        <v>1</v>
      </c>
      <c r="AC22" s="7">
        <v>4</v>
      </c>
    </row>
    <row r="23" spans="1:32" ht="24.9" customHeight="1" x14ac:dyDescent="0.3">
      <c r="A23" s="224" t="s">
        <v>7</v>
      </c>
      <c r="B23" s="225"/>
      <c r="C23" s="225"/>
      <c r="D23" s="225"/>
      <c r="E23" s="225"/>
      <c r="F23" s="225"/>
      <c r="G23" s="225"/>
      <c r="H23" s="225"/>
      <c r="I23" s="225"/>
      <c r="J23" s="226"/>
      <c r="K23" s="7">
        <v>0</v>
      </c>
      <c r="L23" s="7">
        <v>0</v>
      </c>
      <c r="M23" s="7">
        <v>0</v>
      </c>
      <c r="N23" s="7">
        <v>0</v>
      </c>
      <c r="O23" s="7">
        <v>6</v>
      </c>
      <c r="P23" s="7">
        <v>18</v>
      </c>
      <c r="Q23" s="7">
        <v>6</v>
      </c>
      <c r="R23" s="7">
        <v>9</v>
      </c>
      <c r="S23" s="7">
        <v>9</v>
      </c>
      <c r="T23" s="7">
        <v>7</v>
      </c>
      <c r="U23" s="7">
        <v>6</v>
      </c>
      <c r="V23" s="7">
        <v>4</v>
      </c>
      <c r="W23" s="7">
        <v>1</v>
      </c>
      <c r="X23" s="7">
        <v>3</v>
      </c>
      <c r="Y23" s="7">
        <v>1</v>
      </c>
      <c r="Z23" s="7">
        <v>2</v>
      </c>
      <c r="AA23" s="7">
        <v>29</v>
      </c>
      <c r="AB23" s="7">
        <v>43</v>
      </c>
      <c r="AC23" s="7">
        <v>72</v>
      </c>
    </row>
    <row r="24" spans="1:32" ht="6.75" customHeight="1" x14ac:dyDescent="0.3">
      <c r="A24" s="8"/>
      <c r="B24" s="9"/>
      <c r="C24" s="9"/>
      <c r="D24" s="9"/>
      <c r="E24" s="9"/>
      <c r="F24" s="10"/>
      <c r="G24" s="11"/>
      <c r="H24" s="11"/>
      <c r="I24" s="11"/>
      <c r="J24" s="11"/>
      <c r="K24" s="11"/>
      <c r="L24" s="11"/>
      <c r="M24" s="50"/>
      <c r="N24" s="11"/>
      <c r="O24" s="227"/>
      <c r="P24" s="228"/>
      <c r="Q24" s="12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3"/>
    </row>
    <row r="25" spans="1:32" ht="18" customHeight="1" x14ac:dyDescent="0.3">
      <c r="A25" s="14" t="s">
        <v>45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6"/>
      <c r="M25" s="17"/>
      <c r="N25" s="14" t="s">
        <v>46</v>
      </c>
      <c r="O25" s="15"/>
      <c r="P25" s="15"/>
      <c r="Q25" s="15"/>
      <c r="R25" s="15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9"/>
    </row>
    <row r="26" spans="1:32" ht="42.75" customHeight="1" x14ac:dyDescent="0.3">
      <c r="A26" s="307" t="s">
        <v>47</v>
      </c>
      <c r="B26" s="312" t="s">
        <v>48</v>
      </c>
      <c r="C26" s="313"/>
      <c r="D26" s="314" t="s">
        <v>49</v>
      </c>
      <c r="E26" s="315"/>
      <c r="F26" s="316"/>
      <c r="G26" s="314" t="s">
        <v>50</v>
      </c>
      <c r="H26" s="315"/>
      <c r="I26" s="315"/>
      <c r="J26" s="316"/>
      <c r="K26" s="307" t="s">
        <v>51</v>
      </c>
      <c r="L26" s="307" t="s">
        <v>52</v>
      </c>
      <c r="M26" s="20"/>
      <c r="N26" s="309" t="s">
        <v>53</v>
      </c>
      <c r="O26" s="310"/>
      <c r="P26" s="311"/>
      <c r="Q26" s="309" t="s">
        <v>54</v>
      </c>
      <c r="R26" s="310"/>
      <c r="S26" s="311"/>
      <c r="T26" s="309" t="s">
        <v>55</v>
      </c>
      <c r="U26" s="310"/>
      <c r="V26" s="310"/>
      <c r="W26" s="310"/>
      <c r="X26" s="310"/>
      <c r="Y26" s="310"/>
      <c r="Z26" s="310"/>
      <c r="AA26" s="310"/>
      <c r="AB26" s="310"/>
      <c r="AC26" s="311"/>
    </row>
    <row r="27" spans="1:32" ht="48" customHeight="1" x14ac:dyDescent="0.3">
      <c r="A27" s="308"/>
      <c r="B27" s="21" t="s">
        <v>7</v>
      </c>
      <c r="C27" s="22" t="s">
        <v>87</v>
      </c>
      <c r="D27" s="22" t="s">
        <v>56</v>
      </c>
      <c r="E27" s="22" t="s">
        <v>88</v>
      </c>
      <c r="F27" s="22" t="s">
        <v>89</v>
      </c>
      <c r="G27" s="23" t="s">
        <v>56</v>
      </c>
      <c r="H27" s="22" t="s">
        <v>90</v>
      </c>
      <c r="I27" s="23" t="s">
        <v>57</v>
      </c>
      <c r="J27" s="23" t="s">
        <v>58</v>
      </c>
      <c r="K27" s="308"/>
      <c r="L27" s="308"/>
      <c r="M27" s="20"/>
      <c r="N27" s="309">
        <v>0</v>
      </c>
      <c r="O27" s="310"/>
      <c r="P27" s="311"/>
      <c r="Q27" s="309">
        <v>0</v>
      </c>
      <c r="R27" s="310"/>
      <c r="S27" s="311"/>
      <c r="T27" s="309">
        <v>0</v>
      </c>
      <c r="U27" s="310"/>
      <c r="V27" s="310"/>
      <c r="W27" s="310"/>
      <c r="X27" s="310"/>
      <c r="Y27" s="310"/>
      <c r="Z27" s="310"/>
      <c r="AA27" s="310"/>
      <c r="AB27" s="310"/>
      <c r="AC27" s="311"/>
    </row>
    <row r="28" spans="1:32" ht="38.25" customHeight="1" x14ac:dyDescent="0.3">
      <c r="A28" s="270">
        <v>14028</v>
      </c>
      <c r="B28" s="270">
        <v>338</v>
      </c>
      <c r="C28" s="270">
        <v>3</v>
      </c>
      <c r="D28" s="270">
        <v>89</v>
      </c>
      <c r="E28" s="270">
        <v>140</v>
      </c>
      <c r="F28" s="270">
        <v>94</v>
      </c>
      <c r="G28" s="270">
        <v>3</v>
      </c>
      <c r="H28" s="270">
        <v>37</v>
      </c>
      <c r="I28" s="270">
        <v>14</v>
      </c>
      <c r="J28" s="270">
        <v>54</v>
      </c>
      <c r="K28" s="270">
        <v>54</v>
      </c>
      <c r="L28" s="270">
        <v>65</v>
      </c>
      <c r="M28" s="20"/>
      <c r="N28" s="309" t="s">
        <v>59</v>
      </c>
      <c r="O28" s="310"/>
      <c r="P28" s="311"/>
      <c r="Q28" s="309" t="s">
        <v>60</v>
      </c>
      <c r="R28" s="310"/>
      <c r="S28" s="311"/>
      <c r="T28" s="293" t="s">
        <v>61</v>
      </c>
      <c r="U28" s="294"/>
      <c r="V28" s="294"/>
      <c r="W28" s="295"/>
      <c r="X28" s="293" t="s">
        <v>62</v>
      </c>
      <c r="Y28" s="294"/>
      <c r="Z28" s="294"/>
      <c r="AA28" s="294"/>
      <c r="AB28" s="294"/>
      <c r="AC28" s="295"/>
    </row>
    <row r="29" spans="1:32" ht="19.5" customHeight="1" x14ac:dyDescent="0.3">
      <c r="A29" s="271"/>
      <c r="B29" s="271"/>
      <c r="C29" s="271"/>
      <c r="D29" s="271"/>
      <c r="E29" s="271"/>
      <c r="F29" s="271"/>
      <c r="G29" s="271"/>
      <c r="H29" s="271"/>
      <c r="I29" s="271"/>
      <c r="J29" s="271"/>
      <c r="K29" s="271"/>
      <c r="L29" s="271"/>
      <c r="M29" s="54"/>
      <c r="N29" s="287">
        <v>0</v>
      </c>
      <c r="O29" s="288"/>
      <c r="P29" s="289"/>
      <c r="Q29" s="287">
        <v>0</v>
      </c>
      <c r="R29" s="288"/>
      <c r="S29" s="289"/>
      <c r="T29" s="287">
        <v>0</v>
      </c>
      <c r="U29" s="288"/>
      <c r="V29" s="288"/>
      <c r="W29" s="289"/>
      <c r="X29" s="24"/>
      <c r="Y29" s="309" t="s">
        <v>0</v>
      </c>
      <c r="Z29" s="311"/>
      <c r="AA29" s="25" t="s">
        <v>1</v>
      </c>
      <c r="AB29" s="309" t="s">
        <v>63</v>
      </c>
      <c r="AC29" s="311"/>
    </row>
    <row r="30" spans="1:32" ht="18" customHeight="1" x14ac:dyDescent="0.3">
      <c r="A30" s="271"/>
      <c r="B30" s="271"/>
      <c r="C30" s="271"/>
      <c r="D30" s="271"/>
      <c r="E30" s="271"/>
      <c r="F30" s="271"/>
      <c r="G30" s="271"/>
      <c r="H30" s="271"/>
      <c r="I30" s="271"/>
      <c r="J30" s="271"/>
      <c r="K30" s="271"/>
      <c r="L30" s="271"/>
      <c r="M30" s="54"/>
      <c r="N30" s="290"/>
      <c r="O30" s="291"/>
      <c r="P30" s="292"/>
      <c r="Q30" s="290"/>
      <c r="R30" s="291"/>
      <c r="S30" s="292"/>
      <c r="T30" s="290"/>
      <c r="U30" s="291"/>
      <c r="V30" s="291"/>
      <c r="W30" s="292"/>
      <c r="X30" s="26" t="s">
        <v>64</v>
      </c>
      <c r="Y30" s="317">
        <v>0</v>
      </c>
      <c r="Z30" s="317"/>
      <c r="AA30" s="25">
        <v>0</v>
      </c>
      <c r="AB30" s="317">
        <v>0</v>
      </c>
      <c r="AC30" s="317"/>
    </row>
    <row r="31" spans="1:32" ht="18" customHeight="1" x14ac:dyDescent="0.3">
      <c r="A31" s="271"/>
      <c r="B31" s="271"/>
      <c r="C31" s="271"/>
      <c r="D31" s="271"/>
      <c r="E31" s="271"/>
      <c r="F31" s="271"/>
      <c r="G31" s="271"/>
      <c r="H31" s="271"/>
      <c r="I31" s="271"/>
      <c r="J31" s="271"/>
      <c r="K31" s="271"/>
      <c r="L31" s="271"/>
      <c r="M31" s="54"/>
      <c r="N31" s="290"/>
      <c r="O31" s="291"/>
      <c r="P31" s="292"/>
      <c r="Q31" s="290"/>
      <c r="R31" s="291"/>
      <c r="S31" s="292"/>
      <c r="T31" s="290"/>
      <c r="U31" s="291"/>
      <c r="V31" s="291"/>
      <c r="W31" s="292"/>
      <c r="X31" s="26" t="s">
        <v>65</v>
      </c>
      <c r="Y31" s="317">
        <v>0</v>
      </c>
      <c r="Z31" s="317"/>
      <c r="AA31" s="25">
        <v>0</v>
      </c>
      <c r="AB31" s="317">
        <v>0</v>
      </c>
      <c r="AC31" s="317"/>
    </row>
    <row r="32" spans="1:32" ht="18" customHeight="1" x14ac:dyDescent="0.3">
      <c r="A32" s="272"/>
      <c r="B32" s="272"/>
      <c r="C32" s="272"/>
      <c r="D32" s="272"/>
      <c r="E32" s="272"/>
      <c r="F32" s="272"/>
      <c r="G32" s="272"/>
      <c r="H32" s="272"/>
      <c r="I32" s="272"/>
      <c r="J32" s="272"/>
      <c r="K32" s="272"/>
      <c r="L32" s="272"/>
      <c r="M32" s="54"/>
      <c r="N32" s="293"/>
      <c r="O32" s="294"/>
      <c r="P32" s="295"/>
      <c r="Q32" s="293"/>
      <c r="R32" s="294"/>
      <c r="S32" s="295"/>
      <c r="T32" s="293"/>
      <c r="U32" s="294"/>
      <c r="V32" s="294"/>
      <c r="W32" s="295"/>
      <c r="X32" s="26" t="s">
        <v>66</v>
      </c>
      <c r="Y32" s="317">
        <v>0</v>
      </c>
      <c r="Z32" s="317"/>
      <c r="AA32" s="25">
        <v>0</v>
      </c>
      <c r="AB32" s="317">
        <v>0</v>
      </c>
      <c r="AC32" s="317"/>
    </row>
    <row r="33" spans="1:29" ht="8.25" customHeight="1" x14ac:dyDescent="0.3">
      <c r="A33" s="27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59"/>
      <c r="N33" s="28"/>
      <c r="O33" s="28"/>
      <c r="P33" s="28"/>
      <c r="Q33" s="28"/>
      <c r="R33" s="28"/>
      <c r="S33" s="28"/>
      <c r="T33" s="28"/>
      <c r="U33" s="29"/>
      <c r="V33" s="29"/>
      <c r="W33" s="29"/>
      <c r="X33" s="29"/>
      <c r="Y33" s="29"/>
      <c r="Z33" s="29"/>
      <c r="AA33" s="28"/>
      <c r="AB33" s="28"/>
      <c r="AC33" s="4"/>
    </row>
    <row r="34" spans="1:29" ht="18" customHeight="1" x14ac:dyDescent="0.3">
      <c r="A34" s="14" t="s">
        <v>67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6"/>
      <c r="M34" s="30"/>
      <c r="N34" s="14" t="s">
        <v>68</v>
      </c>
      <c r="O34" s="16"/>
      <c r="P34" s="15"/>
      <c r="Q34" s="31"/>
      <c r="R34" s="15"/>
      <c r="S34" s="15"/>
      <c r="T34" s="15"/>
      <c r="U34" s="15"/>
      <c r="V34" s="15"/>
      <c r="W34" s="15"/>
      <c r="X34" s="15"/>
      <c r="Y34" s="15"/>
      <c r="Z34" s="15"/>
      <c r="AA34" s="18"/>
      <c r="AB34" s="18"/>
      <c r="AC34" s="32"/>
    </row>
    <row r="35" spans="1:29" ht="57" customHeight="1" x14ac:dyDescent="0.3">
      <c r="A35" s="205"/>
      <c r="B35" s="206"/>
      <c r="C35" s="206"/>
      <c r="D35" s="206"/>
      <c r="E35" s="206"/>
      <c r="F35" s="207"/>
      <c r="G35" s="224" t="s">
        <v>11</v>
      </c>
      <c r="H35" s="226"/>
      <c r="I35" s="224" t="s">
        <v>12</v>
      </c>
      <c r="J35" s="226"/>
      <c r="K35" s="33" t="s">
        <v>69</v>
      </c>
      <c r="L35" s="34"/>
      <c r="M35" s="62"/>
      <c r="N35" s="314" t="s">
        <v>70</v>
      </c>
      <c r="O35" s="315"/>
      <c r="P35" s="316"/>
      <c r="Q35" s="314" t="s">
        <v>71</v>
      </c>
      <c r="R35" s="315"/>
      <c r="S35" s="316"/>
      <c r="T35" s="314" t="s">
        <v>72</v>
      </c>
      <c r="U35" s="315"/>
      <c r="V35" s="316"/>
      <c r="W35" s="314" t="s">
        <v>73</v>
      </c>
      <c r="X35" s="315"/>
      <c r="Y35" s="315"/>
      <c r="Z35" s="316"/>
      <c r="AA35" s="314" t="s">
        <v>74</v>
      </c>
      <c r="AB35" s="315"/>
      <c r="AC35" s="316"/>
    </row>
    <row r="36" spans="1:29" ht="13.5" customHeight="1" x14ac:dyDescent="0.3">
      <c r="A36" s="208"/>
      <c r="B36" s="209"/>
      <c r="C36" s="209"/>
      <c r="D36" s="209"/>
      <c r="E36" s="209"/>
      <c r="F36" s="210"/>
      <c r="G36" s="7" t="s">
        <v>75</v>
      </c>
      <c r="H36" s="7" t="s">
        <v>13</v>
      </c>
      <c r="I36" s="7" t="s">
        <v>75</v>
      </c>
      <c r="J36" s="7" t="s">
        <v>13</v>
      </c>
      <c r="K36" s="7" t="s">
        <v>75</v>
      </c>
      <c r="L36" s="7" t="s">
        <v>13</v>
      </c>
      <c r="M36" s="63"/>
      <c r="N36" s="35" t="s">
        <v>0</v>
      </c>
      <c r="O36" s="36" t="s">
        <v>1</v>
      </c>
      <c r="P36" s="36" t="s">
        <v>91</v>
      </c>
      <c r="Q36" s="35" t="s">
        <v>0</v>
      </c>
      <c r="R36" s="36" t="s">
        <v>1</v>
      </c>
      <c r="S36" s="36" t="s">
        <v>91</v>
      </c>
      <c r="T36" s="35" t="s">
        <v>0</v>
      </c>
      <c r="U36" s="36" t="s">
        <v>1</v>
      </c>
      <c r="V36" s="36" t="s">
        <v>91</v>
      </c>
      <c r="W36" s="37"/>
      <c r="X36" s="35" t="s">
        <v>0</v>
      </c>
      <c r="Y36" s="38" t="s">
        <v>1</v>
      </c>
      <c r="Z36" s="39" t="s">
        <v>76</v>
      </c>
      <c r="AA36" s="35" t="s">
        <v>0</v>
      </c>
      <c r="AB36" s="38" t="s">
        <v>1</v>
      </c>
      <c r="AC36" s="39" t="s">
        <v>76</v>
      </c>
    </row>
    <row r="37" spans="1:29" ht="24.9" customHeight="1" x14ac:dyDescent="0.3">
      <c r="A37" s="299" t="s">
        <v>77</v>
      </c>
      <c r="B37" s="318"/>
      <c r="C37" s="318"/>
      <c r="D37" s="318"/>
      <c r="E37" s="318"/>
      <c r="F37" s="300"/>
      <c r="G37" s="7">
        <v>32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63"/>
      <c r="N37" s="321">
        <v>0</v>
      </c>
      <c r="O37" s="321">
        <v>0</v>
      </c>
      <c r="P37" s="321">
        <v>13</v>
      </c>
      <c r="Q37" s="321">
        <v>0</v>
      </c>
      <c r="R37" s="321">
        <v>7</v>
      </c>
      <c r="S37" s="321">
        <v>40</v>
      </c>
      <c r="T37" s="321">
        <v>0</v>
      </c>
      <c r="U37" s="321">
        <v>0</v>
      </c>
      <c r="V37" s="321">
        <v>5</v>
      </c>
      <c r="W37" s="40" t="s">
        <v>64</v>
      </c>
      <c r="X37" s="41">
        <v>0</v>
      </c>
      <c r="Y37" s="41">
        <v>0</v>
      </c>
      <c r="Z37" s="41">
        <v>0</v>
      </c>
      <c r="AA37" s="41">
        <v>0</v>
      </c>
      <c r="AB37" s="41">
        <v>0</v>
      </c>
      <c r="AC37" s="41">
        <v>0</v>
      </c>
    </row>
    <row r="38" spans="1:29" ht="24.9" customHeight="1" x14ac:dyDescent="0.3">
      <c r="A38" s="299" t="s">
        <v>8</v>
      </c>
      <c r="B38" s="318"/>
      <c r="C38" s="318"/>
      <c r="D38" s="318"/>
      <c r="E38" s="318"/>
      <c r="F38" s="300"/>
      <c r="G38" s="7">
        <v>5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63"/>
      <c r="N38" s="322"/>
      <c r="O38" s="322"/>
      <c r="P38" s="322"/>
      <c r="Q38" s="322"/>
      <c r="R38" s="322"/>
      <c r="S38" s="322"/>
      <c r="T38" s="322"/>
      <c r="U38" s="322"/>
      <c r="V38" s="322"/>
      <c r="W38" s="40" t="s">
        <v>65</v>
      </c>
      <c r="X38" s="41">
        <v>0</v>
      </c>
      <c r="Y38" s="41">
        <v>0</v>
      </c>
      <c r="Z38" s="41">
        <v>0</v>
      </c>
      <c r="AA38" s="41">
        <v>0</v>
      </c>
      <c r="AB38" s="41">
        <v>0</v>
      </c>
      <c r="AC38" s="41">
        <v>0</v>
      </c>
    </row>
    <row r="39" spans="1:29" ht="24.9" customHeight="1" x14ac:dyDescent="0.3">
      <c r="A39" s="309" t="s">
        <v>78</v>
      </c>
      <c r="B39" s="310"/>
      <c r="C39" s="310"/>
      <c r="D39" s="310"/>
      <c r="E39" s="310"/>
      <c r="F39" s="311"/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63"/>
      <c r="N39" s="322"/>
      <c r="O39" s="322"/>
      <c r="P39" s="322"/>
      <c r="Q39" s="322"/>
      <c r="R39" s="322"/>
      <c r="S39" s="322"/>
      <c r="T39" s="322"/>
      <c r="U39" s="322"/>
      <c r="V39" s="322"/>
      <c r="W39" s="319" t="s">
        <v>66</v>
      </c>
      <c r="X39" s="321">
        <v>0</v>
      </c>
      <c r="Y39" s="321">
        <v>0</v>
      </c>
      <c r="Z39" s="321">
        <v>0</v>
      </c>
      <c r="AA39" s="321">
        <v>0</v>
      </c>
      <c r="AB39" s="321">
        <v>0</v>
      </c>
      <c r="AC39" s="321">
        <v>0</v>
      </c>
    </row>
    <row r="40" spans="1:29" ht="24.9" customHeight="1" x14ac:dyDescent="0.3">
      <c r="A40" s="224" t="s">
        <v>7</v>
      </c>
      <c r="B40" s="225"/>
      <c r="C40" s="225"/>
      <c r="D40" s="225"/>
      <c r="E40" s="225"/>
      <c r="F40" s="226"/>
      <c r="G40" s="7">
        <v>37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63"/>
      <c r="N40" s="323"/>
      <c r="O40" s="323"/>
      <c r="P40" s="323"/>
      <c r="Q40" s="323"/>
      <c r="R40" s="323"/>
      <c r="S40" s="323"/>
      <c r="T40" s="323"/>
      <c r="U40" s="323"/>
      <c r="V40" s="323"/>
      <c r="W40" s="320"/>
      <c r="X40" s="323"/>
      <c r="Y40" s="323"/>
      <c r="Z40" s="323"/>
      <c r="AA40" s="323"/>
      <c r="AB40" s="323"/>
      <c r="AC40" s="323"/>
    </row>
    <row r="41" spans="1:29" ht="23.4" x14ac:dyDescent="0.45">
      <c r="A41" s="158" t="s">
        <v>15</v>
      </c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  <c r="AA41" s="158"/>
      <c r="AB41" s="158"/>
      <c r="AC41" s="158"/>
    </row>
    <row r="42" spans="1:29" ht="23.4" x14ac:dyDescent="0.3">
      <c r="A42" s="159" t="s">
        <v>16</v>
      </c>
      <c r="B42" s="159"/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2"/>
      <c r="Y42" s="160" t="s">
        <v>17</v>
      </c>
      <c r="Z42" s="160"/>
      <c r="AA42" s="2"/>
      <c r="AB42" s="2"/>
      <c r="AC42" s="2"/>
    </row>
    <row r="43" spans="1:29" ht="30.9" customHeight="1" x14ac:dyDescent="0.3">
      <c r="A43" s="326" t="s">
        <v>18</v>
      </c>
      <c r="B43" s="326"/>
      <c r="C43" s="326"/>
      <c r="D43" s="326"/>
      <c r="E43" s="327" t="s">
        <v>99</v>
      </c>
      <c r="F43" s="327"/>
      <c r="G43" s="327"/>
      <c r="H43" s="327"/>
      <c r="I43" s="328" t="s">
        <v>20</v>
      </c>
      <c r="J43" s="328"/>
      <c r="K43" s="329" t="s">
        <v>85</v>
      </c>
      <c r="L43" s="329"/>
      <c r="M43" s="328" t="s">
        <v>21</v>
      </c>
      <c r="N43" s="328"/>
      <c r="O43" s="340" t="s">
        <v>92</v>
      </c>
      <c r="P43" s="340"/>
      <c r="Q43" s="340"/>
      <c r="R43" s="340"/>
      <c r="S43" s="43"/>
      <c r="T43" s="166" t="s">
        <v>22</v>
      </c>
      <c r="U43" s="166"/>
      <c r="V43" s="166"/>
      <c r="W43" s="166"/>
      <c r="X43" s="166"/>
      <c r="Y43" s="152" t="s">
        <v>79</v>
      </c>
      <c r="Z43" s="152"/>
      <c r="AA43" s="152"/>
      <c r="AB43" s="153" t="s">
        <v>83</v>
      </c>
      <c r="AC43" s="153"/>
    </row>
    <row r="44" spans="1:29" x14ac:dyDescent="0.3">
      <c r="T44" s="166"/>
      <c r="U44" s="166"/>
      <c r="V44" s="166"/>
      <c r="W44" s="166"/>
      <c r="X44" s="166"/>
      <c r="Y44" s="152"/>
      <c r="Z44" s="152"/>
      <c r="AA44" s="152"/>
      <c r="AB44" s="153"/>
      <c r="AC44" s="153"/>
    </row>
    <row r="45" spans="1:29" ht="15.6" x14ac:dyDescent="0.3">
      <c r="A45" s="324" t="s">
        <v>24</v>
      </c>
      <c r="B45" s="324"/>
      <c r="C45" s="324"/>
      <c r="D45" s="324"/>
      <c r="E45" s="324"/>
      <c r="F45" s="324"/>
      <c r="G45" s="324"/>
      <c r="H45" s="347" t="s">
        <v>25</v>
      </c>
      <c r="I45" s="347"/>
      <c r="J45" s="347"/>
      <c r="K45" s="347"/>
      <c r="L45" s="347"/>
      <c r="M45" s="347"/>
      <c r="N45" s="347"/>
      <c r="O45" s="44"/>
      <c r="P45" s="44"/>
      <c r="T45" s="156" t="s">
        <v>26</v>
      </c>
      <c r="U45" s="156"/>
      <c r="V45" s="156"/>
      <c r="W45" s="156"/>
      <c r="X45" s="156"/>
      <c r="Y45" s="156"/>
      <c r="Z45" s="265" t="s">
        <v>27</v>
      </c>
      <c r="AA45" s="265"/>
      <c r="AB45" s="265"/>
      <c r="AC45" s="265"/>
    </row>
    <row r="46" spans="1:29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" customHeight="1" x14ac:dyDescent="0.3">
      <c r="A47" s="284" t="s">
        <v>29</v>
      </c>
      <c r="B47" s="285"/>
      <c r="C47" s="285"/>
      <c r="D47" s="285"/>
      <c r="E47" s="285"/>
      <c r="F47" s="285"/>
      <c r="G47" s="285"/>
      <c r="H47" s="285"/>
      <c r="I47" s="285"/>
      <c r="J47" s="286"/>
      <c r="K47" s="273" t="s">
        <v>30</v>
      </c>
      <c r="L47" s="274"/>
      <c r="M47" s="273" t="s">
        <v>31</v>
      </c>
      <c r="N47" s="274"/>
      <c r="O47" s="287" t="s">
        <v>32</v>
      </c>
      <c r="P47" s="288"/>
      <c r="Q47" s="289"/>
      <c r="R47" s="273" t="s">
        <v>33</v>
      </c>
      <c r="S47" s="296"/>
      <c r="T47" s="274"/>
      <c r="U47" s="224" t="s">
        <v>34</v>
      </c>
      <c r="V47" s="225"/>
      <c r="W47" s="225"/>
      <c r="X47" s="225"/>
      <c r="Y47" s="225"/>
      <c r="Z47" s="225"/>
      <c r="AA47" s="226"/>
      <c r="AB47" s="273" t="s">
        <v>7</v>
      </c>
      <c r="AC47" s="274"/>
    </row>
    <row r="48" spans="1:29" ht="23.25" customHeight="1" x14ac:dyDescent="0.3">
      <c r="A48" s="169" t="s">
        <v>35</v>
      </c>
      <c r="B48" s="173"/>
      <c r="C48" s="173"/>
      <c r="D48" s="173"/>
      <c r="E48" s="173"/>
      <c r="F48" s="173"/>
      <c r="G48" s="173"/>
      <c r="H48" s="173"/>
      <c r="I48" s="173"/>
      <c r="J48" s="170"/>
      <c r="K48" s="275"/>
      <c r="L48" s="276"/>
      <c r="M48" s="275"/>
      <c r="N48" s="276"/>
      <c r="O48" s="290"/>
      <c r="P48" s="291"/>
      <c r="Q48" s="292"/>
      <c r="R48" s="275"/>
      <c r="S48" s="297"/>
      <c r="T48" s="276"/>
      <c r="U48" s="279" t="s">
        <v>36</v>
      </c>
      <c r="V48" s="279"/>
      <c r="W48" s="279"/>
      <c r="X48" s="279" t="s">
        <v>37</v>
      </c>
      <c r="Y48" s="279"/>
      <c r="Z48" s="279" t="s">
        <v>38</v>
      </c>
      <c r="AA48" s="279"/>
      <c r="AB48" s="275"/>
      <c r="AC48" s="276"/>
    </row>
    <row r="49" spans="1:32" x14ac:dyDescent="0.3">
      <c r="A49" s="171"/>
      <c r="B49" s="174"/>
      <c r="C49" s="174"/>
      <c r="D49" s="174"/>
      <c r="E49" s="174"/>
      <c r="F49" s="174"/>
      <c r="G49" s="174"/>
      <c r="H49" s="174"/>
      <c r="I49" s="174"/>
      <c r="J49" s="172"/>
      <c r="K49" s="277"/>
      <c r="L49" s="278"/>
      <c r="M49" s="277"/>
      <c r="N49" s="278"/>
      <c r="O49" s="293"/>
      <c r="P49" s="294"/>
      <c r="Q49" s="295"/>
      <c r="R49" s="277"/>
      <c r="S49" s="298"/>
      <c r="T49" s="278"/>
      <c r="U49" s="280"/>
      <c r="V49" s="280"/>
      <c r="W49" s="280"/>
      <c r="X49" s="280"/>
      <c r="Y49" s="280"/>
      <c r="Z49" s="280"/>
      <c r="AA49" s="280"/>
      <c r="AB49" s="277"/>
      <c r="AC49" s="278"/>
    </row>
    <row r="50" spans="1:32" ht="24.9" customHeight="1" x14ac:dyDescent="0.3">
      <c r="A50" s="281" t="s">
        <v>39</v>
      </c>
      <c r="B50" s="282"/>
      <c r="C50" s="282"/>
      <c r="D50" s="282"/>
      <c r="E50" s="282"/>
      <c r="F50" s="282"/>
      <c r="G50" s="282"/>
      <c r="H50" s="282"/>
      <c r="I50" s="282"/>
      <c r="J50" s="283"/>
      <c r="K50" s="224">
        <v>29</v>
      </c>
      <c r="L50" s="226"/>
      <c r="M50" s="224">
        <v>1</v>
      </c>
      <c r="N50" s="226"/>
      <c r="O50" s="224">
        <v>0</v>
      </c>
      <c r="P50" s="225"/>
      <c r="Q50" s="226"/>
      <c r="R50" s="224">
        <v>30</v>
      </c>
      <c r="S50" s="225"/>
      <c r="T50" s="226"/>
      <c r="U50" s="224">
        <v>0</v>
      </c>
      <c r="V50" s="225"/>
      <c r="W50" s="226"/>
      <c r="X50" s="224">
        <v>0</v>
      </c>
      <c r="Y50" s="226"/>
      <c r="Z50" s="224">
        <v>0</v>
      </c>
      <c r="AA50" s="226"/>
      <c r="AB50" s="299">
        <v>30</v>
      </c>
      <c r="AC50" s="300"/>
    </row>
    <row r="51" spans="1:32" ht="24.9" customHeight="1" x14ac:dyDescent="0.3">
      <c r="A51" s="281" t="s">
        <v>40</v>
      </c>
      <c r="B51" s="282"/>
      <c r="C51" s="282"/>
      <c r="D51" s="282"/>
      <c r="E51" s="282"/>
      <c r="F51" s="282"/>
      <c r="G51" s="282"/>
      <c r="H51" s="282"/>
      <c r="I51" s="282"/>
      <c r="J51" s="283"/>
      <c r="K51" s="224">
        <v>9</v>
      </c>
      <c r="L51" s="226"/>
      <c r="M51" s="224">
        <v>4</v>
      </c>
      <c r="N51" s="226"/>
      <c r="O51" s="224">
        <v>0</v>
      </c>
      <c r="P51" s="225"/>
      <c r="Q51" s="226"/>
      <c r="R51" s="224">
        <v>13</v>
      </c>
      <c r="S51" s="225"/>
      <c r="T51" s="226"/>
      <c r="U51" s="224">
        <v>0</v>
      </c>
      <c r="V51" s="225"/>
      <c r="W51" s="226"/>
      <c r="X51" s="224">
        <v>0</v>
      </c>
      <c r="Y51" s="226"/>
      <c r="Z51" s="224">
        <v>0</v>
      </c>
      <c r="AA51" s="226"/>
      <c r="AB51" s="299">
        <v>13</v>
      </c>
      <c r="AC51" s="300"/>
    </row>
    <row r="52" spans="1:32" ht="24.9" customHeight="1" x14ac:dyDescent="0.3">
      <c r="A52" s="281" t="s">
        <v>41</v>
      </c>
      <c r="B52" s="282"/>
      <c r="C52" s="282"/>
      <c r="D52" s="282"/>
      <c r="E52" s="282"/>
      <c r="F52" s="282"/>
      <c r="G52" s="282"/>
      <c r="H52" s="282"/>
      <c r="I52" s="282"/>
      <c r="J52" s="283"/>
      <c r="K52" s="224">
        <v>0</v>
      </c>
      <c r="L52" s="226"/>
      <c r="M52" s="224">
        <v>0</v>
      </c>
      <c r="N52" s="226"/>
      <c r="O52" s="224">
        <v>0</v>
      </c>
      <c r="P52" s="225"/>
      <c r="Q52" s="226"/>
      <c r="R52" s="224">
        <v>0</v>
      </c>
      <c r="S52" s="225"/>
      <c r="T52" s="226"/>
      <c r="U52" s="224">
        <v>0</v>
      </c>
      <c r="V52" s="225"/>
      <c r="W52" s="226"/>
      <c r="X52" s="224">
        <v>0</v>
      </c>
      <c r="Y52" s="226"/>
      <c r="Z52" s="224">
        <v>0</v>
      </c>
      <c r="AA52" s="226"/>
      <c r="AB52" s="299">
        <v>0</v>
      </c>
      <c r="AC52" s="300"/>
    </row>
    <row r="53" spans="1:32" ht="24.9" customHeight="1" x14ac:dyDescent="0.3">
      <c r="A53" s="281" t="s">
        <v>42</v>
      </c>
      <c r="B53" s="282"/>
      <c r="C53" s="282"/>
      <c r="D53" s="282"/>
      <c r="E53" s="282"/>
      <c r="F53" s="282"/>
      <c r="G53" s="282"/>
      <c r="H53" s="282"/>
      <c r="I53" s="282"/>
      <c r="J53" s="283"/>
      <c r="K53" s="224">
        <v>10</v>
      </c>
      <c r="L53" s="226"/>
      <c r="M53" s="224">
        <v>1</v>
      </c>
      <c r="N53" s="226"/>
      <c r="O53" s="224">
        <v>0</v>
      </c>
      <c r="P53" s="225"/>
      <c r="Q53" s="226"/>
      <c r="R53" s="224">
        <v>11</v>
      </c>
      <c r="S53" s="225"/>
      <c r="T53" s="226"/>
      <c r="U53" s="224">
        <v>0</v>
      </c>
      <c r="V53" s="225"/>
      <c r="W53" s="226"/>
      <c r="X53" s="224">
        <v>0</v>
      </c>
      <c r="Y53" s="226"/>
      <c r="Z53" s="224">
        <v>0</v>
      </c>
      <c r="AA53" s="226"/>
      <c r="AB53" s="299">
        <v>11</v>
      </c>
      <c r="AC53" s="300"/>
    </row>
    <row r="54" spans="1:32" ht="24.9" customHeight="1" x14ac:dyDescent="0.3">
      <c r="A54" s="281" t="s">
        <v>7</v>
      </c>
      <c r="B54" s="282"/>
      <c r="C54" s="282"/>
      <c r="D54" s="282"/>
      <c r="E54" s="282"/>
      <c r="F54" s="282"/>
      <c r="G54" s="282"/>
      <c r="H54" s="282"/>
      <c r="I54" s="282"/>
      <c r="J54" s="283"/>
      <c r="K54" s="224">
        <v>48</v>
      </c>
      <c r="L54" s="226"/>
      <c r="M54" s="224">
        <v>6</v>
      </c>
      <c r="N54" s="226"/>
      <c r="O54" s="224">
        <v>0</v>
      </c>
      <c r="P54" s="225"/>
      <c r="Q54" s="226"/>
      <c r="R54" s="224">
        <v>54</v>
      </c>
      <c r="S54" s="225"/>
      <c r="T54" s="226"/>
      <c r="U54" s="224">
        <v>0</v>
      </c>
      <c r="V54" s="225"/>
      <c r="W54" s="226"/>
      <c r="X54" s="224">
        <v>0</v>
      </c>
      <c r="Y54" s="226"/>
      <c r="Z54" s="224">
        <v>0</v>
      </c>
      <c r="AA54" s="226"/>
      <c r="AB54" s="299">
        <v>54</v>
      </c>
      <c r="AC54" s="300"/>
    </row>
    <row r="55" spans="1:32" ht="15.6" x14ac:dyDescent="0.3">
      <c r="A55" s="45" t="s">
        <v>43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7"/>
      <c r="V55" s="47"/>
      <c r="W55" s="47"/>
      <c r="X55" s="47"/>
      <c r="Y55" s="47"/>
      <c r="Z55" s="47"/>
      <c r="AA55" s="47"/>
      <c r="AB55" s="47"/>
      <c r="AC55" s="4"/>
    </row>
    <row r="56" spans="1:32" ht="21.75" customHeight="1" x14ac:dyDescent="0.3">
      <c r="A56" s="205"/>
      <c r="B56" s="206"/>
      <c r="C56" s="206"/>
      <c r="D56" s="206"/>
      <c r="E56" s="206"/>
      <c r="F56" s="206"/>
      <c r="G56" s="206"/>
      <c r="H56" s="206"/>
      <c r="I56" s="206"/>
      <c r="J56" s="207"/>
      <c r="K56" s="224" t="s">
        <v>0</v>
      </c>
      <c r="L56" s="226"/>
      <c r="M56" s="305" t="s">
        <v>1</v>
      </c>
      <c r="N56" s="306"/>
      <c r="O56" s="301" t="s">
        <v>2</v>
      </c>
      <c r="P56" s="302"/>
      <c r="Q56" s="301" t="s">
        <v>3</v>
      </c>
      <c r="R56" s="302"/>
      <c r="S56" s="301" t="s">
        <v>4</v>
      </c>
      <c r="T56" s="302"/>
      <c r="U56" s="301" t="s">
        <v>5</v>
      </c>
      <c r="V56" s="302"/>
      <c r="W56" s="301" t="s">
        <v>6</v>
      </c>
      <c r="X56" s="302"/>
      <c r="Y56" s="301" t="s">
        <v>44</v>
      </c>
      <c r="Z56" s="302"/>
      <c r="AA56" s="301" t="s">
        <v>7</v>
      </c>
      <c r="AB56" s="302"/>
      <c r="AC56" s="303" t="s">
        <v>86</v>
      </c>
      <c r="AD56" s="5"/>
      <c r="AE56" s="6"/>
      <c r="AF56" s="6"/>
    </row>
    <row r="57" spans="1:32" x14ac:dyDescent="0.3">
      <c r="A57" s="208"/>
      <c r="B57" s="209"/>
      <c r="C57" s="209"/>
      <c r="D57" s="209"/>
      <c r="E57" s="209"/>
      <c r="F57" s="209"/>
      <c r="G57" s="209"/>
      <c r="H57" s="209"/>
      <c r="I57" s="209"/>
      <c r="J57" s="210"/>
      <c r="K57" s="7" t="s">
        <v>9</v>
      </c>
      <c r="L57" s="7" t="s">
        <v>10</v>
      </c>
      <c r="M57" s="7" t="s">
        <v>9</v>
      </c>
      <c r="N57" s="7" t="s">
        <v>10</v>
      </c>
      <c r="O57" s="7" t="s">
        <v>9</v>
      </c>
      <c r="P57" s="7" t="s">
        <v>10</v>
      </c>
      <c r="Q57" s="7" t="s">
        <v>9</v>
      </c>
      <c r="R57" s="7" t="s">
        <v>10</v>
      </c>
      <c r="S57" s="7" t="s">
        <v>9</v>
      </c>
      <c r="T57" s="7" t="s">
        <v>10</v>
      </c>
      <c r="U57" s="7" t="s">
        <v>9</v>
      </c>
      <c r="V57" s="7" t="s">
        <v>10</v>
      </c>
      <c r="W57" s="7" t="s">
        <v>9</v>
      </c>
      <c r="X57" s="7" t="s">
        <v>10</v>
      </c>
      <c r="Y57" s="7" t="s">
        <v>9</v>
      </c>
      <c r="Z57" s="7" t="s">
        <v>10</v>
      </c>
      <c r="AA57" s="7" t="s">
        <v>9</v>
      </c>
      <c r="AB57" s="7" t="s">
        <v>10</v>
      </c>
      <c r="AC57" s="304"/>
    </row>
    <row r="58" spans="1:32" ht="24.9" customHeight="1" x14ac:dyDescent="0.3">
      <c r="A58" s="281" t="s">
        <v>39</v>
      </c>
      <c r="B58" s="282"/>
      <c r="C58" s="282"/>
      <c r="D58" s="282"/>
      <c r="E58" s="282"/>
      <c r="F58" s="282"/>
      <c r="G58" s="282"/>
      <c r="H58" s="282"/>
      <c r="I58" s="282"/>
      <c r="J58" s="283"/>
      <c r="K58" s="7">
        <v>0</v>
      </c>
      <c r="L58" s="7">
        <v>0</v>
      </c>
      <c r="M58" s="7">
        <v>0</v>
      </c>
      <c r="N58" s="7">
        <v>0</v>
      </c>
      <c r="O58" s="7">
        <v>7</v>
      </c>
      <c r="P58" s="7">
        <v>2</v>
      </c>
      <c r="Q58" s="7">
        <v>4</v>
      </c>
      <c r="R58" s="7">
        <v>2</v>
      </c>
      <c r="S58" s="7">
        <v>3</v>
      </c>
      <c r="T58" s="7">
        <v>3</v>
      </c>
      <c r="U58" s="7">
        <v>5</v>
      </c>
      <c r="V58" s="7">
        <v>0</v>
      </c>
      <c r="W58" s="7">
        <v>0</v>
      </c>
      <c r="X58" s="7">
        <v>1</v>
      </c>
      <c r="Y58" s="7">
        <v>3</v>
      </c>
      <c r="Z58" s="7">
        <v>0</v>
      </c>
      <c r="AA58" s="7">
        <v>22</v>
      </c>
      <c r="AB58" s="7">
        <v>8</v>
      </c>
      <c r="AC58" s="7">
        <v>30</v>
      </c>
    </row>
    <row r="59" spans="1:32" ht="24.9" customHeight="1" x14ac:dyDescent="0.3">
      <c r="A59" s="281" t="s">
        <v>40</v>
      </c>
      <c r="B59" s="282"/>
      <c r="C59" s="282"/>
      <c r="D59" s="282"/>
      <c r="E59" s="282"/>
      <c r="F59" s="282"/>
      <c r="G59" s="282"/>
      <c r="H59" s="282"/>
      <c r="I59" s="282"/>
      <c r="J59" s="283"/>
      <c r="K59" s="7">
        <v>0</v>
      </c>
      <c r="L59" s="7">
        <v>0</v>
      </c>
      <c r="M59" s="7">
        <v>0</v>
      </c>
      <c r="N59" s="7">
        <v>0</v>
      </c>
      <c r="O59" s="7">
        <v>2</v>
      </c>
      <c r="P59" s="7">
        <v>0</v>
      </c>
      <c r="Q59" s="7">
        <v>3</v>
      </c>
      <c r="R59" s="7">
        <v>1</v>
      </c>
      <c r="S59" s="7">
        <v>2</v>
      </c>
      <c r="T59" s="7">
        <v>1</v>
      </c>
      <c r="U59" s="7">
        <v>0</v>
      </c>
      <c r="V59" s="7">
        <v>0</v>
      </c>
      <c r="W59" s="7">
        <v>2</v>
      </c>
      <c r="X59" s="7">
        <v>1</v>
      </c>
      <c r="Y59" s="7">
        <v>0</v>
      </c>
      <c r="Z59" s="7">
        <v>1</v>
      </c>
      <c r="AA59" s="7">
        <v>9</v>
      </c>
      <c r="AB59" s="7">
        <v>4</v>
      </c>
      <c r="AC59" s="7">
        <v>13</v>
      </c>
    </row>
    <row r="60" spans="1:32" ht="24.9" customHeight="1" x14ac:dyDescent="0.3">
      <c r="A60" s="281" t="s">
        <v>41</v>
      </c>
      <c r="B60" s="282"/>
      <c r="C60" s="282"/>
      <c r="D60" s="282"/>
      <c r="E60" s="282"/>
      <c r="F60" s="282"/>
      <c r="G60" s="282"/>
      <c r="H60" s="282"/>
      <c r="I60" s="282"/>
      <c r="J60" s="283"/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</row>
    <row r="61" spans="1:32" ht="24.9" customHeight="1" x14ac:dyDescent="0.3">
      <c r="A61" s="281" t="s">
        <v>42</v>
      </c>
      <c r="B61" s="282"/>
      <c r="C61" s="282"/>
      <c r="D61" s="282"/>
      <c r="E61" s="282"/>
      <c r="F61" s="282"/>
      <c r="G61" s="282"/>
      <c r="H61" s="282"/>
      <c r="I61" s="282"/>
      <c r="J61" s="283"/>
      <c r="K61" s="7">
        <v>0</v>
      </c>
      <c r="L61" s="7">
        <v>0</v>
      </c>
      <c r="M61" s="7">
        <v>0</v>
      </c>
      <c r="N61" s="7">
        <v>0</v>
      </c>
      <c r="O61" s="7">
        <v>3</v>
      </c>
      <c r="P61" s="7">
        <v>1</v>
      </c>
      <c r="Q61" s="7">
        <v>1</v>
      </c>
      <c r="R61" s="7">
        <v>1</v>
      </c>
      <c r="S61" s="7">
        <v>0</v>
      </c>
      <c r="T61" s="7">
        <v>0</v>
      </c>
      <c r="U61" s="7">
        <v>1</v>
      </c>
      <c r="V61" s="7">
        <v>0</v>
      </c>
      <c r="W61" s="7">
        <v>0</v>
      </c>
      <c r="X61" s="7">
        <v>1</v>
      </c>
      <c r="Y61" s="7">
        <v>3</v>
      </c>
      <c r="Z61" s="7">
        <v>0</v>
      </c>
      <c r="AA61" s="7">
        <v>8</v>
      </c>
      <c r="AB61" s="7">
        <v>3</v>
      </c>
      <c r="AC61" s="7">
        <v>11</v>
      </c>
    </row>
    <row r="62" spans="1:32" ht="24.9" customHeight="1" x14ac:dyDescent="0.3">
      <c r="A62" s="224" t="s">
        <v>7</v>
      </c>
      <c r="B62" s="225"/>
      <c r="C62" s="225"/>
      <c r="D62" s="225"/>
      <c r="E62" s="225"/>
      <c r="F62" s="225"/>
      <c r="G62" s="225"/>
      <c r="H62" s="225"/>
      <c r="I62" s="225"/>
      <c r="J62" s="226"/>
      <c r="K62" s="7">
        <v>0</v>
      </c>
      <c r="L62" s="7">
        <v>0</v>
      </c>
      <c r="M62" s="7">
        <v>0</v>
      </c>
      <c r="N62" s="7">
        <v>0</v>
      </c>
      <c r="O62" s="7">
        <v>12</v>
      </c>
      <c r="P62" s="7">
        <v>3</v>
      </c>
      <c r="Q62" s="7">
        <v>8</v>
      </c>
      <c r="R62" s="7">
        <v>4</v>
      </c>
      <c r="S62" s="7">
        <v>5</v>
      </c>
      <c r="T62" s="7">
        <v>4</v>
      </c>
      <c r="U62" s="7">
        <v>6</v>
      </c>
      <c r="V62" s="7">
        <v>0</v>
      </c>
      <c r="W62" s="7">
        <v>2</v>
      </c>
      <c r="X62" s="7">
        <v>3</v>
      </c>
      <c r="Y62" s="7">
        <v>6</v>
      </c>
      <c r="Z62" s="7">
        <v>1</v>
      </c>
      <c r="AA62" s="7">
        <v>39</v>
      </c>
      <c r="AB62" s="7">
        <v>15</v>
      </c>
      <c r="AC62" s="7">
        <v>54</v>
      </c>
    </row>
    <row r="63" spans="1:32" ht="6.75" customHeight="1" x14ac:dyDescent="0.3">
      <c r="A63" s="8"/>
      <c r="B63" s="9"/>
      <c r="C63" s="9"/>
      <c r="D63" s="9"/>
      <c r="E63" s="9"/>
      <c r="F63" s="10"/>
      <c r="G63" s="11"/>
      <c r="H63" s="11"/>
      <c r="I63" s="11"/>
      <c r="J63" s="11"/>
      <c r="K63" s="11"/>
      <c r="L63" s="11"/>
      <c r="M63" s="50"/>
      <c r="N63" s="11"/>
      <c r="O63" s="227"/>
      <c r="P63" s="228"/>
      <c r="Q63" s="12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3"/>
    </row>
    <row r="64" spans="1:32" ht="18" customHeight="1" x14ac:dyDescent="0.3">
      <c r="A64" s="14" t="s">
        <v>45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6"/>
      <c r="M64" s="17"/>
      <c r="N64" s="14" t="s">
        <v>46</v>
      </c>
      <c r="O64" s="15"/>
      <c r="P64" s="15"/>
      <c r="Q64" s="15"/>
      <c r="R64" s="15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9"/>
    </row>
    <row r="65" spans="1:29" ht="42.75" customHeight="1" x14ac:dyDescent="0.3">
      <c r="A65" s="307" t="s">
        <v>47</v>
      </c>
      <c r="B65" s="312" t="s">
        <v>48</v>
      </c>
      <c r="C65" s="313"/>
      <c r="D65" s="314" t="s">
        <v>49</v>
      </c>
      <c r="E65" s="315"/>
      <c r="F65" s="316"/>
      <c r="G65" s="314" t="s">
        <v>50</v>
      </c>
      <c r="H65" s="315"/>
      <c r="I65" s="315"/>
      <c r="J65" s="316"/>
      <c r="K65" s="307" t="s">
        <v>51</v>
      </c>
      <c r="L65" s="307" t="s">
        <v>52</v>
      </c>
      <c r="M65" s="20"/>
      <c r="N65" s="309" t="s">
        <v>53</v>
      </c>
      <c r="O65" s="310"/>
      <c r="P65" s="311"/>
      <c r="Q65" s="309" t="s">
        <v>54</v>
      </c>
      <c r="R65" s="310"/>
      <c r="S65" s="311"/>
      <c r="T65" s="309" t="s">
        <v>55</v>
      </c>
      <c r="U65" s="310"/>
      <c r="V65" s="310"/>
      <c r="W65" s="310"/>
      <c r="X65" s="310"/>
      <c r="Y65" s="310"/>
      <c r="Z65" s="310"/>
      <c r="AA65" s="310"/>
      <c r="AB65" s="310"/>
      <c r="AC65" s="311"/>
    </row>
    <row r="66" spans="1:29" ht="48" customHeight="1" x14ac:dyDescent="0.3">
      <c r="A66" s="308"/>
      <c r="B66" s="21" t="s">
        <v>7</v>
      </c>
      <c r="C66" s="22" t="s">
        <v>87</v>
      </c>
      <c r="D66" s="22" t="s">
        <v>56</v>
      </c>
      <c r="E66" s="22" t="s">
        <v>88</v>
      </c>
      <c r="F66" s="22" t="s">
        <v>89</v>
      </c>
      <c r="G66" s="23" t="s">
        <v>56</v>
      </c>
      <c r="H66" s="22" t="s">
        <v>90</v>
      </c>
      <c r="I66" s="23" t="s">
        <v>57</v>
      </c>
      <c r="J66" s="23" t="s">
        <v>58</v>
      </c>
      <c r="K66" s="308"/>
      <c r="L66" s="308"/>
      <c r="M66" s="20"/>
      <c r="N66" s="309">
        <v>19</v>
      </c>
      <c r="O66" s="310"/>
      <c r="P66" s="311"/>
      <c r="Q66" s="309">
        <v>0</v>
      </c>
      <c r="R66" s="310"/>
      <c r="S66" s="311"/>
      <c r="T66" s="309">
        <v>0</v>
      </c>
      <c r="U66" s="310"/>
      <c r="V66" s="310"/>
      <c r="W66" s="310"/>
      <c r="X66" s="310"/>
      <c r="Y66" s="310"/>
      <c r="Z66" s="310"/>
      <c r="AA66" s="310"/>
      <c r="AB66" s="310"/>
      <c r="AC66" s="311"/>
    </row>
    <row r="67" spans="1:29" ht="38.25" customHeight="1" x14ac:dyDescent="0.3">
      <c r="A67" s="270">
        <v>43139</v>
      </c>
      <c r="B67" s="270">
        <v>215</v>
      </c>
      <c r="C67" s="270">
        <v>0</v>
      </c>
      <c r="D67" s="270">
        <v>117</v>
      </c>
      <c r="E67" s="270">
        <v>81</v>
      </c>
      <c r="F67" s="270">
        <v>20</v>
      </c>
      <c r="G67" s="270">
        <v>4</v>
      </c>
      <c r="H67" s="270">
        <v>24</v>
      </c>
      <c r="I67" s="270">
        <v>2</v>
      </c>
      <c r="J67" s="270">
        <v>30</v>
      </c>
      <c r="K67" s="270">
        <v>30</v>
      </c>
      <c r="L67" s="270">
        <v>44</v>
      </c>
      <c r="M67" s="20"/>
      <c r="N67" s="309" t="s">
        <v>59</v>
      </c>
      <c r="O67" s="310"/>
      <c r="P67" s="311"/>
      <c r="Q67" s="309" t="s">
        <v>60</v>
      </c>
      <c r="R67" s="310"/>
      <c r="S67" s="311"/>
      <c r="T67" s="293" t="s">
        <v>61</v>
      </c>
      <c r="U67" s="294"/>
      <c r="V67" s="294"/>
      <c r="W67" s="295"/>
      <c r="X67" s="293" t="s">
        <v>62</v>
      </c>
      <c r="Y67" s="294"/>
      <c r="Z67" s="294"/>
      <c r="AA67" s="294"/>
      <c r="AB67" s="294"/>
      <c r="AC67" s="295"/>
    </row>
    <row r="68" spans="1:29" ht="19.5" customHeight="1" x14ac:dyDescent="0.3">
      <c r="A68" s="271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54"/>
      <c r="N68" s="287">
        <v>19</v>
      </c>
      <c r="O68" s="288"/>
      <c r="P68" s="289"/>
      <c r="Q68" s="287">
        <v>19</v>
      </c>
      <c r="R68" s="288"/>
      <c r="S68" s="289"/>
      <c r="T68" s="287">
        <v>0</v>
      </c>
      <c r="U68" s="288"/>
      <c r="V68" s="288"/>
      <c r="W68" s="289"/>
      <c r="X68" s="24"/>
      <c r="Y68" s="309" t="s">
        <v>0</v>
      </c>
      <c r="Z68" s="311"/>
      <c r="AA68" s="25" t="s">
        <v>1</v>
      </c>
      <c r="AB68" s="309" t="s">
        <v>63</v>
      </c>
      <c r="AC68" s="311"/>
    </row>
    <row r="69" spans="1:29" ht="18" customHeight="1" x14ac:dyDescent="0.3">
      <c r="A69" s="271"/>
      <c r="B69" s="271"/>
      <c r="C69" s="271"/>
      <c r="D69" s="271"/>
      <c r="E69" s="271"/>
      <c r="F69" s="271"/>
      <c r="G69" s="271"/>
      <c r="H69" s="271"/>
      <c r="I69" s="271"/>
      <c r="J69" s="271"/>
      <c r="K69" s="271"/>
      <c r="L69" s="271"/>
      <c r="M69" s="54"/>
      <c r="N69" s="290"/>
      <c r="O69" s="291"/>
      <c r="P69" s="292"/>
      <c r="Q69" s="290"/>
      <c r="R69" s="291"/>
      <c r="S69" s="292"/>
      <c r="T69" s="290"/>
      <c r="U69" s="291"/>
      <c r="V69" s="291"/>
      <c r="W69" s="292"/>
      <c r="X69" s="26" t="s">
        <v>64</v>
      </c>
      <c r="Y69" s="317">
        <v>0</v>
      </c>
      <c r="Z69" s="317"/>
      <c r="AA69" s="25">
        <v>0</v>
      </c>
      <c r="AB69" s="317">
        <v>0</v>
      </c>
      <c r="AC69" s="317"/>
    </row>
    <row r="70" spans="1:29" ht="18" customHeight="1" x14ac:dyDescent="0.3">
      <c r="A70" s="271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54"/>
      <c r="N70" s="290"/>
      <c r="O70" s="291"/>
      <c r="P70" s="292"/>
      <c r="Q70" s="290"/>
      <c r="R70" s="291"/>
      <c r="S70" s="292"/>
      <c r="T70" s="290"/>
      <c r="U70" s="291"/>
      <c r="V70" s="291"/>
      <c r="W70" s="292"/>
      <c r="X70" s="26" t="s">
        <v>65</v>
      </c>
      <c r="Y70" s="317">
        <v>0</v>
      </c>
      <c r="Z70" s="317"/>
      <c r="AA70" s="25">
        <v>0</v>
      </c>
      <c r="AB70" s="317">
        <v>0</v>
      </c>
      <c r="AC70" s="317"/>
    </row>
    <row r="71" spans="1:29" ht="18" customHeight="1" x14ac:dyDescent="0.3">
      <c r="A71" s="272"/>
      <c r="B71" s="272"/>
      <c r="C71" s="272"/>
      <c r="D71" s="272"/>
      <c r="E71" s="272"/>
      <c r="F71" s="272"/>
      <c r="G71" s="272"/>
      <c r="H71" s="272"/>
      <c r="I71" s="272"/>
      <c r="J71" s="272"/>
      <c r="K71" s="272"/>
      <c r="L71" s="272"/>
      <c r="M71" s="54"/>
      <c r="N71" s="293"/>
      <c r="O71" s="294"/>
      <c r="P71" s="295"/>
      <c r="Q71" s="293"/>
      <c r="R71" s="294"/>
      <c r="S71" s="295"/>
      <c r="T71" s="293"/>
      <c r="U71" s="294"/>
      <c r="V71" s="294"/>
      <c r="W71" s="295"/>
      <c r="X71" s="26" t="s">
        <v>66</v>
      </c>
      <c r="Y71" s="317">
        <v>0</v>
      </c>
      <c r="Z71" s="317"/>
      <c r="AA71" s="25">
        <v>0</v>
      </c>
      <c r="AB71" s="317">
        <v>0</v>
      </c>
      <c r="AC71" s="317"/>
    </row>
    <row r="72" spans="1:29" ht="8.25" customHeight="1" x14ac:dyDescent="0.3">
      <c r="A72" s="27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59"/>
      <c r="N72" s="28"/>
      <c r="O72" s="28"/>
      <c r="P72" s="28"/>
      <c r="Q72" s="28"/>
      <c r="R72" s="28"/>
      <c r="S72" s="28"/>
      <c r="T72" s="28"/>
      <c r="U72" s="29"/>
      <c r="V72" s="29"/>
      <c r="W72" s="29"/>
      <c r="X72" s="29"/>
      <c r="Y72" s="29"/>
      <c r="Z72" s="29"/>
      <c r="AA72" s="28"/>
      <c r="AB72" s="28"/>
      <c r="AC72" s="4"/>
    </row>
    <row r="73" spans="1:29" ht="18" customHeight="1" x14ac:dyDescent="0.3">
      <c r="A73" s="14" t="s">
        <v>67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6"/>
      <c r="M73" s="30"/>
      <c r="N73" s="14" t="s">
        <v>68</v>
      </c>
      <c r="O73" s="16"/>
      <c r="P73" s="15"/>
      <c r="Q73" s="31"/>
      <c r="R73" s="15"/>
      <c r="S73" s="15"/>
      <c r="T73" s="15"/>
      <c r="U73" s="15"/>
      <c r="V73" s="15"/>
      <c r="W73" s="15"/>
      <c r="X73" s="15"/>
      <c r="Y73" s="15"/>
      <c r="Z73" s="15"/>
      <c r="AA73" s="18"/>
      <c r="AB73" s="18"/>
      <c r="AC73" s="32"/>
    </row>
    <row r="74" spans="1:29" ht="57" customHeight="1" x14ac:dyDescent="0.3">
      <c r="A74" s="205"/>
      <c r="B74" s="206"/>
      <c r="C74" s="206"/>
      <c r="D74" s="206"/>
      <c r="E74" s="206"/>
      <c r="F74" s="207"/>
      <c r="G74" s="224" t="s">
        <v>11</v>
      </c>
      <c r="H74" s="226"/>
      <c r="I74" s="224" t="s">
        <v>12</v>
      </c>
      <c r="J74" s="226"/>
      <c r="K74" s="33" t="s">
        <v>69</v>
      </c>
      <c r="L74" s="34"/>
      <c r="M74" s="62"/>
      <c r="N74" s="314" t="s">
        <v>70</v>
      </c>
      <c r="O74" s="315"/>
      <c r="P74" s="316"/>
      <c r="Q74" s="314" t="s">
        <v>71</v>
      </c>
      <c r="R74" s="315"/>
      <c r="S74" s="316"/>
      <c r="T74" s="314" t="s">
        <v>72</v>
      </c>
      <c r="U74" s="315"/>
      <c r="V74" s="316"/>
      <c r="W74" s="314" t="s">
        <v>73</v>
      </c>
      <c r="X74" s="315"/>
      <c r="Y74" s="315"/>
      <c r="Z74" s="316"/>
      <c r="AA74" s="314" t="s">
        <v>74</v>
      </c>
      <c r="AB74" s="315"/>
      <c r="AC74" s="316"/>
    </row>
    <row r="75" spans="1:29" ht="13.5" customHeight="1" x14ac:dyDescent="0.3">
      <c r="A75" s="208"/>
      <c r="B75" s="209"/>
      <c r="C75" s="209"/>
      <c r="D75" s="209"/>
      <c r="E75" s="209"/>
      <c r="F75" s="210"/>
      <c r="G75" s="7" t="s">
        <v>75</v>
      </c>
      <c r="H75" s="7" t="s">
        <v>13</v>
      </c>
      <c r="I75" s="7" t="s">
        <v>75</v>
      </c>
      <c r="J75" s="7" t="s">
        <v>13</v>
      </c>
      <c r="K75" s="7" t="s">
        <v>75</v>
      </c>
      <c r="L75" s="7" t="s">
        <v>13</v>
      </c>
      <c r="M75" s="63"/>
      <c r="N75" s="35" t="s">
        <v>0</v>
      </c>
      <c r="O75" s="36" t="s">
        <v>1</v>
      </c>
      <c r="P75" s="36" t="s">
        <v>91</v>
      </c>
      <c r="Q75" s="35" t="s">
        <v>0</v>
      </c>
      <c r="R75" s="36" t="s">
        <v>1</v>
      </c>
      <c r="S75" s="36" t="s">
        <v>91</v>
      </c>
      <c r="T75" s="35" t="s">
        <v>0</v>
      </c>
      <c r="U75" s="36" t="s">
        <v>1</v>
      </c>
      <c r="V75" s="36" t="s">
        <v>91</v>
      </c>
      <c r="W75" s="37"/>
      <c r="X75" s="35" t="s">
        <v>0</v>
      </c>
      <c r="Y75" s="38" t="s">
        <v>1</v>
      </c>
      <c r="Z75" s="39" t="s">
        <v>76</v>
      </c>
      <c r="AA75" s="35" t="s">
        <v>0</v>
      </c>
      <c r="AB75" s="38" t="s">
        <v>1</v>
      </c>
      <c r="AC75" s="39" t="s">
        <v>76</v>
      </c>
    </row>
    <row r="76" spans="1:29" ht="24.9" customHeight="1" x14ac:dyDescent="0.3">
      <c r="A76" s="299" t="s">
        <v>77</v>
      </c>
      <c r="B76" s="318"/>
      <c r="C76" s="318"/>
      <c r="D76" s="318"/>
      <c r="E76" s="318"/>
      <c r="F76" s="300"/>
      <c r="G76" s="7">
        <v>26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63"/>
      <c r="N76" s="321">
        <v>0</v>
      </c>
      <c r="O76" s="321">
        <v>0</v>
      </c>
      <c r="P76" s="321">
        <v>12</v>
      </c>
      <c r="Q76" s="321">
        <v>0</v>
      </c>
      <c r="R76" s="321">
        <v>8</v>
      </c>
      <c r="S76" s="321">
        <v>37</v>
      </c>
      <c r="T76" s="321">
        <v>0</v>
      </c>
      <c r="U76" s="321">
        <v>0</v>
      </c>
      <c r="V76" s="321">
        <v>4</v>
      </c>
      <c r="W76" s="40" t="s">
        <v>64</v>
      </c>
      <c r="X76" s="41">
        <v>0</v>
      </c>
      <c r="Y76" s="41">
        <v>0</v>
      </c>
      <c r="Z76" s="41">
        <v>0</v>
      </c>
      <c r="AA76" s="41">
        <v>0</v>
      </c>
      <c r="AB76" s="41">
        <v>0</v>
      </c>
      <c r="AC76" s="41">
        <v>0</v>
      </c>
    </row>
    <row r="77" spans="1:29" ht="24.9" customHeight="1" x14ac:dyDescent="0.3">
      <c r="A77" s="299" t="s">
        <v>8</v>
      </c>
      <c r="B77" s="318"/>
      <c r="C77" s="318"/>
      <c r="D77" s="318"/>
      <c r="E77" s="318"/>
      <c r="F77" s="300"/>
      <c r="G77" s="7">
        <v>1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63"/>
      <c r="N77" s="322"/>
      <c r="O77" s="322"/>
      <c r="P77" s="322"/>
      <c r="Q77" s="322"/>
      <c r="R77" s="322"/>
      <c r="S77" s="322"/>
      <c r="T77" s="322"/>
      <c r="U77" s="322"/>
      <c r="V77" s="322"/>
      <c r="W77" s="40" t="s">
        <v>65</v>
      </c>
      <c r="X77" s="41">
        <v>0</v>
      </c>
      <c r="Y77" s="41">
        <v>0</v>
      </c>
      <c r="Z77" s="41">
        <v>0</v>
      </c>
      <c r="AA77" s="41">
        <v>0</v>
      </c>
      <c r="AB77" s="41">
        <v>0</v>
      </c>
      <c r="AC77" s="41">
        <v>0</v>
      </c>
    </row>
    <row r="78" spans="1:29" ht="24.9" customHeight="1" x14ac:dyDescent="0.3">
      <c r="A78" s="309" t="s">
        <v>78</v>
      </c>
      <c r="B78" s="310"/>
      <c r="C78" s="310"/>
      <c r="D78" s="310"/>
      <c r="E78" s="310"/>
      <c r="F78" s="311"/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63"/>
      <c r="N78" s="322"/>
      <c r="O78" s="322"/>
      <c r="P78" s="322"/>
      <c r="Q78" s="322"/>
      <c r="R78" s="322"/>
      <c r="S78" s="322"/>
      <c r="T78" s="322"/>
      <c r="U78" s="322"/>
      <c r="V78" s="322"/>
      <c r="W78" s="319" t="s">
        <v>66</v>
      </c>
      <c r="X78" s="321">
        <v>0</v>
      </c>
      <c r="Y78" s="321">
        <v>0</v>
      </c>
      <c r="Z78" s="321">
        <v>0</v>
      </c>
      <c r="AA78" s="321">
        <v>0</v>
      </c>
      <c r="AB78" s="321">
        <v>0</v>
      </c>
      <c r="AC78" s="321">
        <v>0</v>
      </c>
    </row>
    <row r="79" spans="1:29" ht="24.9" customHeight="1" x14ac:dyDescent="0.3">
      <c r="A79" s="224" t="s">
        <v>7</v>
      </c>
      <c r="B79" s="225"/>
      <c r="C79" s="225"/>
      <c r="D79" s="225"/>
      <c r="E79" s="225"/>
      <c r="F79" s="226"/>
      <c r="G79" s="7">
        <v>27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63"/>
      <c r="N79" s="323"/>
      <c r="O79" s="323"/>
      <c r="P79" s="323"/>
      <c r="Q79" s="323"/>
      <c r="R79" s="323"/>
      <c r="S79" s="323"/>
      <c r="T79" s="323"/>
      <c r="U79" s="323"/>
      <c r="V79" s="323"/>
      <c r="W79" s="320"/>
      <c r="X79" s="323"/>
      <c r="Y79" s="323"/>
      <c r="Z79" s="323"/>
      <c r="AA79" s="323"/>
      <c r="AB79" s="323"/>
      <c r="AC79" s="323"/>
    </row>
    <row r="80" spans="1:29" ht="23.4" x14ac:dyDescent="0.45">
      <c r="A80" s="158" t="s">
        <v>15</v>
      </c>
      <c r="B80" s="158"/>
      <c r="C80" s="158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  <c r="AA80" s="158"/>
      <c r="AB80" s="158"/>
      <c r="AC80" s="158"/>
    </row>
    <row r="81" spans="1:32" ht="23.4" x14ac:dyDescent="0.3">
      <c r="A81" s="159" t="s">
        <v>16</v>
      </c>
      <c r="B81" s="159"/>
      <c r="C81" s="159"/>
      <c r="D81" s="159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2"/>
      <c r="Y81" s="160" t="s">
        <v>17</v>
      </c>
      <c r="Z81" s="160"/>
      <c r="AA81" s="2"/>
      <c r="AB81" s="2"/>
      <c r="AC81" s="2"/>
    </row>
    <row r="82" spans="1:32" ht="30.9" customHeight="1" x14ac:dyDescent="0.3">
      <c r="A82" s="326" t="s">
        <v>18</v>
      </c>
      <c r="B82" s="326"/>
      <c r="C82" s="326"/>
      <c r="D82" s="326"/>
      <c r="E82" s="327" t="s">
        <v>99</v>
      </c>
      <c r="F82" s="327"/>
      <c r="G82" s="327"/>
      <c r="H82" s="327"/>
      <c r="I82" s="328" t="s">
        <v>20</v>
      </c>
      <c r="J82" s="328"/>
      <c r="K82" s="329" t="s">
        <v>85</v>
      </c>
      <c r="L82" s="329"/>
      <c r="M82" s="328" t="s">
        <v>21</v>
      </c>
      <c r="N82" s="328"/>
      <c r="O82" s="340" t="s">
        <v>92</v>
      </c>
      <c r="P82" s="340"/>
      <c r="Q82" s="340"/>
      <c r="R82" s="340"/>
      <c r="S82" s="43"/>
      <c r="T82" s="166" t="s">
        <v>22</v>
      </c>
      <c r="U82" s="166"/>
      <c r="V82" s="166"/>
      <c r="W82" s="166"/>
      <c r="X82" s="166"/>
      <c r="Y82" s="152" t="s">
        <v>80</v>
      </c>
      <c r="Z82" s="152"/>
      <c r="AA82" s="152"/>
      <c r="AB82" s="153" t="s">
        <v>83</v>
      </c>
      <c r="AC82" s="153"/>
    </row>
    <row r="83" spans="1:32" ht="15" customHeight="1" x14ac:dyDescent="0.3">
      <c r="T83" s="166"/>
      <c r="U83" s="166"/>
      <c r="V83" s="166"/>
      <c r="W83" s="166"/>
      <c r="X83" s="166"/>
      <c r="Y83" s="152"/>
      <c r="Z83" s="152"/>
      <c r="AA83" s="152"/>
      <c r="AB83" s="153"/>
      <c r="AC83" s="153"/>
    </row>
    <row r="84" spans="1:32" ht="15.6" x14ac:dyDescent="0.3">
      <c r="A84" s="324" t="s">
        <v>24</v>
      </c>
      <c r="B84" s="324"/>
      <c r="C84" s="324"/>
      <c r="D84" s="324"/>
      <c r="E84" s="324"/>
      <c r="F84" s="324"/>
      <c r="G84" s="324"/>
      <c r="H84" s="347" t="s">
        <v>25</v>
      </c>
      <c r="I84" s="347"/>
      <c r="J84" s="347"/>
      <c r="K84" s="347"/>
      <c r="L84" s="347"/>
      <c r="M84" s="347"/>
      <c r="N84" s="347"/>
      <c r="O84" s="44"/>
      <c r="P84" s="44"/>
      <c r="T84" s="156" t="s">
        <v>26</v>
      </c>
      <c r="U84" s="156"/>
      <c r="V84" s="156"/>
      <c r="W84" s="156"/>
      <c r="X84" s="156"/>
      <c r="Y84" s="156"/>
      <c r="Z84" s="265" t="s">
        <v>27</v>
      </c>
      <c r="AA84" s="265"/>
      <c r="AB84" s="265"/>
      <c r="AC84" s="265"/>
    </row>
    <row r="85" spans="1:32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32" ht="15" customHeight="1" x14ac:dyDescent="0.3">
      <c r="A86" s="284" t="s">
        <v>29</v>
      </c>
      <c r="B86" s="285"/>
      <c r="C86" s="285"/>
      <c r="D86" s="285"/>
      <c r="E86" s="285"/>
      <c r="F86" s="285"/>
      <c r="G86" s="285"/>
      <c r="H86" s="285"/>
      <c r="I86" s="285"/>
      <c r="J86" s="286"/>
      <c r="K86" s="273" t="s">
        <v>30</v>
      </c>
      <c r="L86" s="274"/>
      <c r="M86" s="273" t="s">
        <v>31</v>
      </c>
      <c r="N86" s="274"/>
      <c r="O86" s="287" t="s">
        <v>32</v>
      </c>
      <c r="P86" s="288"/>
      <c r="Q86" s="289"/>
      <c r="R86" s="273" t="s">
        <v>33</v>
      </c>
      <c r="S86" s="296"/>
      <c r="T86" s="274"/>
      <c r="U86" s="224" t="s">
        <v>34</v>
      </c>
      <c r="V86" s="225"/>
      <c r="W86" s="225"/>
      <c r="X86" s="225"/>
      <c r="Y86" s="225"/>
      <c r="Z86" s="225"/>
      <c r="AA86" s="226"/>
      <c r="AB86" s="273" t="s">
        <v>7</v>
      </c>
      <c r="AC86" s="274"/>
    </row>
    <row r="87" spans="1:32" ht="23.25" customHeight="1" x14ac:dyDescent="0.3">
      <c r="A87" s="169" t="s">
        <v>35</v>
      </c>
      <c r="B87" s="173"/>
      <c r="C87" s="173"/>
      <c r="D87" s="173"/>
      <c r="E87" s="173"/>
      <c r="F87" s="173"/>
      <c r="G87" s="173"/>
      <c r="H87" s="173"/>
      <c r="I87" s="173"/>
      <c r="J87" s="170"/>
      <c r="K87" s="275"/>
      <c r="L87" s="276"/>
      <c r="M87" s="275"/>
      <c r="N87" s="276"/>
      <c r="O87" s="290"/>
      <c r="P87" s="291"/>
      <c r="Q87" s="292"/>
      <c r="R87" s="275"/>
      <c r="S87" s="297"/>
      <c r="T87" s="276"/>
      <c r="U87" s="279" t="s">
        <v>36</v>
      </c>
      <c r="V87" s="279"/>
      <c r="W87" s="279"/>
      <c r="X87" s="279" t="s">
        <v>37</v>
      </c>
      <c r="Y87" s="279"/>
      <c r="Z87" s="279" t="s">
        <v>38</v>
      </c>
      <c r="AA87" s="279"/>
      <c r="AB87" s="275"/>
      <c r="AC87" s="276"/>
    </row>
    <row r="88" spans="1:32" x14ac:dyDescent="0.3">
      <c r="A88" s="171"/>
      <c r="B88" s="174"/>
      <c r="C88" s="174"/>
      <c r="D88" s="174"/>
      <c r="E88" s="174"/>
      <c r="F88" s="174"/>
      <c r="G88" s="174"/>
      <c r="H88" s="174"/>
      <c r="I88" s="174"/>
      <c r="J88" s="172"/>
      <c r="K88" s="277"/>
      <c r="L88" s="278"/>
      <c r="M88" s="277"/>
      <c r="N88" s="278"/>
      <c r="O88" s="293"/>
      <c r="P88" s="294"/>
      <c r="Q88" s="295"/>
      <c r="R88" s="277"/>
      <c r="S88" s="298"/>
      <c r="T88" s="278"/>
      <c r="U88" s="280"/>
      <c r="V88" s="280"/>
      <c r="W88" s="280"/>
      <c r="X88" s="280"/>
      <c r="Y88" s="280"/>
      <c r="Z88" s="280"/>
      <c r="AA88" s="280"/>
      <c r="AB88" s="277"/>
      <c r="AC88" s="278"/>
    </row>
    <row r="89" spans="1:32" ht="24.9" customHeight="1" x14ac:dyDescent="0.3">
      <c r="A89" s="281" t="s">
        <v>39</v>
      </c>
      <c r="B89" s="282"/>
      <c r="C89" s="282"/>
      <c r="D89" s="282"/>
      <c r="E89" s="282"/>
      <c r="F89" s="282"/>
      <c r="G89" s="282"/>
      <c r="H89" s="282"/>
      <c r="I89" s="282"/>
      <c r="J89" s="283"/>
      <c r="K89" s="224">
        <v>50</v>
      </c>
      <c r="L89" s="226"/>
      <c r="M89" s="224">
        <v>5</v>
      </c>
      <c r="N89" s="226"/>
      <c r="O89" s="224">
        <v>0</v>
      </c>
      <c r="P89" s="225"/>
      <c r="Q89" s="226"/>
      <c r="R89" s="224">
        <v>55</v>
      </c>
      <c r="S89" s="225"/>
      <c r="T89" s="226"/>
      <c r="U89" s="224">
        <v>0</v>
      </c>
      <c r="V89" s="225"/>
      <c r="W89" s="226"/>
      <c r="X89" s="224">
        <v>0</v>
      </c>
      <c r="Y89" s="226"/>
      <c r="Z89" s="224">
        <v>0</v>
      </c>
      <c r="AA89" s="226"/>
      <c r="AB89" s="299">
        <v>55</v>
      </c>
      <c r="AC89" s="300"/>
    </row>
    <row r="90" spans="1:32" ht="24.9" customHeight="1" x14ac:dyDescent="0.3">
      <c r="A90" s="281" t="s">
        <v>40</v>
      </c>
      <c r="B90" s="282"/>
      <c r="C90" s="282"/>
      <c r="D90" s="282"/>
      <c r="E90" s="282"/>
      <c r="F90" s="282"/>
      <c r="G90" s="282"/>
      <c r="H90" s="282"/>
      <c r="I90" s="282"/>
      <c r="J90" s="283"/>
      <c r="K90" s="224">
        <v>5</v>
      </c>
      <c r="L90" s="226"/>
      <c r="M90" s="224">
        <v>2</v>
      </c>
      <c r="N90" s="226"/>
      <c r="O90" s="224">
        <v>0</v>
      </c>
      <c r="P90" s="225"/>
      <c r="Q90" s="226"/>
      <c r="R90" s="224">
        <v>7</v>
      </c>
      <c r="S90" s="225"/>
      <c r="T90" s="226"/>
      <c r="U90" s="224">
        <v>0</v>
      </c>
      <c r="V90" s="225"/>
      <c r="W90" s="226"/>
      <c r="X90" s="224">
        <v>0</v>
      </c>
      <c r="Y90" s="226"/>
      <c r="Z90" s="224">
        <v>0</v>
      </c>
      <c r="AA90" s="226"/>
      <c r="AB90" s="299">
        <v>7</v>
      </c>
      <c r="AC90" s="300"/>
    </row>
    <row r="91" spans="1:32" ht="24.9" customHeight="1" x14ac:dyDescent="0.3">
      <c r="A91" s="281" t="s">
        <v>41</v>
      </c>
      <c r="B91" s="282"/>
      <c r="C91" s="282"/>
      <c r="D91" s="282"/>
      <c r="E91" s="282"/>
      <c r="F91" s="282"/>
      <c r="G91" s="282"/>
      <c r="H91" s="282"/>
      <c r="I91" s="282"/>
      <c r="J91" s="283"/>
      <c r="K91" s="224">
        <v>0</v>
      </c>
      <c r="L91" s="226"/>
      <c r="M91" s="224">
        <v>0</v>
      </c>
      <c r="N91" s="226"/>
      <c r="O91" s="224">
        <v>0</v>
      </c>
      <c r="P91" s="225"/>
      <c r="Q91" s="226"/>
      <c r="R91" s="224">
        <v>0</v>
      </c>
      <c r="S91" s="225"/>
      <c r="T91" s="226"/>
      <c r="U91" s="224">
        <v>0</v>
      </c>
      <c r="V91" s="225"/>
      <c r="W91" s="226"/>
      <c r="X91" s="224">
        <v>0</v>
      </c>
      <c r="Y91" s="226"/>
      <c r="Z91" s="224">
        <v>0</v>
      </c>
      <c r="AA91" s="226"/>
      <c r="AB91" s="299">
        <v>0</v>
      </c>
      <c r="AC91" s="300"/>
    </row>
    <row r="92" spans="1:32" ht="24.9" customHeight="1" x14ac:dyDescent="0.3">
      <c r="A92" s="281" t="s">
        <v>42</v>
      </c>
      <c r="B92" s="282"/>
      <c r="C92" s="282"/>
      <c r="D92" s="282"/>
      <c r="E92" s="282"/>
      <c r="F92" s="282"/>
      <c r="G92" s="282"/>
      <c r="H92" s="282"/>
      <c r="I92" s="282"/>
      <c r="J92" s="283"/>
      <c r="K92" s="224">
        <v>3</v>
      </c>
      <c r="L92" s="226"/>
      <c r="M92" s="224">
        <v>0</v>
      </c>
      <c r="N92" s="226"/>
      <c r="O92" s="224">
        <v>0</v>
      </c>
      <c r="P92" s="225"/>
      <c r="Q92" s="226"/>
      <c r="R92" s="224">
        <v>3</v>
      </c>
      <c r="S92" s="225"/>
      <c r="T92" s="226"/>
      <c r="U92" s="224">
        <v>0</v>
      </c>
      <c r="V92" s="225"/>
      <c r="W92" s="226"/>
      <c r="X92" s="224">
        <v>0</v>
      </c>
      <c r="Y92" s="226"/>
      <c r="Z92" s="224">
        <v>0</v>
      </c>
      <c r="AA92" s="226"/>
      <c r="AB92" s="299">
        <v>3</v>
      </c>
      <c r="AC92" s="300"/>
    </row>
    <row r="93" spans="1:32" ht="24.9" customHeight="1" x14ac:dyDescent="0.3">
      <c r="A93" s="281" t="s">
        <v>7</v>
      </c>
      <c r="B93" s="282"/>
      <c r="C93" s="282"/>
      <c r="D93" s="282"/>
      <c r="E93" s="282"/>
      <c r="F93" s="282"/>
      <c r="G93" s="282"/>
      <c r="H93" s="282"/>
      <c r="I93" s="282"/>
      <c r="J93" s="283"/>
      <c r="K93" s="224">
        <v>58</v>
      </c>
      <c r="L93" s="226"/>
      <c r="M93" s="224">
        <v>7</v>
      </c>
      <c r="N93" s="226"/>
      <c r="O93" s="224">
        <v>0</v>
      </c>
      <c r="P93" s="225"/>
      <c r="Q93" s="226"/>
      <c r="R93" s="224">
        <v>65</v>
      </c>
      <c r="S93" s="225"/>
      <c r="T93" s="226"/>
      <c r="U93" s="224">
        <v>0</v>
      </c>
      <c r="V93" s="225"/>
      <c r="W93" s="226"/>
      <c r="X93" s="224">
        <v>0</v>
      </c>
      <c r="Y93" s="226"/>
      <c r="Z93" s="224">
        <v>0</v>
      </c>
      <c r="AA93" s="226"/>
      <c r="AB93" s="299">
        <v>65</v>
      </c>
      <c r="AC93" s="300"/>
    </row>
    <row r="94" spans="1:32" ht="15.6" x14ac:dyDescent="0.3">
      <c r="A94" s="45" t="s">
        <v>43</v>
      </c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7"/>
      <c r="V94" s="47"/>
      <c r="W94" s="47"/>
      <c r="X94" s="47"/>
      <c r="Y94" s="47"/>
      <c r="Z94" s="47"/>
      <c r="AA94" s="47"/>
      <c r="AB94" s="47"/>
      <c r="AC94" s="4"/>
    </row>
    <row r="95" spans="1:32" ht="21.75" customHeight="1" x14ac:dyDescent="0.3">
      <c r="A95" s="205"/>
      <c r="B95" s="206"/>
      <c r="C95" s="206"/>
      <c r="D95" s="206"/>
      <c r="E95" s="206"/>
      <c r="F95" s="206"/>
      <c r="G95" s="206"/>
      <c r="H95" s="206"/>
      <c r="I95" s="206"/>
      <c r="J95" s="207"/>
      <c r="K95" s="224" t="s">
        <v>0</v>
      </c>
      <c r="L95" s="226"/>
      <c r="M95" s="305" t="s">
        <v>1</v>
      </c>
      <c r="N95" s="306"/>
      <c r="O95" s="301" t="s">
        <v>2</v>
      </c>
      <c r="P95" s="302"/>
      <c r="Q95" s="301" t="s">
        <v>3</v>
      </c>
      <c r="R95" s="302"/>
      <c r="S95" s="301" t="s">
        <v>4</v>
      </c>
      <c r="T95" s="302"/>
      <c r="U95" s="301" t="s">
        <v>5</v>
      </c>
      <c r="V95" s="302"/>
      <c r="W95" s="301" t="s">
        <v>6</v>
      </c>
      <c r="X95" s="302"/>
      <c r="Y95" s="301" t="s">
        <v>44</v>
      </c>
      <c r="Z95" s="302"/>
      <c r="AA95" s="301" t="s">
        <v>7</v>
      </c>
      <c r="AB95" s="302"/>
      <c r="AC95" s="303" t="s">
        <v>86</v>
      </c>
      <c r="AD95" s="5"/>
      <c r="AE95" s="6"/>
      <c r="AF95" s="6"/>
    </row>
    <row r="96" spans="1:32" x14ac:dyDescent="0.3">
      <c r="A96" s="208"/>
      <c r="B96" s="209"/>
      <c r="C96" s="209"/>
      <c r="D96" s="209"/>
      <c r="E96" s="209"/>
      <c r="F96" s="209"/>
      <c r="G96" s="209"/>
      <c r="H96" s="209"/>
      <c r="I96" s="209"/>
      <c r="J96" s="210"/>
      <c r="K96" s="7" t="s">
        <v>9</v>
      </c>
      <c r="L96" s="7" t="s">
        <v>10</v>
      </c>
      <c r="M96" s="7" t="s">
        <v>9</v>
      </c>
      <c r="N96" s="7" t="s">
        <v>10</v>
      </c>
      <c r="O96" s="7" t="s">
        <v>9</v>
      </c>
      <c r="P96" s="7" t="s">
        <v>10</v>
      </c>
      <c r="Q96" s="7" t="s">
        <v>9</v>
      </c>
      <c r="R96" s="7" t="s">
        <v>10</v>
      </c>
      <c r="S96" s="7" t="s">
        <v>9</v>
      </c>
      <c r="T96" s="7" t="s">
        <v>10</v>
      </c>
      <c r="U96" s="7" t="s">
        <v>9</v>
      </c>
      <c r="V96" s="7" t="s">
        <v>10</v>
      </c>
      <c r="W96" s="7" t="s">
        <v>9</v>
      </c>
      <c r="X96" s="7" t="s">
        <v>10</v>
      </c>
      <c r="Y96" s="7" t="s">
        <v>9</v>
      </c>
      <c r="Z96" s="7" t="s">
        <v>10</v>
      </c>
      <c r="AA96" s="7" t="s">
        <v>9</v>
      </c>
      <c r="AB96" s="7" t="s">
        <v>10</v>
      </c>
      <c r="AC96" s="304"/>
    </row>
    <row r="97" spans="1:29" ht="24.9" customHeight="1" x14ac:dyDescent="0.3">
      <c r="A97" s="281" t="s">
        <v>39</v>
      </c>
      <c r="B97" s="282"/>
      <c r="C97" s="282"/>
      <c r="D97" s="282"/>
      <c r="E97" s="282"/>
      <c r="F97" s="282"/>
      <c r="G97" s="282"/>
      <c r="H97" s="282"/>
      <c r="I97" s="282"/>
      <c r="J97" s="283"/>
      <c r="K97" s="7">
        <v>0</v>
      </c>
      <c r="L97" s="7">
        <v>0</v>
      </c>
      <c r="M97" s="7">
        <v>0</v>
      </c>
      <c r="N97" s="7">
        <v>0</v>
      </c>
      <c r="O97" s="7">
        <v>6</v>
      </c>
      <c r="P97" s="7">
        <v>11</v>
      </c>
      <c r="Q97" s="7">
        <v>9</v>
      </c>
      <c r="R97" s="7">
        <v>2</v>
      </c>
      <c r="S97" s="7">
        <v>6</v>
      </c>
      <c r="T97" s="7">
        <v>4</v>
      </c>
      <c r="U97" s="7">
        <v>2</v>
      </c>
      <c r="V97" s="7">
        <v>1</v>
      </c>
      <c r="W97" s="7">
        <v>7</v>
      </c>
      <c r="X97" s="7">
        <v>3</v>
      </c>
      <c r="Y97" s="7">
        <v>3</v>
      </c>
      <c r="Z97" s="7">
        <v>1</v>
      </c>
      <c r="AA97" s="7">
        <v>33</v>
      </c>
      <c r="AB97" s="7">
        <v>22</v>
      </c>
      <c r="AC97" s="7">
        <v>55</v>
      </c>
    </row>
    <row r="98" spans="1:29" ht="24.9" customHeight="1" x14ac:dyDescent="0.3">
      <c r="A98" s="281" t="s">
        <v>40</v>
      </c>
      <c r="B98" s="282"/>
      <c r="C98" s="282"/>
      <c r="D98" s="282"/>
      <c r="E98" s="282"/>
      <c r="F98" s="282"/>
      <c r="G98" s="282"/>
      <c r="H98" s="282"/>
      <c r="I98" s="282"/>
      <c r="J98" s="283"/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1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1</v>
      </c>
      <c r="X98" s="7">
        <v>1</v>
      </c>
      <c r="Y98" s="7">
        <v>3</v>
      </c>
      <c r="Z98" s="7">
        <v>1</v>
      </c>
      <c r="AA98" s="7">
        <v>4</v>
      </c>
      <c r="AB98" s="7">
        <v>3</v>
      </c>
      <c r="AC98" s="7">
        <v>7</v>
      </c>
    </row>
    <row r="99" spans="1:29" ht="24.9" customHeight="1" x14ac:dyDescent="0.3">
      <c r="A99" s="281" t="s">
        <v>41</v>
      </c>
      <c r="B99" s="282"/>
      <c r="C99" s="282"/>
      <c r="D99" s="282"/>
      <c r="E99" s="282"/>
      <c r="F99" s="282"/>
      <c r="G99" s="282"/>
      <c r="H99" s="282"/>
      <c r="I99" s="282"/>
      <c r="J99" s="283"/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</row>
    <row r="100" spans="1:29" ht="24.9" customHeight="1" x14ac:dyDescent="0.3">
      <c r="A100" s="281" t="s">
        <v>42</v>
      </c>
      <c r="B100" s="282"/>
      <c r="C100" s="282"/>
      <c r="D100" s="282"/>
      <c r="E100" s="282"/>
      <c r="F100" s="282"/>
      <c r="G100" s="282"/>
      <c r="H100" s="282"/>
      <c r="I100" s="282"/>
      <c r="J100" s="283"/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1</v>
      </c>
      <c r="Q100" s="7">
        <v>0</v>
      </c>
      <c r="R100" s="7">
        <v>0</v>
      </c>
      <c r="S100" s="7">
        <v>0</v>
      </c>
      <c r="T100" s="7">
        <v>1</v>
      </c>
      <c r="U100" s="7">
        <v>0</v>
      </c>
      <c r="V100" s="7">
        <v>0</v>
      </c>
      <c r="W100" s="7">
        <v>0</v>
      </c>
      <c r="X100" s="7">
        <v>0</v>
      </c>
      <c r="Y100" s="7">
        <v>1</v>
      </c>
      <c r="Z100" s="7">
        <v>0</v>
      </c>
      <c r="AA100" s="7">
        <v>1</v>
      </c>
      <c r="AB100" s="7">
        <v>2</v>
      </c>
      <c r="AC100" s="7">
        <v>3</v>
      </c>
    </row>
    <row r="101" spans="1:29" ht="24.9" customHeight="1" x14ac:dyDescent="0.3">
      <c r="A101" s="224" t="s">
        <v>7</v>
      </c>
      <c r="B101" s="225"/>
      <c r="C101" s="225"/>
      <c r="D101" s="225"/>
      <c r="E101" s="225"/>
      <c r="F101" s="225"/>
      <c r="G101" s="225"/>
      <c r="H101" s="225"/>
      <c r="I101" s="225"/>
      <c r="J101" s="226"/>
      <c r="K101" s="7">
        <v>0</v>
      </c>
      <c r="L101" s="7">
        <v>0</v>
      </c>
      <c r="M101" s="7">
        <v>0</v>
      </c>
      <c r="N101" s="7">
        <v>0</v>
      </c>
      <c r="O101" s="7">
        <v>6</v>
      </c>
      <c r="P101" s="7">
        <v>13</v>
      </c>
      <c r="Q101" s="7">
        <v>9</v>
      </c>
      <c r="R101" s="7">
        <v>2</v>
      </c>
      <c r="S101" s="7">
        <v>6</v>
      </c>
      <c r="T101" s="7">
        <v>5</v>
      </c>
      <c r="U101" s="7">
        <v>2</v>
      </c>
      <c r="V101" s="7">
        <v>1</v>
      </c>
      <c r="W101" s="7">
        <v>8</v>
      </c>
      <c r="X101" s="7">
        <v>4</v>
      </c>
      <c r="Y101" s="7">
        <v>7</v>
      </c>
      <c r="Z101" s="7">
        <v>2</v>
      </c>
      <c r="AA101" s="7">
        <v>38</v>
      </c>
      <c r="AB101" s="7">
        <v>27</v>
      </c>
      <c r="AC101" s="7">
        <v>65</v>
      </c>
    </row>
    <row r="102" spans="1:29" ht="6.75" customHeight="1" x14ac:dyDescent="0.3">
      <c r="A102" s="8"/>
      <c r="B102" s="9"/>
      <c r="C102" s="9"/>
      <c r="D102" s="9"/>
      <c r="E102" s="9"/>
      <c r="F102" s="10"/>
      <c r="G102" s="11"/>
      <c r="H102" s="11"/>
      <c r="I102" s="11"/>
      <c r="J102" s="11"/>
      <c r="K102" s="11"/>
      <c r="L102" s="11"/>
      <c r="M102" s="50"/>
      <c r="N102" s="11"/>
      <c r="O102" s="227"/>
      <c r="P102" s="228"/>
      <c r="Q102" s="12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3"/>
    </row>
    <row r="103" spans="1:29" ht="18" customHeight="1" x14ac:dyDescent="0.3">
      <c r="A103" s="14" t="s">
        <v>45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6"/>
      <c r="M103" s="17"/>
      <c r="N103" s="14" t="s">
        <v>46</v>
      </c>
      <c r="O103" s="15"/>
      <c r="P103" s="15"/>
      <c r="Q103" s="15"/>
      <c r="R103" s="15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9"/>
    </row>
    <row r="104" spans="1:29" ht="42.75" customHeight="1" x14ac:dyDescent="0.3">
      <c r="A104" s="307" t="s">
        <v>47</v>
      </c>
      <c r="B104" s="312" t="s">
        <v>48</v>
      </c>
      <c r="C104" s="313"/>
      <c r="D104" s="314" t="s">
        <v>49</v>
      </c>
      <c r="E104" s="315"/>
      <c r="F104" s="316"/>
      <c r="G104" s="314" t="s">
        <v>50</v>
      </c>
      <c r="H104" s="315"/>
      <c r="I104" s="315"/>
      <c r="J104" s="316"/>
      <c r="K104" s="307" t="s">
        <v>51</v>
      </c>
      <c r="L104" s="307" t="s">
        <v>52</v>
      </c>
      <c r="M104" s="20"/>
      <c r="N104" s="309" t="s">
        <v>53</v>
      </c>
      <c r="O104" s="310"/>
      <c r="P104" s="311"/>
      <c r="Q104" s="309" t="s">
        <v>54</v>
      </c>
      <c r="R104" s="310"/>
      <c r="S104" s="311"/>
      <c r="T104" s="309" t="s">
        <v>55</v>
      </c>
      <c r="U104" s="310"/>
      <c r="V104" s="310"/>
      <c r="W104" s="310"/>
      <c r="X104" s="310"/>
      <c r="Y104" s="310"/>
      <c r="Z104" s="310"/>
      <c r="AA104" s="310"/>
      <c r="AB104" s="310"/>
      <c r="AC104" s="311"/>
    </row>
    <row r="105" spans="1:29" ht="48" customHeight="1" x14ac:dyDescent="0.3">
      <c r="A105" s="308"/>
      <c r="B105" s="21" t="s">
        <v>7</v>
      </c>
      <c r="C105" s="22" t="s">
        <v>87</v>
      </c>
      <c r="D105" s="22" t="s">
        <v>56</v>
      </c>
      <c r="E105" s="22" t="s">
        <v>88</v>
      </c>
      <c r="F105" s="22" t="s">
        <v>89</v>
      </c>
      <c r="G105" s="23" t="s">
        <v>56</v>
      </c>
      <c r="H105" s="22" t="s">
        <v>90</v>
      </c>
      <c r="I105" s="23" t="s">
        <v>57</v>
      </c>
      <c r="J105" s="23" t="s">
        <v>58</v>
      </c>
      <c r="K105" s="308"/>
      <c r="L105" s="308"/>
      <c r="M105" s="20"/>
      <c r="N105" s="309">
        <v>0</v>
      </c>
      <c r="O105" s="310"/>
      <c r="P105" s="311"/>
      <c r="Q105" s="309">
        <v>0</v>
      </c>
      <c r="R105" s="310"/>
      <c r="S105" s="311"/>
      <c r="T105" s="309">
        <v>0</v>
      </c>
      <c r="U105" s="310"/>
      <c r="V105" s="310"/>
      <c r="W105" s="310"/>
      <c r="X105" s="310"/>
      <c r="Y105" s="310"/>
      <c r="Z105" s="310"/>
      <c r="AA105" s="310"/>
      <c r="AB105" s="310"/>
      <c r="AC105" s="311"/>
    </row>
    <row r="106" spans="1:29" ht="38.25" customHeight="1" x14ac:dyDescent="0.3">
      <c r="A106" s="270">
        <v>48602</v>
      </c>
      <c r="B106" s="270">
        <v>323</v>
      </c>
      <c r="C106" s="270">
        <v>12</v>
      </c>
      <c r="D106" s="270">
        <v>149</v>
      </c>
      <c r="E106" s="270">
        <v>97</v>
      </c>
      <c r="F106" s="270">
        <v>77</v>
      </c>
      <c r="G106" s="270">
        <v>4</v>
      </c>
      <c r="H106" s="270">
        <v>40</v>
      </c>
      <c r="I106" s="270">
        <v>13</v>
      </c>
      <c r="J106" s="270">
        <v>57</v>
      </c>
      <c r="K106" s="270">
        <v>55</v>
      </c>
      <c r="L106" s="270">
        <v>56</v>
      </c>
      <c r="M106" s="20"/>
      <c r="N106" s="309" t="s">
        <v>59</v>
      </c>
      <c r="O106" s="310"/>
      <c r="P106" s="311"/>
      <c r="Q106" s="309" t="s">
        <v>60</v>
      </c>
      <c r="R106" s="310"/>
      <c r="S106" s="311"/>
      <c r="T106" s="293" t="s">
        <v>61</v>
      </c>
      <c r="U106" s="294"/>
      <c r="V106" s="294"/>
      <c r="W106" s="295"/>
      <c r="X106" s="293" t="s">
        <v>62</v>
      </c>
      <c r="Y106" s="294"/>
      <c r="Z106" s="294"/>
      <c r="AA106" s="294"/>
      <c r="AB106" s="294"/>
      <c r="AC106" s="295"/>
    </row>
    <row r="107" spans="1:29" ht="19.5" customHeight="1" x14ac:dyDescent="0.3">
      <c r="A107" s="271"/>
      <c r="B107" s="271"/>
      <c r="C107" s="271"/>
      <c r="D107" s="271"/>
      <c r="E107" s="271"/>
      <c r="F107" s="271"/>
      <c r="G107" s="271"/>
      <c r="H107" s="271"/>
      <c r="I107" s="271"/>
      <c r="J107" s="271"/>
      <c r="K107" s="271"/>
      <c r="L107" s="271"/>
      <c r="M107" s="54"/>
      <c r="N107" s="287">
        <v>0</v>
      </c>
      <c r="O107" s="288"/>
      <c r="P107" s="289"/>
      <c r="Q107" s="287">
        <v>0</v>
      </c>
      <c r="R107" s="288"/>
      <c r="S107" s="289"/>
      <c r="T107" s="287">
        <v>0</v>
      </c>
      <c r="U107" s="288"/>
      <c r="V107" s="288"/>
      <c r="W107" s="289"/>
      <c r="X107" s="24"/>
      <c r="Y107" s="309" t="s">
        <v>0</v>
      </c>
      <c r="Z107" s="311"/>
      <c r="AA107" s="25" t="s">
        <v>1</v>
      </c>
      <c r="AB107" s="309" t="s">
        <v>63</v>
      </c>
      <c r="AC107" s="311"/>
    </row>
    <row r="108" spans="1:29" ht="18" customHeight="1" x14ac:dyDescent="0.3">
      <c r="A108" s="271"/>
      <c r="B108" s="271"/>
      <c r="C108" s="271"/>
      <c r="D108" s="271"/>
      <c r="E108" s="271"/>
      <c r="F108" s="271"/>
      <c r="G108" s="271"/>
      <c r="H108" s="271"/>
      <c r="I108" s="271"/>
      <c r="J108" s="271"/>
      <c r="K108" s="271"/>
      <c r="L108" s="271"/>
      <c r="M108" s="54"/>
      <c r="N108" s="290"/>
      <c r="O108" s="291"/>
      <c r="P108" s="292"/>
      <c r="Q108" s="290"/>
      <c r="R108" s="291"/>
      <c r="S108" s="292"/>
      <c r="T108" s="290"/>
      <c r="U108" s="291"/>
      <c r="V108" s="291"/>
      <c r="W108" s="292"/>
      <c r="X108" s="26" t="s">
        <v>64</v>
      </c>
      <c r="Y108" s="317">
        <v>0</v>
      </c>
      <c r="Z108" s="317"/>
      <c r="AA108" s="25">
        <v>0</v>
      </c>
      <c r="AB108" s="317">
        <v>0</v>
      </c>
      <c r="AC108" s="317"/>
    </row>
    <row r="109" spans="1:29" ht="18" customHeight="1" x14ac:dyDescent="0.3">
      <c r="A109" s="271"/>
      <c r="B109" s="271"/>
      <c r="C109" s="271"/>
      <c r="D109" s="271"/>
      <c r="E109" s="271"/>
      <c r="F109" s="271"/>
      <c r="G109" s="271"/>
      <c r="H109" s="271"/>
      <c r="I109" s="271"/>
      <c r="J109" s="271"/>
      <c r="K109" s="271"/>
      <c r="L109" s="271"/>
      <c r="M109" s="54"/>
      <c r="N109" s="290"/>
      <c r="O109" s="291"/>
      <c r="P109" s="292"/>
      <c r="Q109" s="290"/>
      <c r="R109" s="291"/>
      <c r="S109" s="292"/>
      <c r="T109" s="290"/>
      <c r="U109" s="291"/>
      <c r="V109" s="291"/>
      <c r="W109" s="292"/>
      <c r="X109" s="26" t="s">
        <v>65</v>
      </c>
      <c r="Y109" s="317">
        <v>0</v>
      </c>
      <c r="Z109" s="317"/>
      <c r="AA109" s="25">
        <v>0</v>
      </c>
      <c r="AB109" s="317">
        <v>0</v>
      </c>
      <c r="AC109" s="317"/>
    </row>
    <row r="110" spans="1:29" ht="18" customHeight="1" x14ac:dyDescent="0.3">
      <c r="A110" s="272"/>
      <c r="B110" s="272"/>
      <c r="C110" s="272"/>
      <c r="D110" s="272"/>
      <c r="E110" s="272"/>
      <c r="F110" s="272"/>
      <c r="G110" s="272"/>
      <c r="H110" s="272"/>
      <c r="I110" s="272"/>
      <c r="J110" s="272"/>
      <c r="K110" s="272"/>
      <c r="L110" s="272"/>
      <c r="M110" s="54"/>
      <c r="N110" s="293"/>
      <c r="O110" s="294"/>
      <c r="P110" s="295"/>
      <c r="Q110" s="293"/>
      <c r="R110" s="294"/>
      <c r="S110" s="295"/>
      <c r="T110" s="293"/>
      <c r="U110" s="294"/>
      <c r="V110" s="294"/>
      <c r="W110" s="295"/>
      <c r="X110" s="26" t="s">
        <v>66</v>
      </c>
      <c r="Y110" s="317">
        <v>0</v>
      </c>
      <c r="Z110" s="317"/>
      <c r="AA110" s="25">
        <v>0</v>
      </c>
      <c r="AB110" s="317">
        <v>0</v>
      </c>
      <c r="AC110" s="317"/>
    </row>
    <row r="111" spans="1:29" ht="8.25" customHeight="1" x14ac:dyDescent="0.3">
      <c r="A111" s="27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59"/>
      <c r="N111" s="28"/>
      <c r="O111" s="28"/>
      <c r="P111" s="28"/>
      <c r="Q111" s="28"/>
      <c r="R111" s="28"/>
      <c r="S111" s="28"/>
      <c r="T111" s="28"/>
      <c r="U111" s="29"/>
      <c r="V111" s="29"/>
      <c r="W111" s="29"/>
      <c r="X111" s="29"/>
      <c r="Y111" s="29"/>
      <c r="Z111" s="29"/>
      <c r="AA111" s="28"/>
      <c r="AB111" s="28"/>
      <c r="AC111" s="4"/>
    </row>
    <row r="112" spans="1:29" ht="18" customHeight="1" x14ac:dyDescent="0.3">
      <c r="A112" s="14" t="s">
        <v>67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6"/>
      <c r="M112" s="30"/>
      <c r="N112" s="14" t="s">
        <v>68</v>
      </c>
      <c r="O112" s="16"/>
      <c r="P112" s="15"/>
      <c r="Q112" s="31"/>
      <c r="R112" s="15"/>
      <c r="S112" s="15"/>
      <c r="T112" s="15"/>
      <c r="U112" s="15"/>
      <c r="V112" s="15"/>
      <c r="W112" s="15"/>
      <c r="X112" s="15"/>
      <c r="Y112" s="15"/>
      <c r="Z112" s="15"/>
      <c r="AA112" s="18"/>
      <c r="AB112" s="18"/>
      <c r="AC112" s="32"/>
    </row>
    <row r="113" spans="1:29" ht="57" customHeight="1" x14ac:dyDescent="0.3">
      <c r="A113" s="205"/>
      <c r="B113" s="206"/>
      <c r="C113" s="206"/>
      <c r="D113" s="206"/>
      <c r="E113" s="206"/>
      <c r="F113" s="207"/>
      <c r="G113" s="224" t="s">
        <v>11</v>
      </c>
      <c r="H113" s="226"/>
      <c r="I113" s="224" t="s">
        <v>12</v>
      </c>
      <c r="J113" s="226"/>
      <c r="K113" s="33" t="s">
        <v>69</v>
      </c>
      <c r="L113" s="34"/>
      <c r="M113" s="62"/>
      <c r="N113" s="314" t="s">
        <v>70</v>
      </c>
      <c r="O113" s="315"/>
      <c r="P113" s="316"/>
      <c r="Q113" s="314" t="s">
        <v>71</v>
      </c>
      <c r="R113" s="315"/>
      <c r="S113" s="316"/>
      <c r="T113" s="314" t="s">
        <v>72</v>
      </c>
      <c r="U113" s="315"/>
      <c r="V113" s="316"/>
      <c r="W113" s="314" t="s">
        <v>73</v>
      </c>
      <c r="X113" s="315"/>
      <c r="Y113" s="315"/>
      <c r="Z113" s="316"/>
      <c r="AA113" s="314" t="s">
        <v>74</v>
      </c>
      <c r="AB113" s="315"/>
      <c r="AC113" s="316"/>
    </row>
    <row r="114" spans="1:29" ht="15" customHeight="1" x14ac:dyDescent="0.3">
      <c r="A114" s="208"/>
      <c r="B114" s="209"/>
      <c r="C114" s="209"/>
      <c r="D114" s="209"/>
      <c r="E114" s="209"/>
      <c r="F114" s="210"/>
      <c r="G114" s="7" t="s">
        <v>75</v>
      </c>
      <c r="H114" s="7" t="s">
        <v>13</v>
      </c>
      <c r="I114" s="7" t="s">
        <v>75</v>
      </c>
      <c r="J114" s="7" t="s">
        <v>13</v>
      </c>
      <c r="K114" s="7" t="s">
        <v>75</v>
      </c>
      <c r="L114" s="7" t="s">
        <v>13</v>
      </c>
      <c r="M114" s="63"/>
      <c r="N114" s="35" t="s">
        <v>0</v>
      </c>
      <c r="O114" s="36" t="s">
        <v>1</v>
      </c>
      <c r="P114" s="36" t="s">
        <v>91</v>
      </c>
      <c r="Q114" s="35" t="s">
        <v>0</v>
      </c>
      <c r="R114" s="36" t="s">
        <v>1</v>
      </c>
      <c r="S114" s="36" t="s">
        <v>91</v>
      </c>
      <c r="T114" s="35" t="s">
        <v>0</v>
      </c>
      <c r="U114" s="36" t="s">
        <v>1</v>
      </c>
      <c r="V114" s="36" t="s">
        <v>91</v>
      </c>
      <c r="W114" s="37"/>
      <c r="X114" s="35" t="s">
        <v>0</v>
      </c>
      <c r="Y114" s="38" t="s">
        <v>1</v>
      </c>
      <c r="Z114" s="39" t="s">
        <v>76</v>
      </c>
      <c r="AA114" s="35" t="s">
        <v>0</v>
      </c>
      <c r="AB114" s="38" t="s">
        <v>1</v>
      </c>
      <c r="AC114" s="39" t="s">
        <v>76</v>
      </c>
    </row>
    <row r="115" spans="1:29" ht="24.9" customHeight="1" x14ac:dyDescent="0.3">
      <c r="A115" s="299" t="s">
        <v>77</v>
      </c>
      <c r="B115" s="318"/>
      <c r="C115" s="318"/>
      <c r="D115" s="318"/>
      <c r="E115" s="318"/>
      <c r="F115" s="300"/>
      <c r="G115" s="7">
        <v>41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63"/>
      <c r="N115" s="321">
        <v>0</v>
      </c>
      <c r="O115" s="321">
        <v>0</v>
      </c>
      <c r="P115" s="321">
        <v>0</v>
      </c>
      <c r="Q115" s="321">
        <v>0</v>
      </c>
      <c r="R115" s="321">
        <v>0</v>
      </c>
      <c r="S115" s="321">
        <v>0</v>
      </c>
      <c r="T115" s="321">
        <v>0</v>
      </c>
      <c r="U115" s="321">
        <v>0</v>
      </c>
      <c r="V115" s="321">
        <v>0</v>
      </c>
      <c r="W115" s="40" t="s">
        <v>64</v>
      </c>
      <c r="X115" s="41">
        <v>0</v>
      </c>
      <c r="Y115" s="41">
        <v>0</v>
      </c>
      <c r="Z115" s="41">
        <v>0</v>
      </c>
      <c r="AA115" s="41">
        <v>0</v>
      </c>
      <c r="AB115" s="41">
        <v>0</v>
      </c>
      <c r="AC115" s="41">
        <v>0</v>
      </c>
    </row>
    <row r="116" spans="1:29" ht="24.9" customHeight="1" x14ac:dyDescent="0.3">
      <c r="A116" s="299" t="s">
        <v>8</v>
      </c>
      <c r="B116" s="318"/>
      <c r="C116" s="318"/>
      <c r="D116" s="318"/>
      <c r="E116" s="318"/>
      <c r="F116" s="300"/>
      <c r="G116" s="7">
        <v>3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63"/>
      <c r="N116" s="322"/>
      <c r="O116" s="322"/>
      <c r="P116" s="322"/>
      <c r="Q116" s="322"/>
      <c r="R116" s="322"/>
      <c r="S116" s="322"/>
      <c r="T116" s="322"/>
      <c r="U116" s="322"/>
      <c r="V116" s="322"/>
      <c r="W116" s="40" t="s">
        <v>65</v>
      </c>
      <c r="X116" s="41">
        <v>0</v>
      </c>
      <c r="Y116" s="41">
        <v>0</v>
      </c>
      <c r="Z116" s="41">
        <v>0</v>
      </c>
      <c r="AA116" s="41">
        <v>0</v>
      </c>
      <c r="AB116" s="41">
        <v>0</v>
      </c>
      <c r="AC116" s="41">
        <v>0</v>
      </c>
    </row>
    <row r="117" spans="1:29" ht="24.9" customHeight="1" x14ac:dyDescent="0.3">
      <c r="A117" s="309" t="s">
        <v>78</v>
      </c>
      <c r="B117" s="310"/>
      <c r="C117" s="310"/>
      <c r="D117" s="310"/>
      <c r="E117" s="310"/>
      <c r="F117" s="311"/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63"/>
      <c r="N117" s="322"/>
      <c r="O117" s="322"/>
      <c r="P117" s="322"/>
      <c r="Q117" s="322"/>
      <c r="R117" s="322"/>
      <c r="S117" s="322"/>
      <c r="T117" s="322"/>
      <c r="U117" s="322"/>
      <c r="V117" s="322"/>
      <c r="W117" s="319" t="s">
        <v>66</v>
      </c>
      <c r="X117" s="321">
        <v>0</v>
      </c>
      <c r="Y117" s="321">
        <v>0</v>
      </c>
      <c r="Z117" s="321">
        <v>0</v>
      </c>
      <c r="AA117" s="321">
        <v>0</v>
      </c>
      <c r="AB117" s="321">
        <v>0</v>
      </c>
      <c r="AC117" s="321">
        <v>0</v>
      </c>
    </row>
    <row r="118" spans="1:29" ht="24.9" customHeight="1" x14ac:dyDescent="0.3">
      <c r="A118" s="224" t="s">
        <v>7</v>
      </c>
      <c r="B118" s="225"/>
      <c r="C118" s="225"/>
      <c r="D118" s="225"/>
      <c r="E118" s="225"/>
      <c r="F118" s="226"/>
      <c r="G118" s="7">
        <v>44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63"/>
      <c r="N118" s="323"/>
      <c r="O118" s="323"/>
      <c r="P118" s="323"/>
      <c r="Q118" s="323"/>
      <c r="R118" s="323"/>
      <c r="S118" s="323"/>
      <c r="T118" s="323"/>
      <c r="U118" s="323"/>
      <c r="V118" s="323"/>
      <c r="W118" s="320"/>
      <c r="X118" s="323"/>
      <c r="Y118" s="323"/>
      <c r="Z118" s="323"/>
      <c r="AA118" s="323"/>
      <c r="AB118" s="323"/>
      <c r="AC118" s="323"/>
    </row>
    <row r="119" spans="1:29" ht="23.4" x14ac:dyDescent="0.45">
      <c r="A119" s="158" t="s">
        <v>15</v>
      </c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  <c r="Z119" s="158"/>
      <c r="AA119" s="158"/>
      <c r="AB119" s="158"/>
      <c r="AC119" s="158"/>
    </row>
    <row r="120" spans="1:29" ht="23.4" x14ac:dyDescent="0.3">
      <c r="A120" s="159" t="s">
        <v>16</v>
      </c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2"/>
      <c r="Y120" s="160" t="s">
        <v>17</v>
      </c>
      <c r="Z120" s="160"/>
      <c r="AA120" s="2"/>
      <c r="AB120" s="2"/>
      <c r="AC120" s="2"/>
    </row>
    <row r="121" spans="1:29" ht="30.9" customHeight="1" x14ac:dyDescent="0.3">
      <c r="A121" s="326" t="s">
        <v>18</v>
      </c>
      <c r="B121" s="326"/>
      <c r="C121" s="326"/>
      <c r="D121" s="326"/>
      <c r="E121" s="327" t="s">
        <v>99</v>
      </c>
      <c r="F121" s="327"/>
      <c r="G121" s="327"/>
      <c r="H121" s="327"/>
      <c r="I121" s="328" t="s">
        <v>20</v>
      </c>
      <c r="J121" s="328"/>
      <c r="K121" s="329" t="s">
        <v>85</v>
      </c>
      <c r="L121" s="329"/>
      <c r="M121" s="328" t="s">
        <v>21</v>
      </c>
      <c r="N121" s="328"/>
      <c r="O121" s="340" t="s">
        <v>92</v>
      </c>
      <c r="P121" s="340"/>
      <c r="Q121" s="340"/>
      <c r="R121" s="340"/>
      <c r="S121" s="43"/>
      <c r="T121" s="166" t="s">
        <v>22</v>
      </c>
      <c r="U121" s="166"/>
      <c r="V121" s="166"/>
      <c r="W121" s="166"/>
      <c r="X121" s="166"/>
      <c r="Y121" s="152" t="s">
        <v>81</v>
      </c>
      <c r="Z121" s="152"/>
      <c r="AA121" s="152"/>
      <c r="AB121" s="153" t="s">
        <v>83</v>
      </c>
      <c r="AC121" s="153"/>
    </row>
    <row r="122" spans="1:29" ht="15" customHeight="1" x14ac:dyDescent="0.3">
      <c r="T122" s="166"/>
      <c r="U122" s="166"/>
      <c r="V122" s="166"/>
      <c r="W122" s="166"/>
      <c r="X122" s="166"/>
      <c r="Y122" s="152"/>
      <c r="Z122" s="152"/>
      <c r="AA122" s="152"/>
      <c r="AB122" s="153"/>
      <c r="AC122" s="153"/>
    </row>
    <row r="123" spans="1:29" ht="15.6" x14ac:dyDescent="0.3">
      <c r="A123" s="324" t="s">
        <v>24</v>
      </c>
      <c r="B123" s="324"/>
      <c r="C123" s="324"/>
      <c r="D123" s="324"/>
      <c r="E123" s="324"/>
      <c r="F123" s="324"/>
      <c r="G123" s="324"/>
      <c r="H123" s="347" t="s">
        <v>25</v>
      </c>
      <c r="I123" s="347"/>
      <c r="J123" s="347"/>
      <c r="K123" s="347"/>
      <c r="L123" s="347"/>
      <c r="M123" s="347"/>
      <c r="N123" s="347"/>
      <c r="O123" s="44"/>
      <c r="P123" s="44"/>
      <c r="T123" s="156" t="s">
        <v>26</v>
      </c>
      <c r="U123" s="156"/>
      <c r="V123" s="156"/>
      <c r="W123" s="156"/>
      <c r="X123" s="156"/>
      <c r="Y123" s="156"/>
      <c r="Z123" s="265" t="s">
        <v>27</v>
      </c>
      <c r="AA123" s="265"/>
      <c r="AB123" s="265"/>
      <c r="AC123" s="265"/>
    </row>
    <row r="124" spans="1:29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5" customHeight="1" x14ac:dyDescent="0.3">
      <c r="A125" s="284" t="s">
        <v>29</v>
      </c>
      <c r="B125" s="285"/>
      <c r="C125" s="285"/>
      <c r="D125" s="285"/>
      <c r="E125" s="285"/>
      <c r="F125" s="285"/>
      <c r="G125" s="285"/>
      <c r="H125" s="285"/>
      <c r="I125" s="285"/>
      <c r="J125" s="286"/>
      <c r="K125" s="273" t="s">
        <v>30</v>
      </c>
      <c r="L125" s="274"/>
      <c r="M125" s="273" t="s">
        <v>31</v>
      </c>
      <c r="N125" s="274"/>
      <c r="O125" s="287" t="s">
        <v>32</v>
      </c>
      <c r="P125" s="288"/>
      <c r="Q125" s="289"/>
      <c r="R125" s="273" t="s">
        <v>33</v>
      </c>
      <c r="S125" s="296"/>
      <c r="T125" s="274"/>
      <c r="U125" s="224" t="s">
        <v>34</v>
      </c>
      <c r="V125" s="225"/>
      <c r="W125" s="225"/>
      <c r="X125" s="225"/>
      <c r="Y125" s="225"/>
      <c r="Z125" s="225"/>
      <c r="AA125" s="226"/>
      <c r="AB125" s="273" t="s">
        <v>7</v>
      </c>
      <c r="AC125" s="274"/>
    </row>
    <row r="126" spans="1:29" ht="23.25" customHeight="1" x14ac:dyDescent="0.3">
      <c r="A126" s="169" t="s">
        <v>35</v>
      </c>
      <c r="B126" s="173"/>
      <c r="C126" s="173"/>
      <c r="D126" s="173"/>
      <c r="E126" s="173"/>
      <c r="F126" s="173"/>
      <c r="G126" s="173"/>
      <c r="H126" s="173"/>
      <c r="I126" s="173"/>
      <c r="J126" s="170"/>
      <c r="K126" s="275"/>
      <c r="L126" s="276"/>
      <c r="M126" s="275"/>
      <c r="N126" s="276"/>
      <c r="O126" s="290"/>
      <c r="P126" s="291"/>
      <c r="Q126" s="292"/>
      <c r="R126" s="275"/>
      <c r="S126" s="297"/>
      <c r="T126" s="276"/>
      <c r="U126" s="279" t="s">
        <v>36</v>
      </c>
      <c r="V126" s="279"/>
      <c r="W126" s="279"/>
      <c r="X126" s="279" t="s">
        <v>37</v>
      </c>
      <c r="Y126" s="279"/>
      <c r="Z126" s="279" t="s">
        <v>38</v>
      </c>
      <c r="AA126" s="279"/>
      <c r="AB126" s="275"/>
      <c r="AC126" s="276"/>
    </row>
    <row r="127" spans="1:29" x14ac:dyDescent="0.3">
      <c r="A127" s="171"/>
      <c r="B127" s="174"/>
      <c r="C127" s="174"/>
      <c r="D127" s="174"/>
      <c r="E127" s="174"/>
      <c r="F127" s="174"/>
      <c r="G127" s="174"/>
      <c r="H127" s="174"/>
      <c r="I127" s="174"/>
      <c r="J127" s="172"/>
      <c r="K127" s="277"/>
      <c r="L127" s="278"/>
      <c r="M127" s="277"/>
      <c r="N127" s="278"/>
      <c r="O127" s="293"/>
      <c r="P127" s="294"/>
      <c r="Q127" s="295"/>
      <c r="R127" s="277"/>
      <c r="S127" s="298"/>
      <c r="T127" s="278"/>
      <c r="U127" s="280"/>
      <c r="V127" s="280"/>
      <c r="W127" s="280"/>
      <c r="X127" s="280"/>
      <c r="Y127" s="280"/>
      <c r="Z127" s="280"/>
      <c r="AA127" s="280"/>
      <c r="AB127" s="277"/>
      <c r="AC127" s="278"/>
    </row>
    <row r="128" spans="1:29" ht="24.9" customHeight="1" x14ac:dyDescent="0.3">
      <c r="A128" s="281" t="s">
        <v>39</v>
      </c>
      <c r="B128" s="282"/>
      <c r="C128" s="282"/>
      <c r="D128" s="282"/>
      <c r="E128" s="282"/>
      <c r="F128" s="282"/>
      <c r="G128" s="282"/>
      <c r="H128" s="282"/>
      <c r="I128" s="282"/>
      <c r="J128" s="283"/>
      <c r="K128" s="224">
        <v>33</v>
      </c>
      <c r="L128" s="226"/>
      <c r="M128" s="224">
        <v>8</v>
      </c>
      <c r="N128" s="226"/>
      <c r="O128" s="224">
        <v>0</v>
      </c>
      <c r="P128" s="225"/>
      <c r="Q128" s="226"/>
      <c r="R128" s="224">
        <v>41</v>
      </c>
      <c r="S128" s="225"/>
      <c r="T128" s="226"/>
      <c r="U128" s="224">
        <v>0</v>
      </c>
      <c r="V128" s="225"/>
      <c r="W128" s="226"/>
      <c r="X128" s="224">
        <v>0</v>
      </c>
      <c r="Y128" s="226"/>
      <c r="Z128" s="224">
        <v>0</v>
      </c>
      <c r="AA128" s="226"/>
      <c r="AB128" s="299">
        <v>41</v>
      </c>
      <c r="AC128" s="300"/>
    </row>
    <row r="129" spans="1:32" ht="24.9" customHeight="1" x14ac:dyDescent="0.3">
      <c r="A129" s="281" t="s">
        <v>40</v>
      </c>
      <c r="B129" s="282"/>
      <c r="C129" s="282"/>
      <c r="D129" s="282"/>
      <c r="E129" s="282"/>
      <c r="F129" s="282"/>
      <c r="G129" s="282"/>
      <c r="H129" s="282"/>
      <c r="I129" s="282"/>
      <c r="J129" s="283"/>
      <c r="K129" s="224">
        <v>14</v>
      </c>
      <c r="L129" s="226"/>
      <c r="M129" s="224">
        <v>3</v>
      </c>
      <c r="N129" s="226"/>
      <c r="O129" s="224">
        <v>0</v>
      </c>
      <c r="P129" s="225"/>
      <c r="Q129" s="226"/>
      <c r="R129" s="224">
        <v>17</v>
      </c>
      <c r="S129" s="225"/>
      <c r="T129" s="226"/>
      <c r="U129" s="224">
        <v>0</v>
      </c>
      <c r="V129" s="225"/>
      <c r="W129" s="226"/>
      <c r="X129" s="224">
        <v>0</v>
      </c>
      <c r="Y129" s="226"/>
      <c r="Z129" s="224">
        <v>0</v>
      </c>
      <c r="AA129" s="226"/>
      <c r="AB129" s="299">
        <v>17</v>
      </c>
      <c r="AC129" s="300"/>
    </row>
    <row r="130" spans="1:32" ht="24.9" customHeight="1" x14ac:dyDescent="0.3">
      <c r="A130" s="281" t="s">
        <v>41</v>
      </c>
      <c r="B130" s="282"/>
      <c r="C130" s="282"/>
      <c r="D130" s="282"/>
      <c r="E130" s="282"/>
      <c r="F130" s="282"/>
      <c r="G130" s="282"/>
      <c r="H130" s="282"/>
      <c r="I130" s="282"/>
      <c r="J130" s="283"/>
      <c r="K130" s="224">
        <v>0</v>
      </c>
      <c r="L130" s="226"/>
      <c r="M130" s="224">
        <v>0</v>
      </c>
      <c r="N130" s="226"/>
      <c r="O130" s="224">
        <v>0</v>
      </c>
      <c r="P130" s="225"/>
      <c r="Q130" s="226"/>
      <c r="R130" s="224">
        <v>0</v>
      </c>
      <c r="S130" s="225"/>
      <c r="T130" s="226"/>
      <c r="U130" s="224">
        <v>0</v>
      </c>
      <c r="V130" s="225"/>
      <c r="W130" s="226"/>
      <c r="X130" s="224">
        <v>0</v>
      </c>
      <c r="Y130" s="226"/>
      <c r="Z130" s="224">
        <v>0</v>
      </c>
      <c r="AA130" s="226"/>
      <c r="AB130" s="299">
        <v>0</v>
      </c>
      <c r="AC130" s="300"/>
    </row>
    <row r="131" spans="1:32" ht="24.9" customHeight="1" x14ac:dyDescent="0.3">
      <c r="A131" s="281" t="s">
        <v>42</v>
      </c>
      <c r="B131" s="282"/>
      <c r="C131" s="282"/>
      <c r="D131" s="282"/>
      <c r="E131" s="282"/>
      <c r="F131" s="282"/>
      <c r="G131" s="282"/>
      <c r="H131" s="282"/>
      <c r="I131" s="282"/>
      <c r="J131" s="283"/>
      <c r="K131" s="224">
        <v>2</v>
      </c>
      <c r="L131" s="226"/>
      <c r="M131" s="224">
        <v>0</v>
      </c>
      <c r="N131" s="226"/>
      <c r="O131" s="224">
        <v>0</v>
      </c>
      <c r="P131" s="225"/>
      <c r="Q131" s="226"/>
      <c r="R131" s="224">
        <v>2</v>
      </c>
      <c r="S131" s="225"/>
      <c r="T131" s="226"/>
      <c r="U131" s="224">
        <v>0</v>
      </c>
      <c r="V131" s="225"/>
      <c r="W131" s="226"/>
      <c r="X131" s="224">
        <v>0</v>
      </c>
      <c r="Y131" s="226"/>
      <c r="Z131" s="224">
        <v>0</v>
      </c>
      <c r="AA131" s="226"/>
      <c r="AB131" s="299">
        <v>2</v>
      </c>
      <c r="AC131" s="300"/>
    </row>
    <row r="132" spans="1:32" ht="24.9" customHeight="1" x14ac:dyDescent="0.3">
      <c r="A132" s="281" t="s">
        <v>7</v>
      </c>
      <c r="B132" s="282"/>
      <c r="C132" s="282"/>
      <c r="D132" s="282"/>
      <c r="E132" s="282"/>
      <c r="F132" s="282"/>
      <c r="G132" s="282"/>
      <c r="H132" s="282"/>
      <c r="I132" s="282"/>
      <c r="J132" s="283"/>
      <c r="K132" s="224">
        <v>49</v>
      </c>
      <c r="L132" s="226"/>
      <c r="M132" s="224">
        <v>11</v>
      </c>
      <c r="N132" s="226"/>
      <c r="O132" s="224">
        <v>0</v>
      </c>
      <c r="P132" s="225"/>
      <c r="Q132" s="226"/>
      <c r="R132" s="224">
        <v>60</v>
      </c>
      <c r="S132" s="225"/>
      <c r="T132" s="226"/>
      <c r="U132" s="224">
        <v>0</v>
      </c>
      <c r="V132" s="225"/>
      <c r="W132" s="226"/>
      <c r="X132" s="224">
        <v>0</v>
      </c>
      <c r="Y132" s="226"/>
      <c r="Z132" s="224">
        <v>0</v>
      </c>
      <c r="AA132" s="226"/>
      <c r="AB132" s="299">
        <v>60</v>
      </c>
      <c r="AC132" s="300"/>
    </row>
    <row r="133" spans="1:32" ht="15.6" x14ac:dyDescent="0.3">
      <c r="A133" s="45" t="s">
        <v>43</v>
      </c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7"/>
      <c r="V133" s="47"/>
      <c r="W133" s="47"/>
      <c r="X133" s="47"/>
      <c r="Y133" s="47"/>
      <c r="Z133" s="47"/>
      <c r="AA133" s="47"/>
      <c r="AB133" s="47"/>
      <c r="AC133" s="4"/>
    </row>
    <row r="134" spans="1:32" ht="21.75" customHeight="1" x14ac:dyDescent="0.3">
      <c r="A134" s="205"/>
      <c r="B134" s="206"/>
      <c r="C134" s="206"/>
      <c r="D134" s="206"/>
      <c r="E134" s="206"/>
      <c r="F134" s="206"/>
      <c r="G134" s="206"/>
      <c r="H134" s="206"/>
      <c r="I134" s="206"/>
      <c r="J134" s="207"/>
      <c r="K134" s="224" t="s">
        <v>0</v>
      </c>
      <c r="L134" s="226"/>
      <c r="M134" s="305" t="s">
        <v>1</v>
      </c>
      <c r="N134" s="306"/>
      <c r="O134" s="301" t="s">
        <v>2</v>
      </c>
      <c r="P134" s="302"/>
      <c r="Q134" s="301" t="s">
        <v>3</v>
      </c>
      <c r="R134" s="302"/>
      <c r="S134" s="301" t="s">
        <v>4</v>
      </c>
      <c r="T134" s="302"/>
      <c r="U134" s="301" t="s">
        <v>5</v>
      </c>
      <c r="V134" s="302"/>
      <c r="W134" s="301" t="s">
        <v>6</v>
      </c>
      <c r="X134" s="302"/>
      <c r="Y134" s="301" t="s">
        <v>44</v>
      </c>
      <c r="Z134" s="302"/>
      <c r="AA134" s="301" t="s">
        <v>7</v>
      </c>
      <c r="AB134" s="302"/>
      <c r="AC134" s="303" t="s">
        <v>86</v>
      </c>
      <c r="AD134" s="5"/>
      <c r="AE134" s="6"/>
      <c r="AF134" s="6"/>
    </row>
    <row r="135" spans="1:32" x14ac:dyDescent="0.3">
      <c r="A135" s="208"/>
      <c r="B135" s="209"/>
      <c r="C135" s="209"/>
      <c r="D135" s="209"/>
      <c r="E135" s="209"/>
      <c r="F135" s="209"/>
      <c r="G135" s="209"/>
      <c r="H135" s="209"/>
      <c r="I135" s="209"/>
      <c r="J135" s="210"/>
      <c r="K135" s="7" t="s">
        <v>9</v>
      </c>
      <c r="L135" s="7" t="s">
        <v>10</v>
      </c>
      <c r="M135" s="7" t="s">
        <v>9</v>
      </c>
      <c r="N135" s="7" t="s">
        <v>10</v>
      </c>
      <c r="O135" s="7" t="s">
        <v>9</v>
      </c>
      <c r="P135" s="7" t="s">
        <v>10</v>
      </c>
      <c r="Q135" s="7" t="s">
        <v>9</v>
      </c>
      <c r="R135" s="7" t="s">
        <v>10</v>
      </c>
      <c r="S135" s="7" t="s">
        <v>9</v>
      </c>
      <c r="T135" s="7" t="s">
        <v>10</v>
      </c>
      <c r="U135" s="7" t="s">
        <v>9</v>
      </c>
      <c r="V135" s="7" t="s">
        <v>10</v>
      </c>
      <c r="W135" s="7" t="s">
        <v>9</v>
      </c>
      <c r="X135" s="7" t="s">
        <v>10</v>
      </c>
      <c r="Y135" s="7" t="s">
        <v>9</v>
      </c>
      <c r="Z135" s="7" t="s">
        <v>10</v>
      </c>
      <c r="AA135" s="7" t="s">
        <v>9</v>
      </c>
      <c r="AB135" s="7" t="s">
        <v>10</v>
      </c>
      <c r="AC135" s="304"/>
    </row>
    <row r="136" spans="1:32" ht="24.9" customHeight="1" x14ac:dyDescent="0.3">
      <c r="A136" s="281" t="s">
        <v>39</v>
      </c>
      <c r="B136" s="282"/>
      <c r="C136" s="282"/>
      <c r="D136" s="282"/>
      <c r="E136" s="282"/>
      <c r="F136" s="282"/>
      <c r="G136" s="282"/>
      <c r="H136" s="282"/>
      <c r="I136" s="282"/>
      <c r="J136" s="283"/>
      <c r="K136" s="7">
        <v>0</v>
      </c>
      <c r="L136" s="7">
        <v>0</v>
      </c>
      <c r="M136" s="7">
        <v>0</v>
      </c>
      <c r="N136" s="7">
        <v>0</v>
      </c>
      <c r="O136" s="7">
        <v>2</v>
      </c>
      <c r="P136" s="7">
        <v>5</v>
      </c>
      <c r="Q136" s="7">
        <v>7</v>
      </c>
      <c r="R136" s="7">
        <v>4</v>
      </c>
      <c r="S136" s="7">
        <v>6</v>
      </c>
      <c r="T136" s="7">
        <v>4</v>
      </c>
      <c r="U136" s="7">
        <v>3</v>
      </c>
      <c r="V136" s="7">
        <v>4</v>
      </c>
      <c r="W136" s="7">
        <v>1</v>
      </c>
      <c r="X136" s="7">
        <v>1</v>
      </c>
      <c r="Y136" s="7">
        <v>3</v>
      </c>
      <c r="Z136" s="7">
        <v>1</v>
      </c>
      <c r="AA136" s="7">
        <v>22</v>
      </c>
      <c r="AB136" s="7">
        <v>19</v>
      </c>
      <c r="AC136" s="7">
        <v>41</v>
      </c>
    </row>
    <row r="137" spans="1:32" ht="24.9" customHeight="1" x14ac:dyDescent="0.3">
      <c r="A137" s="281" t="s">
        <v>40</v>
      </c>
      <c r="B137" s="282"/>
      <c r="C137" s="282"/>
      <c r="D137" s="282"/>
      <c r="E137" s="282"/>
      <c r="F137" s="282"/>
      <c r="G137" s="282"/>
      <c r="H137" s="282"/>
      <c r="I137" s="282"/>
      <c r="J137" s="283"/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3</v>
      </c>
      <c r="Q137" s="7">
        <v>2</v>
      </c>
      <c r="R137" s="7">
        <v>3</v>
      </c>
      <c r="S137" s="7">
        <v>1</v>
      </c>
      <c r="T137" s="7">
        <v>0</v>
      </c>
      <c r="U137" s="7">
        <v>0</v>
      </c>
      <c r="V137" s="7">
        <v>0</v>
      </c>
      <c r="W137" s="7">
        <v>2</v>
      </c>
      <c r="X137" s="7">
        <v>0</v>
      </c>
      <c r="Y137" s="7">
        <v>1</v>
      </c>
      <c r="Z137" s="7">
        <v>5</v>
      </c>
      <c r="AA137" s="7">
        <v>6</v>
      </c>
      <c r="AB137" s="7">
        <v>11</v>
      </c>
      <c r="AC137" s="7">
        <v>17</v>
      </c>
    </row>
    <row r="138" spans="1:32" ht="24.9" customHeight="1" x14ac:dyDescent="0.3">
      <c r="A138" s="281" t="s">
        <v>41</v>
      </c>
      <c r="B138" s="282"/>
      <c r="C138" s="282"/>
      <c r="D138" s="282"/>
      <c r="E138" s="282"/>
      <c r="F138" s="282"/>
      <c r="G138" s="282"/>
      <c r="H138" s="282"/>
      <c r="I138" s="282"/>
      <c r="J138" s="283"/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</row>
    <row r="139" spans="1:32" ht="24.9" customHeight="1" x14ac:dyDescent="0.3">
      <c r="A139" s="281" t="s">
        <v>42</v>
      </c>
      <c r="B139" s="282"/>
      <c r="C139" s="282"/>
      <c r="D139" s="282"/>
      <c r="E139" s="282"/>
      <c r="F139" s="282"/>
      <c r="G139" s="282"/>
      <c r="H139" s="282"/>
      <c r="I139" s="282"/>
      <c r="J139" s="283"/>
      <c r="K139" s="7">
        <v>0</v>
      </c>
      <c r="L139" s="7">
        <v>0</v>
      </c>
      <c r="M139" s="7">
        <v>0</v>
      </c>
      <c r="N139" s="7">
        <v>0</v>
      </c>
      <c r="O139" s="7">
        <v>1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1</v>
      </c>
      <c r="X139" s="7">
        <v>0</v>
      </c>
      <c r="Y139" s="7">
        <v>0</v>
      </c>
      <c r="Z139" s="7">
        <v>0</v>
      </c>
      <c r="AA139" s="7">
        <v>2</v>
      </c>
      <c r="AB139" s="7">
        <v>0</v>
      </c>
      <c r="AC139" s="7">
        <v>2</v>
      </c>
    </row>
    <row r="140" spans="1:32" ht="24.9" customHeight="1" x14ac:dyDescent="0.3">
      <c r="A140" s="224" t="s">
        <v>7</v>
      </c>
      <c r="B140" s="225"/>
      <c r="C140" s="225"/>
      <c r="D140" s="225"/>
      <c r="E140" s="225"/>
      <c r="F140" s="225"/>
      <c r="G140" s="225"/>
      <c r="H140" s="225"/>
      <c r="I140" s="225"/>
      <c r="J140" s="226"/>
      <c r="K140" s="7">
        <v>0</v>
      </c>
      <c r="L140" s="7">
        <v>0</v>
      </c>
      <c r="M140" s="7">
        <v>0</v>
      </c>
      <c r="N140" s="7">
        <v>0</v>
      </c>
      <c r="O140" s="7">
        <v>3</v>
      </c>
      <c r="P140" s="7">
        <v>8</v>
      </c>
      <c r="Q140" s="7">
        <v>9</v>
      </c>
      <c r="R140" s="7">
        <v>7</v>
      </c>
      <c r="S140" s="7">
        <v>7</v>
      </c>
      <c r="T140" s="7">
        <v>4</v>
      </c>
      <c r="U140" s="7">
        <v>3</v>
      </c>
      <c r="V140" s="7">
        <v>4</v>
      </c>
      <c r="W140" s="7">
        <v>4</v>
      </c>
      <c r="X140" s="7">
        <v>1</v>
      </c>
      <c r="Y140" s="7">
        <v>4</v>
      </c>
      <c r="Z140" s="7">
        <v>6</v>
      </c>
      <c r="AA140" s="7">
        <v>30</v>
      </c>
      <c r="AB140" s="7">
        <v>30</v>
      </c>
      <c r="AC140" s="7">
        <v>60</v>
      </c>
    </row>
    <row r="141" spans="1:32" ht="6.75" customHeight="1" x14ac:dyDescent="0.3">
      <c r="A141" s="8"/>
      <c r="B141" s="9"/>
      <c r="C141" s="9"/>
      <c r="D141" s="9"/>
      <c r="E141" s="9"/>
      <c r="F141" s="10"/>
      <c r="G141" s="11"/>
      <c r="H141" s="11"/>
      <c r="I141" s="11"/>
      <c r="J141" s="11"/>
      <c r="K141" s="11"/>
      <c r="L141" s="11"/>
      <c r="M141" s="50"/>
      <c r="N141" s="11"/>
      <c r="O141" s="227"/>
      <c r="P141" s="228"/>
      <c r="Q141" s="12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3"/>
    </row>
    <row r="142" spans="1:32" ht="18" customHeight="1" x14ac:dyDescent="0.3">
      <c r="A142" s="14" t="s">
        <v>45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6"/>
      <c r="M142" s="17"/>
      <c r="N142" s="14" t="s">
        <v>46</v>
      </c>
      <c r="O142" s="15"/>
      <c r="P142" s="15"/>
      <c r="Q142" s="15"/>
      <c r="R142" s="15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9"/>
    </row>
    <row r="143" spans="1:32" ht="42.75" customHeight="1" x14ac:dyDescent="0.3">
      <c r="A143" s="307" t="s">
        <v>47</v>
      </c>
      <c r="B143" s="312" t="s">
        <v>48</v>
      </c>
      <c r="C143" s="313"/>
      <c r="D143" s="314" t="s">
        <v>49</v>
      </c>
      <c r="E143" s="315"/>
      <c r="F143" s="316"/>
      <c r="G143" s="314" t="s">
        <v>50</v>
      </c>
      <c r="H143" s="315"/>
      <c r="I143" s="315"/>
      <c r="J143" s="316"/>
      <c r="K143" s="307" t="s">
        <v>51</v>
      </c>
      <c r="L143" s="307" t="s">
        <v>52</v>
      </c>
      <c r="M143" s="20"/>
      <c r="N143" s="309" t="s">
        <v>53</v>
      </c>
      <c r="O143" s="310"/>
      <c r="P143" s="311"/>
      <c r="Q143" s="309" t="s">
        <v>54</v>
      </c>
      <c r="R143" s="310"/>
      <c r="S143" s="311"/>
      <c r="T143" s="309" t="s">
        <v>55</v>
      </c>
      <c r="U143" s="310"/>
      <c r="V143" s="310"/>
      <c r="W143" s="310"/>
      <c r="X143" s="310"/>
      <c r="Y143" s="310"/>
      <c r="Z143" s="310"/>
      <c r="AA143" s="310"/>
      <c r="AB143" s="310"/>
      <c r="AC143" s="311"/>
    </row>
    <row r="144" spans="1:32" ht="48" customHeight="1" x14ac:dyDescent="0.3">
      <c r="A144" s="308"/>
      <c r="B144" s="21" t="s">
        <v>7</v>
      </c>
      <c r="C144" s="22" t="s">
        <v>87</v>
      </c>
      <c r="D144" s="22" t="s">
        <v>56</v>
      </c>
      <c r="E144" s="22" t="s">
        <v>88</v>
      </c>
      <c r="F144" s="22" t="s">
        <v>89</v>
      </c>
      <c r="G144" s="23" t="s">
        <v>56</v>
      </c>
      <c r="H144" s="22" t="s">
        <v>90</v>
      </c>
      <c r="I144" s="23" t="s">
        <v>57</v>
      </c>
      <c r="J144" s="23" t="s">
        <v>58</v>
      </c>
      <c r="K144" s="308"/>
      <c r="L144" s="308"/>
      <c r="M144" s="20"/>
      <c r="N144" s="309">
        <v>19</v>
      </c>
      <c r="O144" s="310"/>
      <c r="P144" s="311"/>
      <c r="Q144" s="309">
        <v>0</v>
      </c>
      <c r="R144" s="310"/>
      <c r="S144" s="311"/>
      <c r="T144" s="309">
        <v>0</v>
      </c>
      <c r="U144" s="310"/>
      <c r="V144" s="310"/>
      <c r="W144" s="310"/>
      <c r="X144" s="310"/>
      <c r="Y144" s="310"/>
      <c r="Z144" s="310"/>
      <c r="AA144" s="310"/>
      <c r="AB144" s="310"/>
      <c r="AC144" s="311"/>
    </row>
    <row r="145" spans="1:29" ht="38.25" customHeight="1" x14ac:dyDescent="0.3">
      <c r="A145" s="270">
        <v>27525</v>
      </c>
      <c r="B145" s="270">
        <v>325</v>
      </c>
      <c r="C145" s="270">
        <v>22</v>
      </c>
      <c r="D145" s="270">
        <v>182</v>
      </c>
      <c r="E145" s="270">
        <v>0</v>
      </c>
      <c r="F145" s="270">
        <v>143</v>
      </c>
      <c r="G145" s="270">
        <v>5</v>
      </c>
      <c r="H145" s="270">
        <v>7</v>
      </c>
      <c r="I145" s="270">
        <v>27</v>
      </c>
      <c r="J145" s="270">
        <v>39</v>
      </c>
      <c r="K145" s="270">
        <v>41</v>
      </c>
      <c r="L145" s="270">
        <v>38</v>
      </c>
      <c r="M145" s="20"/>
      <c r="N145" s="309" t="s">
        <v>59</v>
      </c>
      <c r="O145" s="310"/>
      <c r="P145" s="311"/>
      <c r="Q145" s="309" t="s">
        <v>60</v>
      </c>
      <c r="R145" s="310"/>
      <c r="S145" s="311"/>
      <c r="T145" s="293" t="s">
        <v>61</v>
      </c>
      <c r="U145" s="294"/>
      <c r="V145" s="294"/>
      <c r="W145" s="295"/>
      <c r="X145" s="293" t="s">
        <v>62</v>
      </c>
      <c r="Y145" s="294"/>
      <c r="Z145" s="294"/>
      <c r="AA145" s="294"/>
      <c r="AB145" s="294"/>
      <c r="AC145" s="295"/>
    </row>
    <row r="146" spans="1:29" ht="19.5" customHeight="1" x14ac:dyDescent="0.3">
      <c r="A146" s="271"/>
      <c r="B146" s="271"/>
      <c r="C146" s="271"/>
      <c r="D146" s="271"/>
      <c r="E146" s="271"/>
      <c r="F146" s="271"/>
      <c r="G146" s="271"/>
      <c r="H146" s="271"/>
      <c r="I146" s="271"/>
      <c r="J146" s="271"/>
      <c r="K146" s="271"/>
      <c r="L146" s="271"/>
      <c r="M146" s="54"/>
      <c r="N146" s="287">
        <v>60</v>
      </c>
      <c r="O146" s="288"/>
      <c r="P146" s="289"/>
      <c r="Q146" s="287">
        <v>0</v>
      </c>
      <c r="R146" s="288"/>
      <c r="S146" s="289"/>
      <c r="T146" s="287">
        <v>0</v>
      </c>
      <c r="U146" s="288"/>
      <c r="V146" s="288"/>
      <c r="W146" s="289"/>
      <c r="X146" s="24"/>
      <c r="Y146" s="309" t="s">
        <v>0</v>
      </c>
      <c r="Z146" s="311"/>
      <c r="AA146" s="25" t="s">
        <v>1</v>
      </c>
      <c r="AB146" s="309" t="s">
        <v>63</v>
      </c>
      <c r="AC146" s="311"/>
    </row>
    <row r="147" spans="1:29" ht="18" customHeight="1" x14ac:dyDescent="0.3">
      <c r="A147" s="271"/>
      <c r="B147" s="271"/>
      <c r="C147" s="271"/>
      <c r="D147" s="271"/>
      <c r="E147" s="271"/>
      <c r="F147" s="271"/>
      <c r="G147" s="271"/>
      <c r="H147" s="271"/>
      <c r="I147" s="271"/>
      <c r="J147" s="271"/>
      <c r="K147" s="271"/>
      <c r="L147" s="271"/>
      <c r="M147" s="54"/>
      <c r="N147" s="290"/>
      <c r="O147" s="291"/>
      <c r="P147" s="292"/>
      <c r="Q147" s="290"/>
      <c r="R147" s="291"/>
      <c r="S147" s="292"/>
      <c r="T147" s="290"/>
      <c r="U147" s="291"/>
      <c r="V147" s="291"/>
      <c r="W147" s="292"/>
      <c r="X147" s="26" t="s">
        <v>64</v>
      </c>
      <c r="Y147" s="317">
        <v>0</v>
      </c>
      <c r="Z147" s="317"/>
      <c r="AA147" s="25">
        <v>0</v>
      </c>
      <c r="AB147" s="317">
        <v>0</v>
      </c>
      <c r="AC147" s="317"/>
    </row>
    <row r="148" spans="1:29" ht="18" customHeight="1" x14ac:dyDescent="0.3">
      <c r="A148" s="271"/>
      <c r="B148" s="271"/>
      <c r="C148" s="271"/>
      <c r="D148" s="271"/>
      <c r="E148" s="271"/>
      <c r="F148" s="271"/>
      <c r="G148" s="271"/>
      <c r="H148" s="271"/>
      <c r="I148" s="271"/>
      <c r="J148" s="271"/>
      <c r="K148" s="271"/>
      <c r="L148" s="271"/>
      <c r="M148" s="54"/>
      <c r="N148" s="290"/>
      <c r="O148" s="291"/>
      <c r="P148" s="292"/>
      <c r="Q148" s="290"/>
      <c r="R148" s="291"/>
      <c r="S148" s="292"/>
      <c r="T148" s="290"/>
      <c r="U148" s="291"/>
      <c r="V148" s="291"/>
      <c r="W148" s="292"/>
      <c r="X148" s="26" t="s">
        <v>65</v>
      </c>
      <c r="Y148" s="317">
        <v>0</v>
      </c>
      <c r="Z148" s="317"/>
      <c r="AA148" s="25">
        <v>0</v>
      </c>
      <c r="AB148" s="317">
        <v>0</v>
      </c>
      <c r="AC148" s="317"/>
    </row>
    <row r="149" spans="1:29" ht="18" customHeight="1" x14ac:dyDescent="0.3">
      <c r="A149" s="272"/>
      <c r="B149" s="272"/>
      <c r="C149" s="272"/>
      <c r="D149" s="272"/>
      <c r="E149" s="272"/>
      <c r="F149" s="272"/>
      <c r="G149" s="272"/>
      <c r="H149" s="272"/>
      <c r="I149" s="272"/>
      <c r="J149" s="272"/>
      <c r="K149" s="272"/>
      <c r="L149" s="272"/>
      <c r="M149" s="54"/>
      <c r="N149" s="293"/>
      <c r="O149" s="294"/>
      <c r="P149" s="295"/>
      <c r="Q149" s="293"/>
      <c r="R149" s="294"/>
      <c r="S149" s="295"/>
      <c r="T149" s="293"/>
      <c r="U149" s="294"/>
      <c r="V149" s="294"/>
      <c r="W149" s="295"/>
      <c r="X149" s="26" t="s">
        <v>66</v>
      </c>
      <c r="Y149" s="317">
        <v>0</v>
      </c>
      <c r="Z149" s="317"/>
      <c r="AA149" s="25">
        <v>0</v>
      </c>
      <c r="AB149" s="317">
        <v>0</v>
      </c>
      <c r="AC149" s="317"/>
    </row>
    <row r="150" spans="1:29" ht="8.25" customHeight="1" x14ac:dyDescent="0.3">
      <c r="A150" s="27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59"/>
      <c r="N150" s="28"/>
      <c r="O150" s="28"/>
      <c r="P150" s="28"/>
      <c r="Q150" s="28"/>
      <c r="R150" s="28"/>
      <c r="S150" s="28"/>
      <c r="T150" s="28"/>
      <c r="U150" s="29"/>
      <c r="V150" s="29"/>
      <c r="W150" s="29"/>
      <c r="X150" s="29"/>
      <c r="Y150" s="29"/>
      <c r="Z150" s="29"/>
      <c r="AA150" s="28"/>
      <c r="AB150" s="28"/>
      <c r="AC150" s="4"/>
    </row>
    <row r="151" spans="1:29" ht="18" customHeight="1" x14ac:dyDescent="0.3">
      <c r="A151" s="14" t="s">
        <v>67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6"/>
      <c r="M151" s="30"/>
      <c r="N151" s="14" t="s">
        <v>68</v>
      </c>
      <c r="O151" s="16"/>
      <c r="P151" s="15"/>
      <c r="Q151" s="31"/>
      <c r="R151" s="15"/>
      <c r="S151" s="15"/>
      <c r="T151" s="15"/>
      <c r="U151" s="15"/>
      <c r="V151" s="15"/>
      <c r="W151" s="15"/>
      <c r="X151" s="15"/>
      <c r="Y151" s="15"/>
      <c r="Z151" s="15"/>
      <c r="AA151" s="18"/>
      <c r="AB151" s="18"/>
      <c r="AC151" s="32"/>
    </row>
    <row r="152" spans="1:29" ht="57" customHeight="1" x14ac:dyDescent="0.3">
      <c r="A152" s="205"/>
      <c r="B152" s="206"/>
      <c r="C152" s="206"/>
      <c r="D152" s="206"/>
      <c r="E152" s="206"/>
      <c r="F152" s="207"/>
      <c r="G152" s="224" t="s">
        <v>11</v>
      </c>
      <c r="H152" s="226"/>
      <c r="I152" s="224" t="s">
        <v>12</v>
      </c>
      <c r="J152" s="226"/>
      <c r="K152" s="33" t="s">
        <v>69</v>
      </c>
      <c r="L152" s="34"/>
      <c r="M152" s="62"/>
      <c r="N152" s="314" t="s">
        <v>70</v>
      </c>
      <c r="O152" s="315"/>
      <c r="P152" s="316"/>
      <c r="Q152" s="314" t="s">
        <v>71</v>
      </c>
      <c r="R152" s="315"/>
      <c r="S152" s="316"/>
      <c r="T152" s="314" t="s">
        <v>72</v>
      </c>
      <c r="U152" s="315"/>
      <c r="V152" s="316"/>
      <c r="W152" s="314" t="s">
        <v>73</v>
      </c>
      <c r="X152" s="315"/>
      <c r="Y152" s="315"/>
      <c r="Z152" s="316"/>
      <c r="AA152" s="314" t="s">
        <v>74</v>
      </c>
      <c r="AB152" s="315"/>
      <c r="AC152" s="316"/>
    </row>
    <row r="153" spans="1:29" ht="13.5" customHeight="1" x14ac:dyDescent="0.3">
      <c r="A153" s="208"/>
      <c r="B153" s="209"/>
      <c r="C153" s="209"/>
      <c r="D153" s="209"/>
      <c r="E153" s="209"/>
      <c r="F153" s="210"/>
      <c r="G153" s="7" t="s">
        <v>75</v>
      </c>
      <c r="H153" s="7" t="s">
        <v>13</v>
      </c>
      <c r="I153" s="7" t="s">
        <v>75</v>
      </c>
      <c r="J153" s="7" t="s">
        <v>13</v>
      </c>
      <c r="K153" s="7" t="s">
        <v>75</v>
      </c>
      <c r="L153" s="7" t="s">
        <v>13</v>
      </c>
      <c r="M153" s="63"/>
      <c r="N153" s="35" t="s">
        <v>0</v>
      </c>
      <c r="O153" s="36" t="s">
        <v>1</v>
      </c>
      <c r="P153" s="36" t="s">
        <v>91</v>
      </c>
      <c r="Q153" s="35" t="s">
        <v>0</v>
      </c>
      <c r="R153" s="36" t="s">
        <v>1</v>
      </c>
      <c r="S153" s="36" t="s">
        <v>91</v>
      </c>
      <c r="T153" s="35" t="s">
        <v>0</v>
      </c>
      <c r="U153" s="36" t="s">
        <v>1</v>
      </c>
      <c r="V153" s="36" t="s">
        <v>91</v>
      </c>
      <c r="W153" s="37"/>
      <c r="X153" s="35" t="s">
        <v>0</v>
      </c>
      <c r="Y153" s="38" t="s">
        <v>1</v>
      </c>
      <c r="Z153" s="39" t="s">
        <v>76</v>
      </c>
      <c r="AA153" s="35" t="s">
        <v>0</v>
      </c>
      <c r="AB153" s="38" t="s">
        <v>1</v>
      </c>
      <c r="AC153" s="39" t="s">
        <v>76</v>
      </c>
    </row>
    <row r="154" spans="1:29" ht="24.9" customHeight="1" x14ac:dyDescent="0.3">
      <c r="A154" s="299" t="s">
        <v>77</v>
      </c>
      <c r="B154" s="318"/>
      <c r="C154" s="318"/>
      <c r="D154" s="318"/>
      <c r="E154" s="318"/>
      <c r="F154" s="300"/>
      <c r="G154" s="7">
        <v>31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63"/>
      <c r="N154" s="321">
        <v>0</v>
      </c>
      <c r="O154" s="321">
        <v>0</v>
      </c>
      <c r="P154" s="321">
        <v>0</v>
      </c>
      <c r="Q154" s="321">
        <v>0</v>
      </c>
      <c r="R154" s="321">
        <v>0</v>
      </c>
      <c r="S154" s="321">
        <v>0</v>
      </c>
      <c r="T154" s="321">
        <v>0</v>
      </c>
      <c r="U154" s="321">
        <v>0</v>
      </c>
      <c r="V154" s="321">
        <v>0</v>
      </c>
      <c r="W154" s="40" t="s">
        <v>64</v>
      </c>
      <c r="X154" s="41">
        <v>0</v>
      </c>
      <c r="Y154" s="41">
        <v>0</v>
      </c>
      <c r="Z154" s="41">
        <v>0</v>
      </c>
      <c r="AA154" s="41">
        <v>0</v>
      </c>
      <c r="AB154" s="41">
        <v>0</v>
      </c>
      <c r="AC154" s="41">
        <v>0</v>
      </c>
    </row>
    <row r="155" spans="1:29" ht="24.9" customHeight="1" x14ac:dyDescent="0.3">
      <c r="A155" s="299" t="s">
        <v>8</v>
      </c>
      <c r="B155" s="318"/>
      <c r="C155" s="318"/>
      <c r="D155" s="318"/>
      <c r="E155" s="318"/>
      <c r="F155" s="300"/>
      <c r="G155" s="7">
        <v>8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63"/>
      <c r="N155" s="322"/>
      <c r="O155" s="322"/>
      <c r="P155" s="322"/>
      <c r="Q155" s="322"/>
      <c r="R155" s="322"/>
      <c r="S155" s="322"/>
      <c r="T155" s="322"/>
      <c r="U155" s="322"/>
      <c r="V155" s="322"/>
      <c r="W155" s="40" t="s">
        <v>65</v>
      </c>
      <c r="X155" s="41">
        <v>0</v>
      </c>
      <c r="Y155" s="41">
        <v>0</v>
      </c>
      <c r="Z155" s="41">
        <v>0</v>
      </c>
      <c r="AA155" s="41">
        <v>0</v>
      </c>
      <c r="AB155" s="41">
        <v>0</v>
      </c>
      <c r="AC155" s="41">
        <v>0</v>
      </c>
    </row>
    <row r="156" spans="1:29" ht="24.9" customHeight="1" x14ac:dyDescent="0.3">
      <c r="A156" s="309" t="s">
        <v>78</v>
      </c>
      <c r="B156" s="310"/>
      <c r="C156" s="310"/>
      <c r="D156" s="310"/>
      <c r="E156" s="310"/>
      <c r="F156" s="311"/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63"/>
      <c r="N156" s="322"/>
      <c r="O156" s="322"/>
      <c r="P156" s="322"/>
      <c r="Q156" s="322"/>
      <c r="R156" s="322"/>
      <c r="S156" s="322"/>
      <c r="T156" s="322"/>
      <c r="U156" s="322"/>
      <c r="V156" s="322"/>
      <c r="W156" s="319" t="s">
        <v>66</v>
      </c>
      <c r="X156" s="321">
        <v>0</v>
      </c>
      <c r="Y156" s="321">
        <v>0</v>
      </c>
      <c r="Z156" s="321">
        <v>0</v>
      </c>
      <c r="AA156" s="321">
        <v>0</v>
      </c>
      <c r="AB156" s="321">
        <v>0</v>
      </c>
      <c r="AC156" s="321">
        <v>0</v>
      </c>
    </row>
    <row r="157" spans="1:29" ht="24.9" customHeight="1" x14ac:dyDescent="0.3">
      <c r="A157" s="224" t="s">
        <v>7</v>
      </c>
      <c r="B157" s="225"/>
      <c r="C157" s="225"/>
      <c r="D157" s="225"/>
      <c r="E157" s="225"/>
      <c r="F157" s="226"/>
      <c r="G157" s="7">
        <v>39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63"/>
      <c r="N157" s="323"/>
      <c r="O157" s="323"/>
      <c r="P157" s="323"/>
      <c r="Q157" s="323"/>
      <c r="R157" s="323"/>
      <c r="S157" s="323"/>
      <c r="T157" s="323"/>
      <c r="U157" s="323"/>
      <c r="V157" s="323"/>
      <c r="W157" s="320"/>
      <c r="X157" s="323"/>
      <c r="Y157" s="323"/>
      <c r="Z157" s="323"/>
      <c r="AA157" s="323"/>
      <c r="AB157" s="323"/>
      <c r="AC157" s="323"/>
    </row>
    <row r="158" spans="1:29" ht="23.4" x14ac:dyDescent="0.45">
      <c r="A158" s="158" t="s">
        <v>15</v>
      </c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  <c r="AA158" s="158"/>
      <c r="AB158" s="158"/>
      <c r="AC158" s="158"/>
    </row>
    <row r="159" spans="1:29" ht="23.4" x14ac:dyDescent="0.3">
      <c r="A159" s="159" t="s">
        <v>16</v>
      </c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2"/>
      <c r="Y159" s="160" t="s">
        <v>17</v>
      </c>
      <c r="Z159" s="160"/>
      <c r="AA159" s="2"/>
      <c r="AB159" s="2"/>
      <c r="AC159" s="2"/>
    </row>
    <row r="160" spans="1:29" ht="30.9" customHeight="1" x14ac:dyDescent="0.3">
      <c r="A160" s="326" t="s">
        <v>18</v>
      </c>
      <c r="B160" s="326"/>
      <c r="C160" s="326"/>
      <c r="D160" s="326"/>
      <c r="E160" s="327" t="s">
        <v>99</v>
      </c>
      <c r="F160" s="327"/>
      <c r="G160" s="327"/>
      <c r="H160" s="327"/>
      <c r="I160" s="328" t="s">
        <v>20</v>
      </c>
      <c r="J160" s="328"/>
      <c r="K160" s="329" t="s">
        <v>85</v>
      </c>
      <c r="L160" s="329"/>
      <c r="M160" s="328" t="s">
        <v>21</v>
      </c>
      <c r="N160" s="328"/>
      <c r="O160" s="340" t="s">
        <v>92</v>
      </c>
      <c r="P160" s="340"/>
      <c r="Q160" s="340"/>
      <c r="R160" s="340"/>
      <c r="S160" s="43"/>
      <c r="T160" s="166" t="s">
        <v>22</v>
      </c>
      <c r="U160" s="166"/>
      <c r="V160" s="166"/>
      <c r="W160" s="166"/>
      <c r="X160" s="166"/>
      <c r="Y160" s="152" t="s">
        <v>14</v>
      </c>
      <c r="Z160" s="152"/>
      <c r="AA160" s="152"/>
      <c r="AB160" s="153" t="s">
        <v>83</v>
      </c>
      <c r="AC160" s="153"/>
    </row>
    <row r="161" spans="1:32" ht="15" customHeight="1" x14ac:dyDescent="0.3">
      <c r="T161" s="166"/>
      <c r="U161" s="166"/>
      <c r="V161" s="166"/>
      <c r="W161" s="166"/>
      <c r="X161" s="166"/>
      <c r="Y161" s="152"/>
      <c r="Z161" s="152"/>
      <c r="AA161" s="152"/>
      <c r="AB161" s="153"/>
      <c r="AC161" s="153"/>
    </row>
    <row r="162" spans="1:32" ht="15.6" x14ac:dyDescent="0.3">
      <c r="A162" s="324" t="s">
        <v>24</v>
      </c>
      <c r="B162" s="324"/>
      <c r="C162" s="324"/>
      <c r="D162" s="324"/>
      <c r="E162" s="324"/>
      <c r="F162" s="324"/>
      <c r="G162" s="324"/>
      <c r="H162" s="347" t="s">
        <v>25</v>
      </c>
      <c r="I162" s="347"/>
      <c r="J162" s="347"/>
      <c r="K162" s="347"/>
      <c r="L162" s="347"/>
      <c r="M162" s="347"/>
      <c r="N162" s="347"/>
      <c r="O162" s="44"/>
      <c r="P162" s="44"/>
      <c r="T162" s="156" t="s">
        <v>26</v>
      </c>
      <c r="U162" s="156"/>
      <c r="V162" s="156"/>
      <c r="W162" s="156"/>
      <c r="X162" s="156"/>
      <c r="Y162" s="156"/>
      <c r="Z162" s="265" t="s">
        <v>27</v>
      </c>
      <c r="AA162" s="265"/>
      <c r="AB162" s="265"/>
      <c r="AC162" s="265"/>
    </row>
    <row r="163" spans="1:32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32" ht="15" customHeight="1" x14ac:dyDescent="0.3">
      <c r="A164" s="284" t="s">
        <v>29</v>
      </c>
      <c r="B164" s="285"/>
      <c r="C164" s="285"/>
      <c r="D164" s="285"/>
      <c r="E164" s="285"/>
      <c r="F164" s="285"/>
      <c r="G164" s="285"/>
      <c r="H164" s="285"/>
      <c r="I164" s="285"/>
      <c r="J164" s="286"/>
      <c r="K164" s="273" t="s">
        <v>30</v>
      </c>
      <c r="L164" s="274"/>
      <c r="M164" s="273" t="s">
        <v>31</v>
      </c>
      <c r="N164" s="274"/>
      <c r="O164" s="287" t="s">
        <v>32</v>
      </c>
      <c r="P164" s="288"/>
      <c r="Q164" s="289"/>
      <c r="R164" s="273" t="s">
        <v>33</v>
      </c>
      <c r="S164" s="296"/>
      <c r="T164" s="274"/>
      <c r="U164" s="224" t="s">
        <v>34</v>
      </c>
      <c r="V164" s="225"/>
      <c r="W164" s="225"/>
      <c r="X164" s="225"/>
      <c r="Y164" s="225"/>
      <c r="Z164" s="225"/>
      <c r="AA164" s="226"/>
      <c r="AB164" s="273" t="s">
        <v>7</v>
      </c>
      <c r="AC164" s="274"/>
    </row>
    <row r="165" spans="1:32" ht="23.25" customHeight="1" x14ac:dyDescent="0.3">
      <c r="A165" s="169" t="s">
        <v>35</v>
      </c>
      <c r="B165" s="173"/>
      <c r="C165" s="173"/>
      <c r="D165" s="173"/>
      <c r="E165" s="173"/>
      <c r="F165" s="173"/>
      <c r="G165" s="173"/>
      <c r="H165" s="173"/>
      <c r="I165" s="173"/>
      <c r="J165" s="170"/>
      <c r="K165" s="275"/>
      <c r="L165" s="276"/>
      <c r="M165" s="275"/>
      <c r="N165" s="276"/>
      <c r="O165" s="290"/>
      <c r="P165" s="291"/>
      <c r="Q165" s="292"/>
      <c r="R165" s="275"/>
      <c r="S165" s="297"/>
      <c r="T165" s="276"/>
      <c r="U165" s="279" t="s">
        <v>36</v>
      </c>
      <c r="V165" s="279"/>
      <c r="W165" s="279"/>
      <c r="X165" s="279" t="s">
        <v>37</v>
      </c>
      <c r="Y165" s="279"/>
      <c r="Z165" s="279" t="s">
        <v>38</v>
      </c>
      <c r="AA165" s="279"/>
      <c r="AB165" s="275"/>
      <c r="AC165" s="276"/>
    </row>
    <row r="166" spans="1:32" x14ac:dyDescent="0.3">
      <c r="A166" s="171"/>
      <c r="B166" s="174"/>
      <c r="C166" s="174"/>
      <c r="D166" s="174"/>
      <c r="E166" s="174"/>
      <c r="F166" s="174"/>
      <c r="G166" s="174"/>
      <c r="H166" s="174"/>
      <c r="I166" s="174"/>
      <c r="J166" s="172"/>
      <c r="K166" s="277"/>
      <c r="L166" s="278"/>
      <c r="M166" s="277"/>
      <c r="N166" s="278"/>
      <c r="O166" s="293"/>
      <c r="P166" s="294"/>
      <c r="Q166" s="295"/>
      <c r="R166" s="277"/>
      <c r="S166" s="298"/>
      <c r="T166" s="278"/>
      <c r="U166" s="280"/>
      <c r="V166" s="280"/>
      <c r="W166" s="280"/>
      <c r="X166" s="280"/>
      <c r="Y166" s="280"/>
      <c r="Z166" s="280"/>
      <c r="AA166" s="280"/>
      <c r="AB166" s="277"/>
      <c r="AC166" s="278"/>
    </row>
    <row r="167" spans="1:32" ht="24.9" customHeight="1" x14ac:dyDescent="0.3">
      <c r="A167" s="281" t="s">
        <v>39</v>
      </c>
      <c r="B167" s="282"/>
      <c r="C167" s="282"/>
      <c r="D167" s="282"/>
      <c r="E167" s="282"/>
      <c r="F167" s="282"/>
      <c r="G167" s="282"/>
      <c r="H167" s="282"/>
      <c r="I167" s="282"/>
      <c r="J167" s="283"/>
      <c r="K167" s="224">
        <v>156</v>
      </c>
      <c r="L167" s="226"/>
      <c r="M167" s="224">
        <v>24</v>
      </c>
      <c r="N167" s="226"/>
      <c r="O167" s="224">
        <v>0</v>
      </c>
      <c r="P167" s="225"/>
      <c r="Q167" s="226"/>
      <c r="R167" s="224">
        <v>180</v>
      </c>
      <c r="S167" s="225"/>
      <c r="T167" s="226"/>
      <c r="U167" s="224">
        <v>0</v>
      </c>
      <c r="V167" s="225"/>
      <c r="W167" s="226"/>
      <c r="X167" s="224">
        <v>0</v>
      </c>
      <c r="Y167" s="226"/>
      <c r="Z167" s="224">
        <v>0</v>
      </c>
      <c r="AA167" s="226"/>
      <c r="AB167" s="299">
        <v>180</v>
      </c>
      <c r="AC167" s="300"/>
    </row>
    <row r="168" spans="1:32" ht="24.9" customHeight="1" x14ac:dyDescent="0.3">
      <c r="A168" s="281" t="s">
        <v>40</v>
      </c>
      <c r="B168" s="282"/>
      <c r="C168" s="282"/>
      <c r="D168" s="282"/>
      <c r="E168" s="282"/>
      <c r="F168" s="282"/>
      <c r="G168" s="282"/>
      <c r="H168" s="282"/>
      <c r="I168" s="282"/>
      <c r="J168" s="283"/>
      <c r="K168" s="224">
        <v>41</v>
      </c>
      <c r="L168" s="226"/>
      <c r="M168" s="224">
        <v>10</v>
      </c>
      <c r="N168" s="226"/>
      <c r="O168" s="224">
        <v>0</v>
      </c>
      <c r="P168" s="225"/>
      <c r="Q168" s="226"/>
      <c r="R168" s="224">
        <v>51</v>
      </c>
      <c r="S168" s="225"/>
      <c r="T168" s="226"/>
      <c r="U168" s="224">
        <v>0</v>
      </c>
      <c r="V168" s="225"/>
      <c r="W168" s="226"/>
      <c r="X168" s="224">
        <v>0</v>
      </c>
      <c r="Y168" s="226"/>
      <c r="Z168" s="224">
        <v>0</v>
      </c>
      <c r="AA168" s="226"/>
      <c r="AB168" s="299">
        <v>51</v>
      </c>
      <c r="AC168" s="300"/>
    </row>
    <row r="169" spans="1:32" ht="24.9" customHeight="1" x14ac:dyDescent="0.3">
      <c r="A169" s="281" t="s">
        <v>41</v>
      </c>
      <c r="B169" s="282"/>
      <c r="C169" s="282"/>
      <c r="D169" s="282"/>
      <c r="E169" s="282"/>
      <c r="F169" s="282"/>
      <c r="G169" s="282"/>
      <c r="H169" s="282"/>
      <c r="I169" s="282"/>
      <c r="J169" s="283"/>
      <c r="K169" s="224">
        <v>0</v>
      </c>
      <c r="L169" s="226"/>
      <c r="M169" s="224">
        <v>0</v>
      </c>
      <c r="N169" s="226"/>
      <c r="O169" s="224">
        <v>0</v>
      </c>
      <c r="P169" s="225"/>
      <c r="Q169" s="226"/>
      <c r="R169" s="224">
        <v>0</v>
      </c>
      <c r="S169" s="225"/>
      <c r="T169" s="226"/>
      <c r="U169" s="224">
        <v>0</v>
      </c>
      <c r="V169" s="225"/>
      <c r="W169" s="226"/>
      <c r="X169" s="224">
        <v>0</v>
      </c>
      <c r="Y169" s="226"/>
      <c r="Z169" s="224">
        <v>0</v>
      </c>
      <c r="AA169" s="226"/>
      <c r="AB169" s="299">
        <v>0</v>
      </c>
      <c r="AC169" s="300"/>
    </row>
    <row r="170" spans="1:32" ht="24.9" customHeight="1" x14ac:dyDescent="0.3">
      <c r="A170" s="281" t="s">
        <v>42</v>
      </c>
      <c r="B170" s="282"/>
      <c r="C170" s="282"/>
      <c r="D170" s="282"/>
      <c r="E170" s="282"/>
      <c r="F170" s="282"/>
      <c r="G170" s="282"/>
      <c r="H170" s="282"/>
      <c r="I170" s="282"/>
      <c r="J170" s="283"/>
      <c r="K170" s="224">
        <v>19</v>
      </c>
      <c r="L170" s="226"/>
      <c r="M170" s="224">
        <v>1</v>
      </c>
      <c r="N170" s="226"/>
      <c r="O170" s="224">
        <v>0</v>
      </c>
      <c r="P170" s="225"/>
      <c r="Q170" s="226"/>
      <c r="R170" s="224">
        <v>20</v>
      </c>
      <c r="S170" s="225"/>
      <c r="T170" s="226"/>
      <c r="U170" s="224">
        <v>0</v>
      </c>
      <c r="V170" s="225"/>
      <c r="W170" s="226"/>
      <c r="X170" s="224">
        <v>0</v>
      </c>
      <c r="Y170" s="226"/>
      <c r="Z170" s="224">
        <v>0</v>
      </c>
      <c r="AA170" s="226"/>
      <c r="AB170" s="299">
        <v>20</v>
      </c>
      <c r="AC170" s="300"/>
    </row>
    <row r="171" spans="1:32" ht="24.9" customHeight="1" x14ac:dyDescent="0.3">
      <c r="A171" s="281" t="s">
        <v>7</v>
      </c>
      <c r="B171" s="282"/>
      <c r="C171" s="282"/>
      <c r="D171" s="282"/>
      <c r="E171" s="282"/>
      <c r="F171" s="282"/>
      <c r="G171" s="282"/>
      <c r="H171" s="282"/>
      <c r="I171" s="282"/>
      <c r="J171" s="283"/>
      <c r="K171" s="224">
        <v>216</v>
      </c>
      <c r="L171" s="226"/>
      <c r="M171" s="224">
        <v>35</v>
      </c>
      <c r="N171" s="226"/>
      <c r="O171" s="224">
        <v>0</v>
      </c>
      <c r="P171" s="225"/>
      <c r="Q171" s="226"/>
      <c r="R171" s="224">
        <v>251</v>
      </c>
      <c r="S171" s="225"/>
      <c r="T171" s="226"/>
      <c r="U171" s="224">
        <v>0</v>
      </c>
      <c r="V171" s="225"/>
      <c r="W171" s="226"/>
      <c r="X171" s="224">
        <v>0</v>
      </c>
      <c r="Y171" s="226"/>
      <c r="Z171" s="224">
        <v>0</v>
      </c>
      <c r="AA171" s="226"/>
      <c r="AB171" s="299">
        <v>251</v>
      </c>
      <c r="AC171" s="300"/>
    </row>
    <row r="172" spans="1:32" ht="15.6" x14ac:dyDescent="0.3">
      <c r="A172" s="45" t="s">
        <v>43</v>
      </c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7"/>
      <c r="V172" s="47"/>
      <c r="W172" s="47"/>
      <c r="X172" s="47"/>
      <c r="Y172" s="47"/>
      <c r="Z172" s="47"/>
      <c r="AA172" s="47"/>
      <c r="AB172" s="47"/>
      <c r="AC172" s="4"/>
    </row>
    <row r="173" spans="1:32" ht="21.75" customHeight="1" x14ac:dyDescent="0.3">
      <c r="A173" s="205"/>
      <c r="B173" s="206"/>
      <c r="C173" s="206"/>
      <c r="D173" s="206"/>
      <c r="E173" s="206"/>
      <c r="F173" s="206"/>
      <c r="G173" s="206"/>
      <c r="H173" s="206"/>
      <c r="I173" s="206"/>
      <c r="J173" s="207"/>
      <c r="K173" s="224" t="s">
        <v>0</v>
      </c>
      <c r="L173" s="226"/>
      <c r="M173" s="305" t="s">
        <v>1</v>
      </c>
      <c r="N173" s="306"/>
      <c r="O173" s="301" t="s">
        <v>2</v>
      </c>
      <c r="P173" s="302"/>
      <c r="Q173" s="301" t="s">
        <v>3</v>
      </c>
      <c r="R173" s="302"/>
      <c r="S173" s="301" t="s">
        <v>4</v>
      </c>
      <c r="T173" s="302"/>
      <c r="U173" s="301" t="s">
        <v>5</v>
      </c>
      <c r="V173" s="302"/>
      <c r="W173" s="301" t="s">
        <v>6</v>
      </c>
      <c r="X173" s="302"/>
      <c r="Y173" s="301" t="s">
        <v>44</v>
      </c>
      <c r="Z173" s="302"/>
      <c r="AA173" s="301" t="s">
        <v>7</v>
      </c>
      <c r="AB173" s="302"/>
      <c r="AC173" s="303" t="s">
        <v>86</v>
      </c>
      <c r="AD173" s="5"/>
      <c r="AE173" s="6"/>
      <c r="AF173" s="6"/>
    </row>
    <row r="174" spans="1:32" x14ac:dyDescent="0.3">
      <c r="A174" s="208"/>
      <c r="B174" s="209"/>
      <c r="C174" s="209"/>
      <c r="D174" s="209"/>
      <c r="E174" s="209"/>
      <c r="F174" s="209"/>
      <c r="G174" s="209"/>
      <c r="H174" s="209"/>
      <c r="I174" s="209"/>
      <c r="J174" s="210"/>
      <c r="K174" s="7" t="s">
        <v>9</v>
      </c>
      <c r="L174" s="7" t="s">
        <v>10</v>
      </c>
      <c r="M174" s="7" t="s">
        <v>9</v>
      </c>
      <c r="N174" s="7" t="s">
        <v>10</v>
      </c>
      <c r="O174" s="7" t="s">
        <v>9</v>
      </c>
      <c r="P174" s="7" t="s">
        <v>10</v>
      </c>
      <c r="Q174" s="7" t="s">
        <v>9</v>
      </c>
      <c r="R174" s="7" t="s">
        <v>10</v>
      </c>
      <c r="S174" s="7" t="s">
        <v>9</v>
      </c>
      <c r="T174" s="7" t="s">
        <v>10</v>
      </c>
      <c r="U174" s="7" t="s">
        <v>9</v>
      </c>
      <c r="V174" s="7" t="s">
        <v>10</v>
      </c>
      <c r="W174" s="7" t="s">
        <v>9</v>
      </c>
      <c r="X174" s="7" t="s">
        <v>10</v>
      </c>
      <c r="Y174" s="7" t="s">
        <v>9</v>
      </c>
      <c r="Z174" s="7" t="s">
        <v>10</v>
      </c>
      <c r="AA174" s="7" t="s">
        <v>9</v>
      </c>
      <c r="AB174" s="7" t="s">
        <v>10</v>
      </c>
      <c r="AC174" s="304"/>
    </row>
    <row r="175" spans="1:32" ht="18" customHeight="1" x14ac:dyDescent="0.3">
      <c r="A175" s="281" t="s">
        <v>39</v>
      </c>
      <c r="B175" s="282"/>
      <c r="C175" s="282"/>
      <c r="D175" s="282"/>
      <c r="E175" s="282"/>
      <c r="F175" s="282"/>
      <c r="G175" s="282"/>
      <c r="H175" s="282"/>
      <c r="I175" s="282"/>
      <c r="J175" s="283"/>
      <c r="K175" s="7">
        <v>0</v>
      </c>
      <c r="L175" s="7">
        <v>0</v>
      </c>
      <c r="M175" s="7">
        <v>0</v>
      </c>
      <c r="N175" s="7">
        <v>0</v>
      </c>
      <c r="O175" s="7">
        <v>19</v>
      </c>
      <c r="P175" s="7">
        <v>34</v>
      </c>
      <c r="Q175" s="7">
        <v>25</v>
      </c>
      <c r="R175" s="7">
        <v>15</v>
      </c>
      <c r="S175" s="7">
        <v>19</v>
      </c>
      <c r="T175" s="7">
        <v>17</v>
      </c>
      <c r="U175" s="7">
        <v>14</v>
      </c>
      <c r="V175" s="7">
        <v>9</v>
      </c>
      <c r="W175" s="7">
        <v>9</v>
      </c>
      <c r="X175" s="7">
        <v>6</v>
      </c>
      <c r="Y175" s="7">
        <v>10</v>
      </c>
      <c r="Z175" s="7">
        <v>3</v>
      </c>
      <c r="AA175" s="7">
        <v>96</v>
      </c>
      <c r="AB175" s="7">
        <v>84</v>
      </c>
      <c r="AC175" s="7">
        <v>180</v>
      </c>
    </row>
    <row r="176" spans="1:32" ht="18" customHeight="1" x14ac:dyDescent="0.3">
      <c r="A176" s="281" t="s">
        <v>40</v>
      </c>
      <c r="B176" s="282"/>
      <c r="C176" s="282"/>
      <c r="D176" s="282"/>
      <c r="E176" s="282"/>
      <c r="F176" s="282"/>
      <c r="G176" s="282"/>
      <c r="H176" s="282"/>
      <c r="I176" s="282"/>
      <c r="J176" s="283"/>
      <c r="K176" s="7">
        <v>0</v>
      </c>
      <c r="L176" s="7">
        <v>0</v>
      </c>
      <c r="M176" s="7">
        <v>0</v>
      </c>
      <c r="N176" s="7">
        <v>0</v>
      </c>
      <c r="O176" s="7">
        <v>3</v>
      </c>
      <c r="P176" s="7">
        <v>5</v>
      </c>
      <c r="Q176" s="7">
        <v>5</v>
      </c>
      <c r="R176" s="7">
        <v>6</v>
      </c>
      <c r="S176" s="7">
        <v>8</v>
      </c>
      <c r="T176" s="7">
        <v>2</v>
      </c>
      <c r="U176" s="7">
        <v>1</v>
      </c>
      <c r="V176" s="7">
        <v>0</v>
      </c>
      <c r="W176" s="7">
        <v>5</v>
      </c>
      <c r="X176" s="7">
        <v>4</v>
      </c>
      <c r="Y176" s="7">
        <v>4</v>
      </c>
      <c r="Z176" s="7">
        <v>8</v>
      </c>
      <c r="AA176" s="7">
        <v>26</v>
      </c>
      <c r="AB176" s="7">
        <v>25</v>
      </c>
      <c r="AC176" s="7">
        <v>51</v>
      </c>
    </row>
    <row r="177" spans="1:29" ht="18" customHeight="1" x14ac:dyDescent="0.3">
      <c r="A177" s="281" t="s">
        <v>41</v>
      </c>
      <c r="B177" s="282"/>
      <c r="C177" s="282"/>
      <c r="D177" s="282"/>
      <c r="E177" s="282"/>
      <c r="F177" s="282"/>
      <c r="G177" s="282"/>
      <c r="H177" s="282"/>
      <c r="I177" s="282"/>
      <c r="J177" s="283"/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</row>
    <row r="178" spans="1:29" ht="18" customHeight="1" x14ac:dyDescent="0.3">
      <c r="A178" s="281" t="s">
        <v>42</v>
      </c>
      <c r="B178" s="282"/>
      <c r="C178" s="282"/>
      <c r="D178" s="282"/>
      <c r="E178" s="282"/>
      <c r="F178" s="282"/>
      <c r="G178" s="282"/>
      <c r="H178" s="282"/>
      <c r="I178" s="282"/>
      <c r="J178" s="283"/>
      <c r="K178" s="7">
        <v>0</v>
      </c>
      <c r="L178" s="7">
        <v>0</v>
      </c>
      <c r="M178" s="7">
        <v>0</v>
      </c>
      <c r="N178" s="7">
        <v>0</v>
      </c>
      <c r="O178" s="7">
        <v>5</v>
      </c>
      <c r="P178" s="7">
        <v>3</v>
      </c>
      <c r="Q178" s="7">
        <v>2</v>
      </c>
      <c r="R178" s="7">
        <v>1</v>
      </c>
      <c r="S178" s="7">
        <v>0</v>
      </c>
      <c r="T178" s="7">
        <v>1</v>
      </c>
      <c r="U178" s="7">
        <v>2</v>
      </c>
      <c r="V178" s="7">
        <v>0</v>
      </c>
      <c r="W178" s="7">
        <v>1</v>
      </c>
      <c r="X178" s="7">
        <v>1</v>
      </c>
      <c r="Y178" s="7">
        <v>4</v>
      </c>
      <c r="Z178" s="7">
        <v>0</v>
      </c>
      <c r="AA178" s="7">
        <v>14</v>
      </c>
      <c r="AB178" s="7">
        <v>6</v>
      </c>
      <c r="AC178" s="7">
        <v>20</v>
      </c>
    </row>
    <row r="179" spans="1:29" ht="18" customHeight="1" x14ac:dyDescent="0.3">
      <c r="A179" s="224" t="s">
        <v>7</v>
      </c>
      <c r="B179" s="225"/>
      <c r="C179" s="225"/>
      <c r="D179" s="225"/>
      <c r="E179" s="225"/>
      <c r="F179" s="225"/>
      <c r="G179" s="225"/>
      <c r="H179" s="225"/>
      <c r="I179" s="225"/>
      <c r="J179" s="226"/>
      <c r="K179" s="7">
        <v>0</v>
      </c>
      <c r="L179" s="7">
        <v>0</v>
      </c>
      <c r="M179" s="7">
        <v>0</v>
      </c>
      <c r="N179" s="7">
        <v>0</v>
      </c>
      <c r="O179" s="7">
        <v>27</v>
      </c>
      <c r="P179" s="7">
        <v>42</v>
      </c>
      <c r="Q179" s="7">
        <v>32</v>
      </c>
      <c r="R179" s="7">
        <v>22</v>
      </c>
      <c r="S179" s="7">
        <v>27</v>
      </c>
      <c r="T179" s="7">
        <v>20</v>
      </c>
      <c r="U179" s="7">
        <v>17</v>
      </c>
      <c r="V179" s="7">
        <v>9</v>
      </c>
      <c r="W179" s="7">
        <v>15</v>
      </c>
      <c r="X179" s="7">
        <v>11</v>
      </c>
      <c r="Y179" s="7">
        <v>18</v>
      </c>
      <c r="Z179" s="7">
        <v>11</v>
      </c>
      <c r="AA179" s="7">
        <v>136</v>
      </c>
      <c r="AB179" s="7">
        <v>115</v>
      </c>
      <c r="AC179" s="7">
        <v>251</v>
      </c>
    </row>
    <row r="180" spans="1:29" ht="6.75" customHeight="1" x14ac:dyDescent="0.3">
      <c r="A180" s="8"/>
      <c r="B180" s="9"/>
      <c r="C180" s="9"/>
      <c r="D180" s="9"/>
      <c r="E180" s="9"/>
      <c r="F180" s="10"/>
      <c r="G180" s="11"/>
      <c r="H180" s="11"/>
      <c r="I180" s="11"/>
      <c r="J180" s="11"/>
      <c r="K180" s="11"/>
      <c r="L180" s="11"/>
      <c r="M180" s="50"/>
      <c r="N180" s="11"/>
      <c r="O180" s="42"/>
      <c r="P180" s="11"/>
      <c r="Q180" s="12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3"/>
    </row>
    <row r="181" spans="1:29" ht="18" customHeight="1" x14ac:dyDescent="0.3">
      <c r="A181" s="14" t="s">
        <v>45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6"/>
      <c r="M181" s="17"/>
      <c r="N181" s="14" t="s">
        <v>46</v>
      </c>
      <c r="O181" s="15"/>
      <c r="P181" s="15"/>
      <c r="Q181" s="15"/>
      <c r="R181" s="15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9"/>
    </row>
    <row r="182" spans="1:29" ht="45" customHeight="1" x14ac:dyDescent="0.3">
      <c r="A182" s="307" t="s">
        <v>47</v>
      </c>
      <c r="B182" s="312" t="s">
        <v>48</v>
      </c>
      <c r="C182" s="313"/>
      <c r="D182" s="314" t="s">
        <v>49</v>
      </c>
      <c r="E182" s="315"/>
      <c r="F182" s="316"/>
      <c r="G182" s="314" t="s">
        <v>50</v>
      </c>
      <c r="H182" s="315"/>
      <c r="I182" s="315"/>
      <c r="J182" s="316"/>
      <c r="K182" s="307" t="s">
        <v>51</v>
      </c>
      <c r="L182" s="307" t="s">
        <v>52</v>
      </c>
      <c r="M182" s="20"/>
      <c r="N182" s="309" t="s">
        <v>53</v>
      </c>
      <c r="O182" s="310"/>
      <c r="P182" s="311"/>
      <c r="Q182" s="309" t="s">
        <v>54</v>
      </c>
      <c r="R182" s="310"/>
      <c r="S182" s="311"/>
      <c r="T182" s="309" t="s">
        <v>55</v>
      </c>
      <c r="U182" s="310"/>
      <c r="V182" s="310"/>
      <c r="W182" s="310"/>
      <c r="X182" s="310"/>
      <c r="Y182" s="310"/>
      <c r="Z182" s="310"/>
      <c r="AA182" s="310"/>
      <c r="AB182" s="310"/>
      <c r="AC182" s="311"/>
    </row>
    <row r="183" spans="1:29" ht="48" customHeight="1" x14ac:dyDescent="0.3">
      <c r="A183" s="308"/>
      <c r="B183" s="21" t="s">
        <v>7</v>
      </c>
      <c r="C183" s="22" t="s">
        <v>87</v>
      </c>
      <c r="D183" s="22" t="s">
        <v>56</v>
      </c>
      <c r="E183" s="22" t="s">
        <v>88</v>
      </c>
      <c r="F183" s="22" t="s">
        <v>89</v>
      </c>
      <c r="G183" s="23" t="s">
        <v>56</v>
      </c>
      <c r="H183" s="22" t="s">
        <v>90</v>
      </c>
      <c r="I183" s="23" t="s">
        <v>57</v>
      </c>
      <c r="J183" s="23" t="s">
        <v>58</v>
      </c>
      <c r="K183" s="308"/>
      <c r="L183" s="308"/>
      <c r="M183" s="20"/>
      <c r="N183" s="309">
        <v>38</v>
      </c>
      <c r="O183" s="310"/>
      <c r="P183" s="311"/>
      <c r="Q183" s="287">
        <v>0</v>
      </c>
      <c r="R183" s="288"/>
      <c r="S183" s="289"/>
      <c r="T183" s="309">
        <v>0</v>
      </c>
      <c r="U183" s="310"/>
      <c r="V183" s="310"/>
      <c r="W183" s="310"/>
      <c r="X183" s="310"/>
      <c r="Y183" s="310"/>
      <c r="Z183" s="310"/>
      <c r="AA183" s="310"/>
      <c r="AB183" s="310"/>
      <c r="AC183" s="311"/>
    </row>
    <row r="184" spans="1:29" ht="38.25" customHeight="1" x14ac:dyDescent="0.3">
      <c r="A184" s="270">
        <v>133294</v>
      </c>
      <c r="B184" s="270">
        <v>1201</v>
      </c>
      <c r="C184" s="270">
        <v>37</v>
      </c>
      <c r="D184" s="270">
        <v>537</v>
      </c>
      <c r="E184" s="270">
        <v>318</v>
      </c>
      <c r="F184" s="270">
        <v>334</v>
      </c>
      <c r="G184" s="270">
        <v>16</v>
      </c>
      <c r="H184" s="270">
        <v>108</v>
      </c>
      <c r="I184" s="270">
        <v>56</v>
      </c>
      <c r="J184" s="270">
        <v>180</v>
      </c>
      <c r="K184" s="270">
        <v>180</v>
      </c>
      <c r="L184" s="270">
        <v>203</v>
      </c>
      <c r="M184" s="20"/>
      <c r="N184" s="309" t="s">
        <v>59</v>
      </c>
      <c r="O184" s="310"/>
      <c r="P184" s="311"/>
      <c r="Q184" s="309" t="s">
        <v>60</v>
      </c>
      <c r="R184" s="310"/>
      <c r="S184" s="311"/>
      <c r="T184" s="293" t="s">
        <v>61</v>
      </c>
      <c r="U184" s="294"/>
      <c r="V184" s="294"/>
      <c r="W184" s="295"/>
      <c r="X184" s="293" t="s">
        <v>62</v>
      </c>
      <c r="Y184" s="294"/>
      <c r="Z184" s="294"/>
      <c r="AA184" s="294"/>
      <c r="AB184" s="294"/>
      <c r="AC184" s="295"/>
    </row>
    <row r="185" spans="1:29" ht="19.5" customHeight="1" x14ac:dyDescent="0.3">
      <c r="A185" s="271"/>
      <c r="B185" s="271"/>
      <c r="C185" s="271"/>
      <c r="D185" s="271"/>
      <c r="E185" s="271"/>
      <c r="F185" s="271"/>
      <c r="G185" s="271"/>
      <c r="H185" s="271"/>
      <c r="I185" s="271"/>
      <c r="J185" s="271"/>
      <c r="K185" s="271"/>
      <c r="L185" s="271"/>
      <c r="M185" s="54"/>
      <c r="N185" s="287">
        <v>79</v>
      </c>
      <c r="O185" s="288"/>
      <c r="P185" s="289"/>
      <c r="Q185" s="287">
        <v>19</v>
      </c>
      <c r="R185" s="288"/>
      <c r="S185" s="289"/>
      <c r="T185" s="287">
        <v>0</v>
      </c>
      <c r="U185" s="288"/>
      <c r="V185" s="288"/>
      <c r="W185" s="289"/>
      <c r="X185" s="24"/>
      <c r="Y185" s="309" t="s">
        <v>0</v>
      </c>
      <c r="Z185" s="311"/>
      <c r="AA185" s="25" t="s">
        <v>1</v>
      </c>
      <c r="AB185" s="309" t="s">
        <v>63</v>
      </c>
      <c r="AC185" s="311"/>
    </row>
    <row r="186" spans="1:29" ht="18" customHeight="1" x14ac:dyDescent="0.3">
      <c r="A186" s="271"/>
      <c r="B186" s="271"/>
      <c r="C186" s="271"/>
      <c r="D186" s="271"/>
      <c r="E186" s="271"/>
      <c r="F186" s="271"/>
      <c r="G186" s="271"/>
      <c r="H186" s="271"/>
      <c r="I186" s="271"/>
      <c r="J186" s="271"/>
      <c r="K186" s="271"/>
      <c r="L186" s="271"/>
      <c r="M186" s="54"/>
      <c r="N186" s="290"/>
      <c r="O186" s="291"/>
      <c r="P186" s="292"/>
      <c r="Q186" s="290"/>
      <c r="R186" s="291"/>
      <c r="S186" s="292"/>
      <c r="T186" s="290"/>
      <c r="U186" s="291"/>
      <c r="V186" s="291"/>
      <c r="W186" s="292"/>
      <c r="X186" s="26" t="s">
        <v>64</v>
      </c>
      <c r="Y186" s="317">
        <v>0</v>
      </c>
      <c r="Z186" s="317"/>
      <c r="AA186" s="25">
        <v>0</v>
      </c>
      <c r="AB186" s="317">
        <v>0</v>
      </c>
      <c r="AC186" s="317"/>
    </row>
    <row r="187" spans="1:29" ht="18" customHeight="1" x14ac:dyDescent="0.3">
      <c r="A187" s="271"/>
      <c r="B187" s="271"/>
      <c r="C187" s="271"/>
      <c r="D187" s="271"/>
      <c r="E187" s="271"/>
      <c r="F187" s="271"/>
      <c r="G187" s="271"/>
      <c r="H187" s="271"/>
      <c r="I187" s="271"/>
      <c r="J187" s="271"/>
      <c r="K187" s="271"/>
      <c r="L187" s="271"/>
      <c r="M187" s="54"/>
      <c r="N187" s="290"/>
      <c r="O187" s="291"/>
      <c r="P187" s="292"/>
      <c r="Q187" s="290"/>
      <c r="R187" s="291"/>
      <c r="S187" s="292"/>
      <c r="T187" s="290"/>
      <c r="U187" s="291"/>
      <c r="V187" s="291"/>
      <c r="W187" s="292"/>
      <c r="X187" s="26" t="s">
        <v>65</v>
      </c>
      <c r="Y187" s="317">
        <v>0</v>
      </c>
      <c r="Z187" s="317"/>
      <c r="AA187" s="25">
        <v>0</v>
      </c>
      <c r="AB187" s="317">
        <v>0</v>
      </c>
      <c r="AC187" s="317"/>
    </row>
    <row r="188" spans="1:29" ht="18" customHeight="1" x14ac:dyDescent="0.3">
      <c r="A188" s="272"/>
      <c r="B188" s="272"/>
      <c r="C188" s="272"/>
      <c r="D188" s="272"/>
      <c r="E188" s="272"/>
      <c r="F188" s="272"/>
      <c r="G188" s="272"/>
      <c r="H188" s="272"/>
      <c r="I188" s="272"/>
      <c r="J188" s="272"/>
      <c r="K188" s="272"/>
      <c r="L188" s="272"/>
      <c r="M188" s="54"/>
      <c r="N188" s="293"/>
      <c r="O188" s="294"/>
      <c r="P188" s="295"/>
      <c r="Q188" s="293"/>
      <c r="R188" s="294"/>
      <c r="S188" s="295"/>
      <c r="T188" s="293"/>
      <c r="U188" s="294"/>
      <c r="V188" s="294"/>
      <c r="W188" s="295"/>
      <c r="X188" s="26" t="s">
        <v>66</v>
      </c>
      <c r="Y188" s="317">
        <v>0</v>
      </c>
      <c r="Z188" s="317"/>
      <c r="AA188" s="25">
        <v>0</v>
      </c>
      <c r="AB188" s="317">
        <v>0</v>
      </c>
      <c r="AC188" s="317"/>
    </row>
    <row r="189" spans="1:29" ht="8.25" customHeight="1" x14ac:dyDescent="0.3">
      <c r="A189" s="27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59"/>
      <c r="N189" s="28"/>
      <c r="O189" s="28"/>
      <c r="P189" s="28"/>
      <c r="Q189" s="28"/>
      <c r="R189" s="28"/>
      <c r="S189" s="28"/>
      <c r="T189" s="28"/>
      <c r="U189" s="29"/>
      <c r="V189" s="29"/>
      <c r="W189" s="29"/>
      <c r="X189" s="29"/>
      <c r="Y189" s="29"/>
      <c r="Z189" s="29"/>
      <c r="AA189" s="28"/>
      <c r="AB189" s="28"/>
      <c r="AC189" s="4"/>
    </row>
    <row r="190" spans="1:29" ht="18" customHeight="1" x14ac:dyDescent="0.3">
      <c r="A190" s="14" t="s">
        <v>67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6"/>
      <c r="M190" s="30"/>
      <c r="N190" s="14" t="s">
        <v>68</v>
      </c>
      <c r="O190" s="16"/>
      <c r="P190" s="15"/>
      <c r="Q190" s="31"/>
      <c r="R190" s="15"/>
      <c r="S190" s="15"/>
      <c r="T190" s="15"/>
      <c r="U190" s="15"/>
      <c r="V190" s="15"/>
      <c r="W190" s="15"/>
      <c r="X190" s="15"/>
      <c r="Y190" s="15"/>
      <c r="Z190" s="15"/>
      <c r="AA190" s="18"/>
      <c r="AB190" s="18"/>
      <c r="AC190" s="32"/>
    </row>
    <row r="191" spans="1:29" ht="57" customHeight="1" x14ac:dyDescent="0.3">
      <c r="A191" s="205"/>
      <c r="B191" s="206"/>
      <c r="C191" s="206"/>
      <c r="D191" s="206"/>
      <c r="E191" s="206"/>
      <c r="F191" s="207"/>
      <c r="G191" s="224" t="s">
        <v>11</v>
      </c>
      <c r="H191" s="226"/>
      <c r="I191" s="224" t="s">
        <v>12</v>
      </c>
      <c r="J191" s="226"/>
      <c r="K191" s="33" t="s">
        <v>69</v>
      </c>
      <c r="L191" s="34"/>
      <c r="M191" s="62"/>
      <c r="N191" s="314" t="s">
        <v>70</v>
      </c>
      <c r="O191" s="315"/>
      <c r="P191" s="316"/>
      <c r="Q191" s="314" t="s">
        <v>71</v>
      </c>
      <c r="R191" s="315"/>
      <c r="S191" s="316"/>
      <c r="T191" s="314" t="s">
        <v>72</v>
      </c>
      <c r="U191" s="315"/>
      <c r="V191" s="316"/>
      <c r="W191" s="314" t="s">
        <v>73</v>
      </c>
      <c r="X191" s="315"/>
      <c r="Y191" s="315"/>
      <c r="Z191" s="316"/>
      <c r="AA191" s="314" t="s">
        <v>74</v>
      </c>
      <c r="AB191" s="315"/>
      <c r="AC191" s="316"/>
    </row>
    <row r="192" spans="1:29" ht="13.5" customHeight="1" x14ac:dyDescent="0.3">
      <c r="A192" s="208"/>
      <c r="B192" s="209"/>
      <c r="C192" s="209"/>
      <c r="D192" s="209"/>
      <c r="E192" s="209"/>
      <c r="F192" s="210"/>
      <c r="G192" s="7" t="s">
        <v>75</v>
      </c>
      <c r="H192" s="7" t="s">
        <v>13</v>
      </c>
      <c r="I192" s="7" t="s">
        <v>75</v>
      </c>
      <c r="J192" s="7" t="s">
        <v>13</v>
      </c>
      <c r="K192" s="7" t="s">
        <v>75</v>
      </c>
      <c r="L192" s="7" t="s">
        <v>13</v>
      </c>
      <c r="M192" s="63"/>
      <c r="N192" s="35" t="s">
        <v>0</v>
      </c>
      <c r="O192" s="36" t="s">
        <v>1</v>
      </c>
      <c r="P192" s="36" t="s">
        <v>91</v>
      </c>
      <c r="Q192" s="35" t="s">
        <v>0</v>
      </c>
      <c r="R192" s="36" t="s">
        <v>1</v>
      </c>
      <c r="S192" s="36" t="s">
        <v>91</v>
      </c>
      <c r="T192" s="35" t="s">
        <v>0</v>
      </c>
      <c r="U192" s="36" t="s">
        <v>1</v>
      </c>
      <c r="V192" s="36" t="s">
        <v>91</v>
      </c>
      <c r="W192" s="37"/>
      <c r="X192" s="35" t="s">
        <v>0</v>
      </c>
      <c r="Y192" s="38" t="s">
        <v>1</v>
      </c>
      <c r="Z192" s="39" t="s">
        <v>76</v>
      </c>
      <c r="AA192" s="35" t="s">
        <v>0</v>
      </c>
      <c r="AB192" s="38" t="s">
        <v>1</v>
      </c>
      <c r="AC192" s="39" t="s">
        <v>76</v>
      </c>
    </row>
    <row r="193" spans="1:29" ht="24.9" customHeight="1" x14ac:dyDescent="0.3">
      <c r="A193" s="299" t="s">
        <v>77</v>
      </c>
      <c r="B193" s="318"/>
      <c r="C193" s="318"/>
      <c r="D193" s="318"/>
      <c r="E193" s="318"/>
      <c r="F193" s="300"/>
      <c r="G193" s="7">
        <v>130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63"/>
      <c r="N193" s="321">
        <v>0</v>
      </c>
      <c r="O193" s="321">
        <v>0</v>
      </c>
      <c r="P193" s="321">
        <v>25</v>
      </c>
      <c r="Q193" s="321">
        <v>0</v>
      </c>
      <c r="R193" s="321">
        <v>15</v>
      </c>
      <c r="S193" s="321">
        <v>77</v>
      </c>
      <c r="T193" s="321">
        <v>0</v>
      </c>
      <c r="U193" s="321">
        <v>0</v>
      </c>
      <c r="V193" s="321">
        <v>9</v>
      </c>
      <c r="W193" s="40" t="s">
        <v>64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</row>
    <row r="194" spans="1:29" ht="24.9" customHeight="1" x14ac:dyDescent="0.3">
      <c r="A194" s="299" t="s">
        <v>8</v>
      </c>
      <c r="B194" s="318"/>
      <c r="C194" s="318"/>
      <c r="D194" s="318"/>
      <c r="E194" s="318"/>
      <c r="F194" s="300"/>
      <c r="G194" s="7">
        <v>17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63"/>
      <c r="N194" s="322"/>
      <c r="O194" s="322"/>
      <c r="P194" s="322"/>
      <c r="Q194" s="322"/>
      <c r="R194" s="322"/>
      <c r="S194" s="322"/>
      <c r="T194" s="322"/>
      <c r="U194" s="322"/>
      <c r="V194" s="322"/>
      <c r="W194" s="40" t="s">
        <v>65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</row>
    <row r="195" spans="1:29" ht="24.9" customHeight="1" x14ac:dyDescent="0.3">
      <c r="A195" s="309" t="s">
        <v>78</v>
      </c>
      <c r="B195" s="310"/>
      <c r="C195" s="310"/>
      <c r="D195" s="310"/>
      <c r="E195" s="310"/>
      <c r="F195" s="311"/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63"/>
      <c r="N195" s="322"/>
      <c r="O195" s="322"/>
      <c r="P195" s="322"/>
      <c r="Q195" s="322"/>
      <c r="R195" s="322"/>
      <c r="S195" s="322"/>
      <c r="T195" s="322"/>
      <c r="U195" s="322"/>
      <c r="V195" s="322"/>
      <c r="W195" s="319" t="s">
        <v>66</v>
      </c>
      <c r="X195" s="321">
        <v>0</v>
      </c>
      <c r="Y195" s="321">
        <v>0</v>
      </c>
      <c r="Z195" s="321">
        <v>0</v>
      </c>
      <c r="AA195" s="321">
        <v>0</v>
      </c>
      <c r="AB195" s="321">
        <v>0</v>
      </c>
      <c r="AC195" s="321">
        <v>0</v>
      </c>
    </row>
    <row r="196" spans="1:29" ht="24.9" customHeight="1" x14ac:dyDescent="0.3">
      <c r="A196" s="224" t="s">
        <v>7</v>
      </c>
      <c r="B196" s="225"/>
      <c r="C196" s="225"/>
      <c r="D196" s="225"/>
      <c r="E196" s="225"/>
      <c r="F196" s="226"/>
      <c r="G196" s="7">
        <v>147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63"/>
      <c r="N196" s="323"/>
      <c r="O196" s="323"/>
      <c r="P196" s="323"/>
      <c r="Q196" s="323"/>
      <c r="R196" s="323"/>
      <c r="S196" s="323"/>
      <c r="T196" s="323"/>
      <c r="U196" s="323"/>
      <c r="V196" s="323"/>
      <c r="W196" s="320"/>
      <c r="X196" s="323"/>
      <c r="Y196" s="323"/>
      <c r="Z196" s="323"/>
      <c r="AA196" s="323"/>
      <c r="AB196" s="323"/>
      <c r="AC196" s="323"/>
    </row>
  </sheetData>
  <mergeCells count="779">
    <mergeCell ref="A194:F194"/>
    <mergeCell ref="A195:F195"/>
    <mergeCell ref="W195:W196"/>
    <mergeCell ref="A196:F196"/>
    <mergeCell ref="T191:V191"/>
    <mergeCell ref="W191:Z191"/>
    <mergeCell ref="AA191:AC191"/>
    <mergeCell ref="A193:F193"/>
    <mergeCell ref="N193:N196"/>
    <mergeCell ref="O193:O196"/>
    <mergeCell ref="P193:P196"/>
    <mergeCell ref="Q193:Q196"/>
    <mergeCell ref="R193:R196"/>
    <mergeCell ref="S193:S196"/>
    <mergeCell ref="X195:X196"/>
    <mergeCell ref="Y195:Y196"/>
    <mergeCell ref="Z195:Z196"/>
    <mergeCell ref="AA195:AA196"/>
    <mergeCell ref="AB195:AB196"/>
    <mergeCell ref="AC195:AC196"/>
    <mergeCell ref="T193:T196"/>
    <mergeCell ref="U193:U196"/>
    <mergeCell ref="V193:V196"/>
    <mergeCell ref="A191:F192"/>
    <mergeCell ref="G191:H191"/>
    <mergeCell ref="I191:J191"/>
    <mergeCell ref="N191:P191"/>
    <mergeCell ref="Q191:S191"/>
    <mergeCell ref="G184:G188"/>
    <mergeCell ref="H184:H188"/>
    <mergeCell ref="I184:I188"/>
    <mergeCell ref="J184:J188"/>
    <mergeCell ref="K184:K188"/>
    <mergeCell ref="L184:L188"/>
    <mergeCell ref="A184:A188"/>
    <mergeCell ref="B184:B188"/>
    <mergeCell ref="C184:C188"/>
    <mergeCell ref="D184:D188"/>
    <mergeCell ref="E184:E188"/>
    <mergeCell ref="F184:F188"/>
    <mergeCell ref="N184:P184"/>
    <mergeCell ref="Q184:S184"/>
    <mergeCell ref="T184:W184"/>
    <mergeCell ref="X184:AC184"/>
    <mergeCell ref="N185:P188"/>
    <mergeCell ref="Q185:S188"/>
    <mergeCell ref="T185:W188"/>
    <mergeCell ref="Y185:Z185"/>
    <mergeCell ref="AB185:AC185"/>
    <mergeCell ref="Y186:Z186"/>
    <mergeCell ref="AB186:AC186"/>
    <mergeCell ref="Y187:Z187"/>
    <mergeCell ref="AB187:AC187"/>
    <mergeCell ref="Y188:Z188"/>
    <mergeCell ref="AB188:AC188"/>
    <mergeCell ref="K182:K183"/>
    <mergeCell ref="L182:L183"/>
    <mergeCell ref="N182:P182"/>
    <mergeCell ref="Q182:S182"/>
    <mergeCell ref="T182:AC182"/>
    <mergeCell ref="N183:P183"/>
    <mergeCell ref="Q183:S183"/>
    <mergeCell ref="T183:AC183"/>
    <mergeCell ref="A176:J176"/>
    <mergeCell ref="A177:J177"/>
    <mergeCell ref="A178:J178"/>
    <mergeCell ref="A179:J179"/>
    <mergeCell ref="A182:A183"/>
    <mergeCell ref="B182:C182"/>
    <mergeCell ref="D182:F182"/>
    <mergeCell ref="G182:J182"/>
    <mergeCell ref="U173:V173"/>
    <mergeCell ref="W173:X173"/>
    <mergeCell ref="Y173:Z173"/>
    <mergeCell ref="AA173:AB173"/>
    <mergeCell ref="AC173:AC174"/>
    <mergeCell ref="A175:J175"/>
    <mergeCell ref="A173:J174"/>
    <mergeCell ref="K173:L173"/>
    <mergeCell ref="M173:N173"/>
    <mergeCell ref="O173:P173"/>
    <mergeCell ref="Q173:R173"/>
    <mergeCell ref="S173:T173"/>
    <mergeCell ref="A171:J171"/>
    <mergeCell ref="K171:L171"/>
    <mergeCell ref="M171:N171"/>
    <mergeCell ref="O171:Q171"/>
    <mergeCell ref="R171:T171"/>
    <mergeCell ref="U171:W171"/>
    <mergeCell ref="X171:Y171"/>
    <mergeCell ref="Z171:AA171"/>
    <mergeCell ref="AB171:AC171"/>
    <mergeCell ref="A170:J170"/>
    <mergeCell ref="K170:L170"/>
    <mergeCell ref="M170:N170"/>
    <mergeCell ref="O170:Q170"/>
    <mergeCell ref="R170:T170"/>
    <mergeCell ref="U170:W170"/>
    <mergeCell ref="X170:Y170"/>
    <mergeCell ref="Z170:AA170"/>
    <mergeCell ref="AB170:AC170"/>
    <mergeCell ref="A169:J169"/>
    <mergeCell ref="K169:L169"/>
    <mergeCell ref="M169:N169"/>
    <mergeCell ref="O169:Q169"/>
    <mergeCell ref="R169:T169"/>
    <mergeCell ref="U169:W169"/>
    <mergeCell ref="X169:Y169"/>
    <mergeCell ref="Z169:AA169"/>
    <mergeCell ref="AB169:AC169"/>
    <mergeCell ref="A168:J168"/>
    <mergeCell ref="K168:L168"/>
    <mergeCell ref="M168:N168"/>
    <mergeCell ref="O168:Q168"/>
    <mergeCell ref="R168:T168"/>
    <mergeCell ref="U168:W168"/>
    <mergeCell ref="X168:Y168"/>
    <mergeCell ref="Z168:AA168"/>
    <mergeCell ref="AB168:AC168"/>
    <mergeCell ref="AB164:AC166"/>
    <mergeCell ref="A165:J166"/>
    <mergeCell ref="U165:W166"/>
    <mergeCell ref="X165:Y166"/>
    <mergeCell ref="Z165:AA166"/>
    <mergeCell ref="A167:J167"/>
    <mergeCell ref="K167:L167"/>
    <mergeCell ref="M167:N167"/>
    <mergeCell ref="O167:Q167"/>
    <mergeCell ref="R167:T167"/>
    <mergeCell ref="A164:J164"/>
    <mergeCell ref="K164:L166"/>
    <mergeCell ref="M164:N166"/>
    <mergeCell ref="O164:Q166"/>
    <mergeCell ref="R164:T166"/>
    <mergeCell ref="U164:AA164"/>
    <mergeCell ref="U167:W167"/>
    <mergeCell ref="X167:Y167"/>
    <mergeCell ref="Z167:AA167"/>
    <mergeCell ref="AB167:AC167"/>
    <mergeCell ref="Y160:AA161"/>
    <mergeCell ref="AB160:AC161"/>
    <mergeCell ref="A162:G162"/>
    <mergeCell ref="H162:N162"/>
    <mergeCell ref="T162:Y162"/>
    <mergeCell ref="Z162:AC162"/>
    <mergeCell ref="A158:AC158"/>
    <mergeCell ref="A159:W159"/>
    <mergeCell ref="Y159:Z159"/>
    <mergeCell ref="A160:D160"/>
    <mergeCell ref="E160:H160"/>
    <mergeCell ref="I160:J160"/>
    <mergeCell ref="K160:L160"/>
    <mergeCell ref="M160:N160"/>
    <mergeCell ref="O160:R160"/>
    <mergeCell ref="T160:X161"/>
    <mergeCell ref="A155:F155"/>
    <mergeCell ref="A156:F156"/>
    <mergeCell ref="W156:W157"/>
    <mergeCell ref="A157:F157"/>
    <mergeCell ref="T152:V152"/>
    <mergeCell ref="W152:Z152"/>
    <mergeCell ref="AA152:AC152"/>
    <mergeCell ref="A154:F154"/>
    <mergeCell ref="N154:N157"/>
    <mergeCell ref="O154:O157"/>
    <mergeCell ref="P154:P157"/>
    <mergeCell ref="Q154:Q157"/>
    <mergeCell ref="R154:R157"/>
    <mergeCell ref="S154:S157"/>
    <mergeCell ref="X156:X157"/>
    <mergeCell ref="Y156:Y157"/>
    <mergeCell ref="Z156:Z157"/>
    <mergeCell ref="AA156:AA157"/>
    <mergeCell ref="AB156:AB157"/>
    <mergeCell ref="AC156:AC157"/>
    <mergeCell ref="T154:T157"/>
    <mergeCell ref="U154:U157"/>
    <mergeCell ref="V154:V157"/>
    <mergeCell ref="A152:F153"/>
    <mergeCell ref="G152:H152"/>
    <mergeCell ref="I152:J152"/>
    <mergeCell ref="N152:P152"/>
    <mergeCell ref="Q152:S152"/>
    <mergeCell ref="G145:G149"/>
    <mergeCell ref="H145:H149"/>
    <mergeCell ref="I145:I149"/>
    <mergeCell ref="J145:J149"/>
    <mergeCell ref="K145:K149"/>
    <mergeCell ref="L145:L149"/>
    <mergeCell ref="A145:A149"/>
    <mergeCell ref="B145:B149"/>
    <mergeCell ref="C145:C149"/>
    <mergeCell ref="D145:D149"/>
    <mergeCell ref="E145:E149"/>
    <mergeCell ref="F145:F149"/>
    <mergeCell ref="N145:P145"/>
    <mergeCell ref="Q145:S145"/>
    <mergeCell ref="T145:W145"/>
    <mergeCell ref="X145:AC145"/>
    <mergeCell ref="N146:P149"/>
    <mergeCell ref="Q146:S149"/>
    <mergeCell ref="T146:W149"/>
    <mergeCell ref="Y146:Z146"/>
    <mergeCell ref="AB146:AC146"/>
    <mergeCell ref="Y147:Z147"/>
    <mergeCell ref="AB147:AC147"/>
    <mergeCell ref="Y148:Z148"/>
    <mergeCell ref="AB148:AC148"/>
    <mergeCell ref="Y149:Z149"/>
    <mergeCell ref="AB149:AC149"/>
    <mergeCell ref="L143:L144"/>
    <mergeCell ref="N143:P143"/>
    <mergeCell ref="Q143:S143"/>
    <mergeCell ref="T143:AC143"/>
    <mergeCell ref="N144:P144"/>
    <mergeCell ref="Q144:S144"/>
    <mergeCell ref="T144:AC144"/>
    <mergeCell ref="A137:J137"/>
    <mergeCell ref="A138:J138"/>
    <mergeCell ref="A139:J139"/>
    <mergeCell ref="A140:J140"/>
    <mergeCell ref="O141:P141"/>
    <mergeCell ref="A143:A144"/>
    <mergeCell ref="B143:C143"/>
    <mergeCell ref="D143:F143"/>
    <mergeCell ref="G143:J143"/>
    <mergeCell ref="K143:K144"/>
    <mergeCell ref="U134:V134"/>
    <mergeCell ref="W134:X134"/>
    <mergeCell ref="Y134:Z134"/>
    <mergeCell ref="AA134:AB134"/>
    <mergeCell ref="AC134:AC135"/>
    <mergeCell ref="A136:J136"/>
    <mergeCell ref="A134:J135"/>
    <mergeCell ref="K134:L134"/>
    <mergeCell ref="M134:N134"/>
    <mergeCell ref="O134:P134"/>
    <mergeCell ref="Q134:R134"/>
    <mergeCell ref="S134:T134"/>
    <mergeCell ref="A132:J132"/>
    <mergeCell ref="K132:L132"/>
    <mergeCell ref="M132:N132"/>
    <mergeCell ref="O132:Q132"/>
    <mergeCell ref="R132:T132"/>
    <mergeCell ref="U132:W132"/>
    <mergeCell ref="X132:Y132"/>
    <mergeCell ref="Z132:AA132"/>
    <mergeCell ref="AB132:AC132"/>
    <mergeCell ref="A131:J131"/>
    <mergeCell ref="K131:L131"/>
    <mergeCell ref="M131:N131"/>
    <mergeCell ref="O131:Q131"/>
    <mergeCell ref="R131:T131"/>
    <mergeCell ref="U131:W131"/>
    <mergeCell ref="X131:Y131"/>
    <mergeCell ref="Z131:AA131"/>
    <mergeCell ref="AB131:AC131"/>
    <mergeCell ref="A130:J130"/>
    <mergeCell ref="K130:L130"/>
    <mergeCell ref="M130:N130"/>
    <mergeCell ref="O130:Q130"/>
    <mergeCell ref="R130:T130"/>
    <mergeCell ref="U130:W130"/>
    <mergeCell ref="X130:Y130"/>
    <mergeCell ref="Z130:AA130"/>
    <mergeCell ref="AB130:AC130"/>
    <mergeCell ref="A129:J129"/>
    <mergeCell ref="K129:L129"/>
    <mergeCell ref="M129:N129"/>
    <mergeCell ref="O129:Q129"/>
    <mergeCell ref="R129:T129"/>
    <mergeCell ref="U129:W129"/>
    <mergeCell ref="X129:Y129"/>
    <mergeCell ref="Z129:AA129"/>
    <mergeCell ref="AB129:AC129"/>
    <mergeCell ref="AB125:AC127"/>
    <mergeCell ref="A126:J127"/>
    <mergeCell ref="U126:W127"/>
    <mergeCell ref="X126:Y127"/>
    <mergeCell ref="Z126:AA127"/>
    <mergeCell ref="A128:J128"/>
    <mergeCell ref="K128:L128"/>
    <mergeCell ref="M128:N128"/>
    <mergeCell ref="O128:Q128"/>
    <mergeCell ref="R128:T128"/>
    <mergeCell ref="A125:J125"/>
    <mergeCell ref="K125:L127"/>
    <mergeCell ref="M125:N127"/>
    <mergeCell ref="O125:Q127"/>
    <mergeCell ref="R125:T127"/>
    <mergeCell ref="U125:AA125"/>
    <mergeCell ref="U128:W128"/>
    <mergeCell ref="X128:Y128"/>
    <mergeCell ref="Z128:AA128"/>
    <mergeCell ref="AB128:AC128"/>
    <mergeCell ref="Y121:AA122"/>
    <mergeCell ref="AB121:AC122"/>
    <mergeCell ref="A123:G123"/>
    <mergeCell ref="H123:N123"/>
    <mergeCell ref="T123:Y123"/>
    <mergeCell ref="Z123:AC123"/>
    <mergeCell ref="A119:AC119"/>
    <mergeCell ref="A120:W120"/>
    <mergeCell ref="Y120:Z120"/>
    <mergeCell ref="A121:D121"/>
    <mergeCell ref="E121:H121"/>
    <mergeCell ref="I121:J121"/>
    <mergeCell ref="K121:L121"/>
    <mergeCell ref="M121:N121"/>
    <mergeCell ref="O121:R121"/>
    <mergeCell ref="T121:X122"/>
    <mergeCell ref="A116:F116"/>
    <mergeCell ref="A117:F117"/>
    <mergeCell ref="W117:W118"/>
    <mergeCell ref="A118:F118"/>
    <mergeCell ref="T113:V113"/>
    <mergeCell ref="W113:Z113"/>
    <mergeCell ref="AA113:AC113"/>
    <mergeCell ref="A115:F115"/>
    <mergeCell ref="N115:N118"/>
    <mergeCell ref="O115:O118"/>
    <mergeCell ref="P115:P118"/>
    <mergeCell ref="Q115:Q118"/>
    <mergeCell ref="R115:R118"/>
    <mergeCell ref="S115:S118"/>
    <mergeCell ref="X117:X118"/>
    <mergeCell ref="Y117:Y118"/>
    <mergeCell ref="Z117:Z118"/>
    <mergeCell ref="AA117:AA118"/>
    <mergeCell ref="AB117:AB118"/>
    <mergeCell ref="AC117:AC118"/>
    <mergeCell ref="T115:T118"/>
    <mergeCell ref="U115:U118"/>
    <mergeCell ref="V115:V118"/>
    <mergeCell ref="A113:F114"/>
    <mergeCell ref="G113:H113"/>
    <mergeCell ref="I113:J113"/>
    <mergeCell ref="N113:P113"/>
    <mergeCell ref="Q113:S113"/>
    <mergeCell ref="G106:G110"/>
    <mergeCell ref="H106:H110"/>
    <mergeCell ref="I106:I110"/>
    <mergeCell ref="J106:J110"/>
    <mergeCell ref="K106:K110"/>
    <mergeCell ref="L106:L110"/>
    <mergeCell ref="A106:A110"/>
    <mergeCell ref="B106:B110"/>
    <mergeCell ref="C106:C110"/>
    <mergeCell ref="D106:D110"/>
    <mergeCell ref="E106:E110"/>
    <mergeCell ref="F106:F110"/>
    <mergeCell ref="N106:P106"/>
    <mergeCell ref="Q106:S106"/>
    <mergeCell ref="T106:W106"/>
    <mergeCell ref="X106:AC106"/>
    <mergeCell ref="N107:P110"/>
    <mergeCell ref="Q107:S110"/>
    <mergeCell ref="T107:W110"/>
    <mergeCell ref="Y107:Z107"/>
    <mergeCell ref="AB107:AC107"/>
    <mergeCell ref="Y108:Z108"/>
    <mergeCell ref="AB108:AC108"/>
    <mergeCell ref="Y109:Z109"/>
    <mergeCell ref="AB109:AC109"/>
    <mergeCell ref="Y110:Z110"/>
    <mergeCell ref="AB110:AC110"/>
    <mergeCell ref="L104:L105"/>
    <mergeCell ref="N104:P104"/>
    <mergeCell ref="Q104:S104"/>
    <mergeCell ref="T104:AC104"/>
    <mergeCell ref="N105:P105"/>
    <mergeCell ref="Q105:S105"/>
    <mergeCell ref="T105:AC105"/>
    <mergeCell ref="A98:J98"/>
    <mergeCell ref="A99:J99"/>
    <mergeCell ref="A100:J100"/>
    <mergeCell ref="A101:J101"/>
    <mergeCell ref="O102:P102"/>
    <mergeCell ref="A104:A105"/>
    <mergeCell ref="B104:C104"/>
    <mergeCell ref="D104:F104"/>
    <mergeCell ref="G104:J104"/>
    <mergeCell ref="K104:K105"/>
    <mergeCell ref="U95:V95"/>
    <mergeCell ref="W95:X95"/>
    <mergeCell ref="Y95:Z95"/>
    <mergeCell ref="AA95:AB95"/>
    <mergeCell ref="AC95:AC96"/>
    <mergeCell ref="A97:J97"/>
    <mergeCell ref="A95:J96"/>
    <mergeCell ref="K95:L95"/>
    <mergeCell ref="M95:N95"/>
    <mergeCell ref="O95:P95"/>
    <mergeCell ref="Q95:R95"/>
    <mergeCell ref="S95:T95"/>
    <mergeCell ref="A93:J93"/>
    <mergeCell ref="K93:L93"/>
    <mergeCell ref="M93:N93"/>
    <mergeCell ref="O93:Q93"/>
    <mergeCell ref="R93:T93"/>
    <mergeCell ref="U93:W93"/>
    <mergeCell ref="X93:Y93"/>
    <mergeCell ref="Z93:AA93"/>
    <mergeCell ref="AB93:AC93"/>
    <mergeCell ref="A92:J92"/>
    <mergeCell ref="K92:L92"/>
    <mergeCell ref="M92:N92"/>
    <mergeCell ref="O92:Q92"/>
    <mergeCell ref="R92:T92"/>
    <mergeCell ref="U92:W92"/>
    <mergeCell ref="X92:Y92"/>
    <mergeCell ref="Z92:AA92"/>
    <mergeCell ref="AB92:AC92"/>
    <mergeCell ref="A91:J91"/>
    <mergeCell ref="K91:L91"/>
    <mergeCell ref="M91:N91"/>
    <mergeCell ref="O91:Q91"/>
    <mergeCell ref="R91:T91"/>
    <mergeCell ref="U91:W91"/>
    <mergeCell ref="X91:Y91"/>
    <mergeCell ref="Z91:AA91"/>
    <mergeCell ref="AB91:AC91"/>
    <mergeCell ref="A90:J90"/>
    <mergeCell ref="K90:L90"/>
    <mergeCell ref="M90:N90"/>
    <mergeCell ref="O90:Q90"/>
    <mergeCell ref="R90:T90"/>
    <mergeCell ref="U90:W90"/>
    <mergeCell ref="X90:Y90"/>
    <mergeCell ref="Z90:AA90"/>
    <mergeCell ref="AB90:AC90"/>
    <mergeCell ref="AB86:AC88"/>
    <mergeCell ref="A87:J88"/>
    <mergeCell ref="U87:W88"/>
    <mergeCell ref="X87:Y88"/>
    <mergeCell ref="Z87:AA88"/>
    <mergeCell ref="A89:J89"/>
    <mergeCell ref="K89:L89"/>
    <mergeCell ref="M89:N89"/>
    <mergeCell ref="O89:Q89"/>
    <mergeCell ref="R89:T89"/>
    <mergeCell ref="A86:J86"/>
    <mergeCell ref="K86:L88"/>
    <mergeCell ref="M86:N88"/>
    <mergeCell ref="O86:Q88"/>
    <mergeCell ref="R86:T88"/>
    <mergeCell ref="U86:AA86"/>
    <mergeCell ref="U89:W89"/>
    <mergeCell ref="X89:Y89"/>
    <mergeCell ref="Z89:AA89"/>
    <mergeCell ref="AB89:AC89"/>
    <mergeCell ref="Y82:AA83"/>
    <mergeCell ref="AB82:AC83"/>
    <mergeCell ref="A84:G84"/>
    <mergeCell ref="H84:N84"/>
    <mergeCell ref="T84:Y84"/>
    <mergeCell ref="Z84:AC84"/>
    <mergeCell ref="A80:AC80"/>
    <mergeCell ref="A81:W81"/>
    <mergeCell ref="Y81:Z81"/>
    <mergeCell ref="A82:D82"/>
    <mergeCell ref="E82:H82"/>
    <mergeCell ref="I82:J82"/>
    <mergeCell ref="K82:L82"/>
    <mergeCell ref="M82:N82"/>
    <mergeCell ref="O82:R82"/>
    <mergeCell ref="T82:X83"/>
    <mergeCell ref="A77:F77"/>
    <mergeCell ref="A78:F78"/>
    <mergeCell ref="W78:W79"/>
    <mergeCell ref="A79:F79"/>
    <mergeCell ref="T74:V74"/>
    <mergeCell ref="W74:Z74"/>
    <mergeCell ref="AA74:AC74"/>
    <mergeCell ref="A76:F76"/>
    <mergeCell ref="N76:N79"/>
    <mergeCell ref="O76:O79"/>
    <mergeCell ref="P76:P79"/>
    <mergeCell ref="Q76:Q79"/>
    <mergeCell ref="R76:R79"/>
    <mergeCell ref="S76:S79"/>
    <mergeCell ref="X78:X79"/>
    <mergeCell ref="Y78:Y79"/>
    <mergeCell ref="Z78:Z79"/>
    <mergeCell ref="AA78:AA79"/>
    <mergeCell ref="AB78:AB79"/>
    <mergeCell ref="AC78:AC79"/>
    <mergeCell ref="T76:T79"/>
    <mergeCell ref="U76:U79"/>
    <mergeCell ref="V76:V79"/>
    <mergeCell ref="A74:F75"/>
    <mergeCell ref="G74:H74"/>
    <mergeCell ref="I74:J74"/>
    <mergeCell ref="N74:P74"/>
    <mergeCell ref="Q74:S74"/>
    <mergeCell ref="G67:G71"/>
    <mergeCell ref="H67:H71"/>
    <mergeCell ref="I67:I71"/>
    <mergeCell ref="J67:J71"/>
    <mergeCell ref="K67:K71"/>
    <mergeCell ref="L67:L71"/>
    <mergeCell ref="A67:A71"/>
    <mergeCell ref="B67:B71"/>
    <mergeCell ref="C67:C71"/>
    <mergeCell ref="D67:D71"/>
    <mergeCell ref="E67:E71"/>
    <mergeCell ref="F67:F71"/>
    <mergeCell ref="N67:P67"/>
    <mergeCell ref="Q67:S67"/>
    <mergeCell ref="T67:W67"/>
    <mergeCell ref="X67:AC67"/>
    <mergeCell ref="N68:P71"/>
    <mergeCell ref="Q68:S71"/>
    <mergeCell ref="T68:W71"/>
    <mergeCell ref="Y68:Z68"/>
    <mergeCell ref="AB68:AC68"/>
    <mergeCell ref="Y69:Z69"/>
    <mergeCell ref="AB69:AC69"/>
    <mergeCell ref="Y70:Z70"/>
    <mergeCell ref="AB70:AC70"/>
    <mergeCell ref="Y71:Z71"/>
    <mergeCell ref="AB71:AC71"/>
    <mergeCell ref="L65:L66"/>
    <mergeCell ref="N65:P65"/>
    <mergeCell ref="Q65:S65"/>
    <mergeCell ref="T65:AC65"/>
    <mergeCell ref="N66:P66"/>
    <mergeCell ref="Q66:S66"/>
    <mergeCell ref="T66:AC66"/>
    <mergeCell ref="A59:J59"/>
    <mergeCell ref="A60:J60"/>
    <mergeCell ref="A61:J61"/>
    <mergeCell ref="A62:J62"/>
    <mergeCell ref="O63:P63"/>
    <mergeCell ref="A65:A66"/>
    <mergeCell ref="B65:C65"/>
    <mergeCell ref="D65:F65"/>
    <mergeCell ref="G65:J65"/>
    <mergeCell ref="K65:K66"/>
    <mergeCell ref="U56:V56"/>
    <mergeCell ref="W56:X56"/>
    <mergeCell ref="Y56:Z56"/>
    <mergeCell ref="AA56:AB56"/>
    <mergeCell ref="AC56:AC57"/>
    <mergeCell ref="A58:J58"/>
    <mergeCell ref="A56:J57"/>
    <mergeCell ref="K56:L56"/>
    <mergeCell ref="M56:N56"/>
    <mergeCell ref="O56:P56"/>
    <mergeCell ref="Q56:R56"/>
    <mergeCell ref="S56:T56"/>
    <mergeCell ref="A54:J54"/>
    <mergeCell ref="K54:L54"/>
    <mergeCell ref="M54:N54"/>
    <mergeCell ref="O54:Q54"/>
    <mergeCell ref="R54:T54"/>
    <mergeCell ref="U54:W54"/>
    <mergeCell ref="X54:Y54"/>
    <mergeCell ref="Z54:AA54"/>
    <mergeCell ref="AB54:AC54"/>
    <mergeCell ref="A53:J53"/>
    <mergeCell ref="K53:L53"/>
    <mergeCell ref="M53:N53"/>
    <mergeCell ref="O53:Q53"/>
    <mergeCell ref="R53:T53"/>
    <mergeCell ref="U53:W53"/>
    <mergeCell ref="X53:Y53"/>
    <mergeCell ref="Z53:AA53"/>
    <mergeCell ref="AB53:AC53"/>
    <mergeCell ref="A52:J52"/>
    <mergeCell ref="K52:L52"/>
    <mergeCell ref="M52:N52"/>
    <mergeCell ref="O52:Q52"/>
    <mergeCell ref="R52:T52"/>
    <mergeCell ref="U52:W52"/>
    <mergeCell ref="X52:Y52"/>
    <mergeCell ref="Z52:AA52"/>
    <mergeCell ref="AB52:AC52"/>
    <mergeCell ref="A51:J51"/>
    <mergeCell ref="K51:L51"/>
    <mergeCell ref="M51:N51"/>
    <mergeCell ref="O51:Q51"/>
    <mergeCell ref="R51:T51"/>
    <mergeCell ref="U51:W51"/>
    <mergeCell ref="X51:Y51"/>
    <mergeCell ref="Z51:AA51"/>
    <mergeCell ref="AB51:AC51"/>
    <mergeCell ref="AB47:AC49"/>
    <mergeCell ref="A48:J49"/>
    <mergeCell ref="U48:W49"/>
    <mergeCell ref="X48:Y49"/>
    <mergeCell ref="Z48:AA49"/>
    <mergeCell ref="A50:J50"/>
    <mergeCell ref="K50:L50"/>
    <mergeCell ref="M50:N50"/>
    <mergeCell ref="O50:Q50"/>
    <mergeCell ref="R50:T50"/>
    <mergeCell ref="A47:J47"/>
    <mergeCell ref="K47:L49"/>
    <mergeCell ref="M47:N49"/>
    <mergeCell ref="O47:Q49"/>
    <mergeCell ref="R47:T49"/>
    <mergeCell ref="U47:AA47"/>
    <mergeCell ref="U50:W50"/>
    <mergeCell ref="X50:Y50"/>
    <mergeCell ref="Z50:AA50"/>
    <mergeCell ref="AB50:AC50"/>
    <mergeCell ref="Y43:AA44"/>
    <mergeCell ref="AB43:AC44"/>
    <mergeCell ref="A45:G45"/>
    <mergeCell ref="H45:N45"/>
    <mergeCell ref="T45:Y45"/>
    <mergeCell ref="Z45:AC45"/>
    <mergeCell ref="A41:AC41"/>
    <mergeCell ref="A42:W42"/>
    <mergeCell ref="Y42:Z42"/>
    <mergeCell ref="A43:D43"/>
    <mergeCell ref="E43:H43"/>
    <mergeCell ref="I43:J43"/>
    <mergeCell ref="K43:L43"/>
    <mergeCell ref="M43:N43"/>
    <mergeCell ref="O43:R43"/>
    <mergeCell ref="T43:X44"/>
    <mergeCell ref="A38:F38"/>
    <mergeCell ref="A39:F39"/>
    <mergeCell ref="W39:W40"/>
    <mergeCell ref="A40:F40"/>
    <mergeCell ref="T35:V35"/>
    <mergeCell ref="W35:Z35"/>
    <mergeCell ref="AA35:AC35"/>
    <mergeCell ref="A37:F37"/>
    <mergeCell ref="N37:N40"/>
    <mergeCell ref="O37:O40"/>
    <mergeCell ref="P37:P40"/>
    <mergeCell ref="Q37:Q40"/>
    <mergeCell ref="R37:R40"/>
    <mergeCell ref="S37:S40"/>
    <mergeCell ref="X39:X40"/>
    <mergeCell ref="Y39:Y40"/>
    <mergeCell ref="Z39:Z40"/>
    <mergeCell ref="AA39:AA40"/>
    <mergeCell ref="AB39:AB40"/>
    <mergeCell ref="AC39:AC40"/>
    <mergeCell ref="T37:T40"/>
    <mergeCell ref="U37:U40"/>
    <mergeCell ref="V37:V40"/>
    <mergeCell ref="A35:F36"/>
    <mergeCell ref="G35:H35"/>
    <mergeCell ref="I35:J35"/>
    <mergeCell ref="N35:P35"/>
    <mergeCell ref="Q35:S35"/>
    <mergeCell ref="G28:G32"/>
    <mergeCell ref="H28:H32"/>
    <mergeCell ref="I28:I32"/>
    <mergeCell ref="J28:J32"/>
    <mergeCell ref="K28:K32"/>
    <mergeCell ref="L28:L32"/>
    <mergeCell ref="A28:A32"/>
    <mergeCell ref="B28:B32"/>
    <mergeCell ref="C28:C32"/>
    <mergeCell ref="D28:D32"/>
    <mergeCell ref="E28:E32"/>
    <mergeCell ref="F28:F32"/>
    <mergeCell ref="N28:P28"/>
    <mergeCell ref="Q28:S28"/>
    <mergeCell ref="T28:W28"/>
    <mergeCell ref="X28:AC28"/>
    <mergeCell ref="N29:P32"/>
    <mergeCell ref="Q29:S32"/>
    <mergeCell ref="T29:W32"/>
    <mergeCell ref="Y29:Z29"/>
    <mergeCell ref="AB29:AC29"/>
    <mergeCell ref="Y30:Z30"/>
    <mergeCell ref="AB30:AC30"/>
    <mergeCell ref="Y31:Z31"/>
    <mergeCell ref="AB31:AC31"/>
    <mergeCell ref="Y32:Z32"/>
    <mergeCell ref="AB32:AC32"/>
    <mergeCell ref="L26:L27"/>
    <mergeCell ref="N26:P26"/>
    <mergeCell ref="Q26:S26"/>
    <mergeCell ref="T26:AC26"/>
    <mergeCell ref="N27:P27"/>
    <mergeCell ref="Q27:S27"/>
    <mergeCell ref="T27:AC27"/>
    <mergeCell ref="A20:J20"/>
    <mergeCell ref="A21:J21"/>
    <mergeCell ref="A22:J22"/>
    <mergeCell ref="A23:J23"/>
    <mergeCell ref="O24:P24"/>
    <mergeCell ref="A26:A27"/>
    <mergeCell ref="B26:C26"/>
    <mergeCell ref="D26:F26"/>
    <mergeCell ref="G26:J26"/>
    <mergeCell ref="K26:K27"/>
    <mergeCell ref="U17:V17"/>
    <mergeCell ref="W17:X17"/>
    <mergeCell ref="Y17:Z17"/>
    <mergeCell ref="AA17:AB17"/>
    <mergeCell ref="AC17:AC18"/>
    <mergeCell ref="A19:J19"/>
    <mergeCell ref="A17:J18"/>
    <mergeCell ref="K17:L17"/>
    <mergeCell ref="M17:N17"/>
    <mergeCell ref="O17:P17"/>
    <mergeCell ref="Q17:R17"/>
    <mergeCell ref="S17:T17"/>
    <mergeCell ref="A15:J15"/>
    <mergeCell ref="K15:L15"/>
    <mergeCell ref="M15:N15"/>
    <mergeCell ref="O15:Q15"/>
    <mergeCell ref="R15:T15"/>
    <mergeCell ref="U15:W15"/>
    <mergeCell ref="X15:Y15"/>
    <mergeCell ref="Z15:AA15"/>
    <mergeCell ref="AB15:AC15"/>
    <mergeCell ref="A14:J14"/>
    <mergeCell ref="K14:L14"/>
    <mergeCell ref="M14:N14"/>
    <mergeCell ref="O14:Q14"/>
    <mergeCell ref="R14:T14"/>
    <mergeCell ref="U14:W14"/>
    <mergeCell ref="X14:Y14"/>
    <mergeCell ref="Z14:AA14"/>
    <mergeCell ref="AB14:AC14"/>
    <mergeCell ref="A13:J13"/>
    <mergeCell ref="K13:L13"/>
    <mergeCell ref="M13:N13"/>
    <mergeCell ref="O13:Q13"/>
    <mergeCell ref="R13:T13"/>
    <mergeCell ref="U13:W13"/>
    <mergeCell ref="X13:Y13"/>
    <mergeCell ref="Z13:AA13"/>
    <mergeCell ref="AB13:AC13"/>
    <mergeCell ref="A12:J12"/>
    <mergeCell ref="K12:L12"/>
    <mergeCell ref="M12:N12"/>
    <mergeCell ref="O12:Q12"/>
    <mergeCell ref="R12:T12"/>
    <mergeCell ref="U12:W12"/>
    <mergeCell ref="X12:Y12"/>
    <mergeCell ref="Z12:AA12"/>
    <mergeCell ref="AB12:AC12"/>
    <mergeCell ref="AB8:AC10"/>
    <mergeCell ref="A9:J10"/>
    <mergeCell ref="U9:W10"/>
    <mergeCell ref="X9:Y10"/>
    <mergeCell ref="Z9:AA10"/>
    <mergeCell ref="A11:J11"/>
    <mergeCell ref="K11:L11"/>
    <mergeCell ref="M11:N11"/>
    <mergeCell ref="O11:Q11"/>
    <mergeCell ref="R11:T11"/>
    <mergeCell ref="A8:J8"/>
    <mergeCell ref="K8:L10"/>
    <mergeCell ref="M8:N10"/>
    <mergeCell ref="O8:Q10"/>
    <mergeCell ref="R8:T10"/>
    <mergeCell ref="U8:AA8"/>
    <mergeCell ref="U11:W11"/>
    <mergeCell ref="X11:Y11"/>
    <mergeCell ref="Z11:AA11"/>
    <mergeCell ref="AB11:AC11"/>
    <mergeCell ref="Y4:AA5"/>
    <mergeCell ref="AB4:AC5"/>
    <mergeCell ref="A6:G6"/>
    <mergeCell ref="H6:N6"/>
    <mergeCell ref="T6:Y6"/>
    <mergeCell ref="Z6:AC6"/>
    <mergeCell ref="A2:AC2"/>
    <mergeCell ref="A3:W3"/>
    <mergeCell ref="Y3:Z3"/>
    <mergeCell ref="A4:D4"/>
    <mergeCell ref="E4:H4"/>
    <mergeCell ref="I4:J4"/>
    <mergeCell ref="K4:L4"/>
    <mergeCell ref="M4:N4"/>
    <mergeCell ref="O4:R4"/>
    <mergeCell ref="T4:X5"/>
  </mergeCells>
  <printOptions horizontalCentered="1"/>
  <pageMargins left="0.25" right="0.25" top="0.25" bottom="0.25" header="0.25" footer="0.25"/>
  <pageSetup paperSize="9" scale="63" orientation="landscape" r:id="rId1"/>
  <rowBreaks count="4" manualBreakCount="4">
    <brk id="40" max="24" man="1"/>
    <brk id="79" max="24" man="1"/>
    <brk id="118" max="24" man="1"/>
    <brk id="157" max="2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8000"/>
  </sheetPr>
  <dimension ref="A1:AF196"/>
  <sheetViews>
    <sheetView view="pageBreakPreview" topLeftCell="A148" zoomScale="85" zoomScaleNormal="100" zoomScaleSheetLayoutView="85" workbookViewId="0">
      <selection activeCell="Y160" sqref="Y160:AA161"/>
    </sheetView>
  </sheetViews>
  <sheetFormatPr defaultColWidth="9.109375" defaultRowHeight="14.4" x14ac:dyDescent="0.3"/>
  <cols>
    <col min="1" max="1" width="7.88671875" style="1" customWidth="1"/>
    <col min="2" max="2" width="11.44140625" style="1" customWidth="1"/>
    <col min="3" max="3" width="11" style="1" customWidth="1"/>
    <col min="4" max="7" width="7.33203125" style="1" customWidth="1"/>
    <col min="8" max="8" width="7.6640625" style="1" customWidth="1"/>
    <col min="9" max="9" width="8.33203125" style="1" customWidth="1"/>
    <col min="10" max="10" width="7.33203125" style="1" customWidth="1"/>
    <col min="11" max="11" width="9.6640625" style="1" customWidth="1"/>
    <col min="12" max="12" width="8" style="1" customWidth="1"/>
    <col min="13" max="13" width="7.33203125" style="1" customWidth="1"/>
    <col min="14" max="14" width="6.88671875" style="1" customWidth="1"/>
    <col min="15" max="19" width="5.33203125" style="1" customWidth="1"/>
    <col min="20" max="20" width="6.33203125" style="1" customWidth="1"/>
    <col min="21" max="22" width="5.33203125" style="1" customWidth="1"/>
    <col min="23" max="29" width="7.33203125" style="1" customWidth="1"/>
    <col min="30" max="16384" width="9.109375" style="1"/>
  </cols>
  <sheetData>
    <row r="1" spans="1:32" ht="7.5" customHeight="1" x14ac:dyDescent="0.3"/>
    <row r="2" spans="1:32" ht="18" customHeight="1" x14ac:dyDescent="0.45">
      <c r="A2" s="158" t="s">
        <v>15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</row>
    <row r="3" spans="1:32" ht="21" customHeight="1" x14ac:dyDescent="0.3">
      <c r="A3" s="159" t="s">
        <v>16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2"/>
      <c r="Y3" s="160" t="s">
        <v>17</v>
      </c>
      <c r="Z3" s="160"/>
      <c r="AA3" s="2"/>
      <c r="AB3" s="2"/>
      <c r="AC3" s="2"/>
    </row>
    <row r="4" spans="1:32" ht="30.9" customHeight="1" x14ac:dyDescent="0.3">
      <c r="A4" s="326" t="s">
        <v>18</v>
      </c>
      <c r="B4" s="326"/>
      <c r="C4" s="326"/>
      <c r="D4" s="326"/>
      <c r="E4" s="327" t="s">
        <v>100</v>
      </c>
      <c r="F4" s="327"/>
      <c r="G4" s="327"/>
      <c r="H4" s="327"/>
      <c r="I4" s="328" t="s">
        <v>20</v>
      </c>
      <c r="J4" s="328"/>
      <c r="K4" s="329" t="s">
        <v>85</v>
      </c>
      <c r="L4" s="329"/>
      <c r="M4" s="328" t="s">
        <v>21</v>
      </c>
      <c r="N4" s="328"/>
      <c r="O4" s="165" t="s">
        <v>101</v>
      </c>
      <c r="P4" s="165"/>
      <c r="Q4" s="165"/>
      <c r="R4" s="165"/>
      <c r="S4" s="43"/>
      <c r="T4" s="166" t="s">
        <v>22</v>
      </c>
      <c r="U4" s="166"/>
      <c r="V4" s="166"/>
      <c r="W4" s="166"/>
      <c r="X4" s="166"/>
      <c r="Y4" s="152" t="s">
        <v>23</v>
      </c>
      <c r="Z4" s="152"/>
      <c r="AA4" s="152"/>
      <c r="AB4" s="153" t="s">
        <v>83</v>
      </c>
      <c r="AC4" s="153"/>
    </row>
    <row r="5" spans="1:32" ht="5.25" customHeight="1" x14ac:dyDescent="0.3">
      <c r="T5" s="166"/>
      <c r="U5" s="166"/>
      <c r="V5" s="166"/>
      <c r="W5" s="166"/>
      <c r="X5" s="166"/>
      <c r="Y5" s="152"/>
      <c r="Z5" s="152"/>
      <c r="AA5" s="152"/>
      <c r="AB5" s="153"/>
      <c r="AC5" s="153"/>
    </row>
    <row r="6" spans="1:32" ht="15.75" customHeight="1" x14ac:dyDescent="0.3">
      <c r="A6" s="324" t="s">
        <v>24</v>
      </c>
      <c r="B6" s="324"/>
      <c r="C6" s="324"/>
      <c r="D6" s="324"/>
      <c r="E6" s="324"/>
      <c r="F6" s="324"/>
      <c r="G6" s="324"/>
      <c r="H6" s="347" t="s">
        <v>25</v>
      </c>
      <c r="I6" s="347"/>
      <c r="J6" s="347"/>
      <c r="K6" s="347"/>
      <c r="L6" s="347"/>
      <c r="M6" s="347"/>
      <c r="N6" s="347"/>
      <c r="O6" s="44"/>
      <c r="P6" s="44"/>
      <c r="T6" s="156" t="s">
        <v>26</v>
      </c>
      <c r="U6" s="156"/>
      <c r="V6" s="156"/>
      <c r="W6" s="156"/>
      <c r="X6" s="156"/>
      <c r="Y6" s="156"/>
      <c r="Z6" s="265" t="s">
        <v>27</v>
      </c>
      <c r="AA6" s="265"/>
      <c r="AB6" s="265"/>
      <c r="AC6" s="265"/>
      <c r="AE6" s="1" t="s">
        <v>28</v>
      </c>
      <c r="AF6" s="1" t="s">
        <v>28</v>
      </c>
    </row>
    <row r="7" spans="1:32" ht="7.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32" ht="15" customHeight="1" x14ac:dyDescent="0.3">
      <c r="A8" s="284" t="s">
        <v>29</v>
      </c>
      <c r="B8" s="285"/>
      <c r="C8" s="285"/>
      <c r="D8" s="285"/>
      <c r="E8" s="285"/>
      <c r="F8" s="285"/>
      <c r="G8" s="285"/>
      <c r="H8" s="285"/>
      <c r="I8" s="285"/>
      <c r="J8" s="286"/>
      <c r="K8" s="273" t="s">
        <v>30</v>
      </c>
      <c r="L8" s="274"/>
      <c r="M8" s="273" t="s">
        <v>31</v>
      </c>
      <c r="N8" s="274"/>
      <c r="O8" s="287" t="s">
        <v>32</v>
      </c>
      <c r="P8" s="288"/>
      <c r="Q8" s="289"/>
      <c r="R8" s="273" t="s">
        <v>33</v>
      </c>
      <c r="S8" s="296"/>
      <c r="T8" s="274"/>
      <c r="U8" s="224" t="s">
        <v>34</v>
      </c>
      <c r="V8" s="225"/>
      <c r="W8" s="225"/>
      <c r="X8" s="225"/>
      <c r="Y8" s="225"/>
      <c r="Z8" s="225"/>
      <c r="AA8" s="226"/>
      <c r="AB8" s="273" t="s">
        <v>7</v>
      </c>
      <c r="AC8" s="274"/>
    </row>
    <row r="9" spans="1:32" ht="23.25" customHeight="1" x14ac:dyDescent="0.3">
      <c r="A9" s="169" t="s">
        <v>35</v>
      </c>
      <c r="B9" s="173"/>
      <c r="C9" s="173"/>
      <c r="D9" s="173"/>
      <c r="E9" s="173"/>
      <c r="F9" s="173"/>
      <c r="G9" s="173"/>
      <c r="H9" s="173"/>
      <c r="I9" s="173"/>
      <c r="J9" s="170"/>
      <c r="K9" s="275"/>
      <c r="L9" s="276"/>
      <c r="M9" s="275"/>
      <c r="N9" s="276"/>
      <c r="O9" s="290"/>
      <c r="P9" s="291"/>
      <c r="Q9" s="292"/>
      <c r="R9" s="275"/>
      <c r="S9" s="297"/>
      <c r="T9" s="276"/>
      <c r="U9" s="279" t="s">
        <v>36</v>
      </c>
      <c r="V9" s="279"/>
      <c r="W9" s="279"/>
      <c r="X9" s="279" t="s">
        <v>37</v>
      </c>
      <c r="Y9" s="279"/>
      <c r="Z9" s="279" t="s">
        <v>38</v>
      </c>
      <c r="AA9" s="279"/>
      <c r="AB9" s="275"/>
      <c r="AC9" s="276"/>
    </row>
    <row r="10" spans="1:32" x14ac:dyDescent="0.3">
      <c r="A10" s="171"/>
      <c r="B10" s="174"/>
      <c r="C10" s="174"/>
      <c r="D10" s="174"/>
      <c r="E10" s="174"/>
      <c r="F10" s="174"/>
      <c r="G10" s="174"/>
      <c r="H10" s="174"/>
      <c r="I10" s="174"/>
      <c r="J10" s="172"/>
      <c r="K10" s="277"/>
      <c r="L10" s="278"/>
      <c r="M10" s="277"/>
      <c r="N10" s="278"/>
      <c r="O10" s="293"/>
      <c r="P10" s="294"/>
      <c r="Q10" s="295"/>
      <c r="R10" s="277"/>
      <c r="S10" s="298"/>
      <c r="T10" s="278"/>
      <c r="U10" s="280"/>
      <c r="V10" s="280"/>
      <c r="W10" s="280"/>
      <c r="X10" s="280"/>
      <c r="Y10" s="280"/>
      <c r="Z10" s="280"/>
      <c r="AA10" s="280"/>
      <c r="AB10" s="277"/>
      <c r="AC10" s="278"/>
    </row>
    <row r="11" spans="1:32" ht="24.9" customHeight="1" x14ac:dyDescent="0.3">
      <c r="A11" s="281" t="s">
        <v>39</v>
      </c>
      <c r="B11" s="282"/>
      <c r="C11" s="282"/>
      <c r="D11" s="282"/>
      <c r="E11" s="282"/>
      <c r="F11" s="282"/>
      <c r="G11" s="282"/>
      <c r="H11" s="282"/>
      <c r="I11" s="282"/>
      <c r="J11" s="283"/>
      <c r="K11" s="224">
        <v>80</v>
      </c>
      <c r="L11" s="226"/>
      <c r="M11" s="224">
        <v>0</v>
      </c>
      <c r="N11" s="226"/>
      <c r="O11" s="224">
        <v>0</v>
      </c>
      <c r="P11" s="225"/>
      <c r="Q11" s="226"/>
      <c r="R11" s="224">
        <v>80</v>
      </c>
      <c r="S11" s="225"/>
      <c r="T11" s="226"/>
      <c r="U11" s="224">
        <v>0</v>
      </c>
      <c r="V11" s="225"/>
      <c r="W11" s="226"/>
      <c r="X11" s="224">
        <v>0</v>
      </c>
      <c r="Y11" s="226"/>
      <c r="Z11" s="224">
        <v>0</v>
      </c>
      <c r="AA11" s="226"/>
      <c r="AB11" s="224">
        <v>80</v>
      </c>
      <c r="AC11" s="226"/>
    </row>
    <row r="12" spans="1:32" ht="24.9" customHeight="1" x14ac:dyDescent="0.3">
      <c r="A12" s="281" t="s">
        <v>40</v>
      </c>
      <c r="B12" s="282"/>
      <c r="C12" s="282"/>
      <c r="D12" s="282"/>
      <c r="E12" s="282"/>
      <c r="F12" s="282"/>
      <c r="G12" s="282"/>
      <c r="H12" s="282"/>
      <c r="I12" s="282"/>
      <c r="J12" s="283"/>
      <c r="K12" s="224">
        <v>474</v>
      </c>
      <c r="L12" s="226"/>
      <c r="M12" s="224">
        <v>1</v>
      </c>
      <c r="N12" s="226"/>
      <c r="O12" s="224">
        <v>0</v>
      </c>
      <c r="P12" s="225"/>
      <c r="Q12" s="226"/>
      <c r="R12" s="224">
        <v>475</v>
      </c>
      <c r="S12" s="225"/>
      <c r="T12" s="226"/>
      <c r="U12" s="224">
        <v>0</v>
      </c>
      <c r="V12" s="225"/>
      <c r="W12" s="226"/>
      <c r="X12" s="224">
        <v>0</v>
      </c>
      <c r="Y12" s="226"/>
      <c r="Z12" s="224">
        <v>1</v>
      </c>
      <c r="AA12" s="226"/>
      <c r="AB12" s="224">
        <v>476</v>
      </c>
      <c r="AC12" s="226"/>
    </row>
    <row r="13" spans="1:32" ht="24.9" customHeight="1" x14ac:dyDescent="0.3">
      <c r="A13" s="281" t="s">
        <v>41</v>
      </c>
      <c r="B13" s="282"/>
      <c r="C13" s="282"/>
      <c r="D13" s="282"/>
      <c r="E13" s="282"/>
      <c r="F13" s="282"/>
      <c r="G13" s="282"/>
      <c r="H13" s="282"/>
      <c r="I13" s="282"/>
      <c r="J13" s="283"/>
      <c r="K13" s="224">
        <v>1</v>
      </c>
      <c r="L13" s="226"/>
      <c r="M13" s="224">
        <v>0</v>
      </c>
      <c r="N13" s="226"/>
      <c r="O13" s="224">
        <v>0</v>
      </c>
      <c r="P13" s="225"/>
      <c r="Q13" s="226"/>
      <c r="R13" s="224">
        <v>1</v>
      </c>
      <c r="S13" s="225"/>
      <c r="T13" s="226"/>
      <c r="U13" s="224">
        <v>0</v>
      </c>
      <c r="V13" s="225"/>
      <c r="W13" s="226"/>
      <c r="X13" s="224">
        <v>0</v>
      </c>
      <c r="Y13" s="226"/>
      <c r="Z13" s="224">
        <v>0</v>
      </c>
      <c r="AA13" s="226"/>
      <c r="AB13" s="224">
        <v>1</v>
      </c>
      <c r="AC13" s="226"/>
    </row>
    <row r="14" spans="1:32" ht="24.9" customHeight="1" x14ac:dyDescent="0.3">
      <c r="A14" s="281" t="s">
        <v>42</v>
      </c>
      <c r="B14" s="282"/>
      <c r="C14" s="282"/>
      <c r="D14" s="282"/>
      <c r="E14" s="282"/>
      <c r="F14" s="282"/>
      <c r="G14" s="282"/>
      <c r="H14" s="282"/>
      <c r="I14" s="282"/>
      <c r="J14" s="283"/>
      <c r="K14" s="224">
        <v>198</v>
      </c>
      <c r="L14" s="226"/>
      <c r="M14" s="224">
        <v>0</v>
      </c>
      <c r="N14" s="226"/>
      <c r="O14" s="224">
        <v>0</v>
      </c>
      <c r="P14" s="225"/>
      <c r="Q14" s="226"/>
      <c r="R14" s="224">
        <v>198</v>
      </c>
      <c r="S14" s="225"/>
      <c r="T14" s="226"/>
      <c r="U14" s="224">
        <v>0</v>
      </c>
      <c r="V14" s="225"/>
      <c r="W14" s="226"/>
      <c r="X14" s="224">
        <v>0</v>
      </c>
      <c r="Y14" s="226"/>
      <c r="Z14" s="224">
        <v>0</v>
      </c>
      <c r="AA14" s="226"/>
      <c r="AB14" s="224">
        <v>198</v>
      </c>
      <c r="AC14" s="226"/>
    </row>
    <row r="15" spans="1:32" ht="24.9" customHeight="1" x14ac:dyDescent="0.3">
      <c r="A15" s="281" t="s">
        <v>7</v>
      </c>
      <c r="B15" s="282"/>
      <c r="C15" s="282"/>
      <c r="D15" s="282"/>
      <c r="E15" s="282"/>
      <c r="F15" s="282"/>
      <c r="G15" s="282"/>
      <c r="H15" s="282"/>
      <c r="I15" s="282"/>
      <c r="J15" s="283"/>
      <c r="K15" s="224">
        <v>753</v>
      </c>
      <c r="L15" s="226"/>
      <c r="M15" s="224">
        <v>1</v>
      </c>
      <c r="N15" s="226"/>
      <c r="O15" s="224">
        <v>0</v>
      </c>
      <c r="P15" s="225"/>
      <c r="Q15" s="226"/>
      <c r="R15" s="224">
        <v>754</v>
      </c>
      <c r="S15" s="225"/>
      <c r="T15" s="226"/>
      <c r="U15" s="224">
        <v>0</v>
      </c>
      <c r="V15" s="225"/>
      <c r="W15" s="226"/>
      <c r="X15" s="224">
        <v>0</v>
      </c>
      <c r="Y15" s="226"/>
      <c r="Z15" s="224">
        <v>1</v>
      </c>
      <c r="AA15" s="226"/>
      <c r="AB15" s="224">
        <v>755</v>
      </c>
      <c r="AC15" s="226"/>
    </row>
    <row r="16" spans="1:32" ht="15.6" x14ac:dyDescent="0.3">
      <c r="A16" s="45" t="s">
        <v>43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7"/>
      <c r="V16" s="47"/>
      <c r="W16" s="47"/>
      <c r="X16" s="47"/>
      <c r="Y16" s="47"/>
      <c r="Z16" s="47"/>
      <c r="AA16" s="47"/>
      <c r="AB16" s="47"/>
      <c r="AC16" s="4"/>
    </row>
    <row r="17" spans="1:32" ht="21.75" customHeight="1" x14ac:dyDescent="0.3">
      <c r="A17" s="205"/>
      <c r="B17" s="206"/>
      <c r="C17" s="206"/>
      <c r="D17" s="206"/>
      <c r="E17" s="206"/>
      <c r="F17" s="206"/>
      <c r="G17" s="206"/>
      <c r="H17" s="206"/>
      <c r="I17" s="206"/>
      <c r="J17" s="207"/>
      <c r="K17" s="224" t="s">
        <v>0</v>
      </c>
      <c r="L17" s="226"/>
      <c r="M17" s="305" t="s">
        <v>1</v>
      </c>
      <c r="N17" s="306"/>
      <c r="O17" s="301" t="s">
        <v>2</v>
      </c>
      <c r="P17" s="302"/>
      <c r="Q17" s="301" t="s">
        <v>3</v>
      </c>
      <c r="R17" s="302"/>
      <c r="S17" s="301" t="s">
        <v>4</v>
      </c>
      <c r="T17" s="302"/>
      <c r="U17" s="301" t="s">
        <v>5</v>
      </c>
      <c r="V17" s="302"/>
      <c r="W17" s="301" t="s">
        <v>6</v>
      </c>
      <c r="X17" s="302"/>
      <c r="Y17" s="301" t="s">
        <v>44</v>
      </c>
      <c r="Z17" s="302"/>
      <c r="AA17" s="301" t="s">
        <v>7</v>
      </c>
      <c r="AB17" s="302"/>
      <c r="AC17" s="303" t="s">
        <v>86</v>
      </c>
      <c r="AD17" s="5"/>
      <c r="AE17" s="6"/>
      <c r="AF17" s="6"/>
    </row>
    <row r="18" spans="1:32" x14ac:dyDescent="0.3">
      <c r="A18" s="208"/>
      <c r="B18" s="209"/>
      <c r="C18" s="209"/>
      <c r="D18" s="209"/>
      <c r="E18" s="209"/>
      <c r="F18" s="209"/>
      <c r="G18" s="209"/>
      <c r="H18" s="209"/>
      <c r="I18" s="209"/>
      <c r="J18" s="210"/>
      <c r="K18" s="7" t="s">
        <v>9</v>
      </c>
      <c r="L18" s="7" t="s">
        <v>10</v>
      </c>
      <c r="M18" s="7" t="s">
        <v>9</v>
      </c>
      <c r="N18" s="7" t="s">
        <v>10</v>
      </c>
      <c r="O18" s="7" t="s">
        <v>9</v>
      </c>
      <c r="P18" s="7" t="s">
        <v>10</v>
      </c>
      <c r="Q18" s="7" t="s">
        <v>9</v>
      </c>
      <c r="R18" s="7" t="s">
        <v>10</v>
      </c>
      <c r="S18" s="7" t="s">
        <v>9</v>
      </c>
      <c r="T18" s="7" t="s">
        <v>10</v>
      </c>
      <c r="U18" s="7" t="s">
        <v>9</v>
      </c>
      <c r="V18" s="7" t="s">
        <v>10</v>
      </c>
      <c r="W18" s="7" t="s">
        <v>9</v>
      </c>
      <c r="X18" s="7" t="s">
        <v>10</v>
      </c>
      <c r="Y18" s="7" t="s">
        <v>9</v>
      </c>
      <c r="Z18" s="7" t="s">
        <v>10</v>
      </c>
      <c r="AA18" s="7" t="s">
        <v>9</v>
      </c>
      <c r="AB18" s="7" t="s">
        <v>10</v>
      </c>
      <c r="AC18" s="304"/>
    </row>
    <row r="19" spans="1:32" ht="24.9" customHeight="1" x14ac:dyDescent="0.3">
      <c r="A19" s="281" t="s">
        <v>39</v>
      </c>
      <c r="B19" s="282"/>
      <c r="C19" s="282"/>
      <c r="D19" s="282"/>
      <c r="E19" s="282"/>
      <c r="F19" s="282"/>
      <c r="G19" s="282"/>
      <c r="H19" s="282"/>
      <c r="I19" s="282"/>
      <c r="J19" s="283"/>
      <c r="K19" s="7">
        <v>0</v>
      </c>
      <c r="L19" s="7">
        <v>0</v>
      </c>
      <c r="M19" s="7">
        <v>1</v>
      </c>
      <c r="N19" s="7">
        <v>1</v>
      </c>
      <c r="O19" s="7">
        <v>6</v>
      </c>
      <c r="P19" s="7">
        <v>12</v>
      </c>
      <c r="Q19" s="7">
        <v>7</v>
      </c>
      <c r="R19" s="7">
        <v>9</v>
      </c>
      <c r="S19" s="7">
        <v>4</v>
      </c>
      <c r="T19" s="7">
        <v>4</v>
      </c>
      <c r="U19" s="7">
        <v>3</v>
      </c>
      <c r="V19" s="7">
        <v>5</v>
      </c>
      <c r="W19" s="7">
        <v>3</v>
      </c>
      <c r="X19" s="7">
        <v>4</v>
      </c>
      <c r="Y19" s="7">
        <v>12</v>
      </c>
      <c r="Z19" s="7">
        <v>9</v>
      </c>
      <c r="AA19" s="7">
        <v>36</v>
      </c>
      <c r="AB19" s="7">
        <v>44</v>
      </c>
      <c r="AC19" s="7">
        <v>80</v>
      </c>
    </row>
    <row r="20" spans="1:32" ht="24.9" customHeight="1" x14ac:dyDescent="0.3">
      <c r="A20" s="281" t="s">
        <v>40</v>
      </c>
      <c r="B20" s="282"/>
      <c r="C20" s="282"/>
      <c r="D20" s="282"/>
      <c r="E20" s="282"/>
      <c r="F20" s="282"/>
      <c r="G20" s="282"/>
      <c r="H20" s="282"/>
      <c r="I20" s="282"/>
      <c r="J20" s="283"/>
      <c r="K20" s="7">
        <v>138</v>
      </c>
      <c r="L20" s="7">
        <v>120</v>
      </c>
      <c r="M20" s="7">
        <v>31</v>
      </c>
      <c r="N20" s="7">
        <v>35</v>
      </c>
      <c r="O20" s="7">
        <v>21</v>
      </c>
      <c r="P20" s="7">
        <v>14</v>
      </c>
      <c r="Q20" s="7">
        <v>18</v>
      </c>
      <c r="R20" s="7">
        <v>18</v>
      </c>
      <c r="S20" s="7">
        <v>11</v>
      </c>
      <c r="T20" s="7">
        <v>16</v>
      </c>
      <c r="U20" s="7">
        <v>9</v>
      </c>
      <c r="V20" s="7">
        <v>7</v>
      </c>
      <c r="W20" s="7">
        <v>9</v>
      </c>
      <c r="X20" s="7">
        <v>4</v>
      </c>
      <c r="Y20" s="7">
        <v>14</v>
      </c>
      <c r="Z20" s="7">
        <v>10</v>
      </c>
      <c r="AA20" s="7">
        <v>251</v>
      </c>
      <c r="AB20" s="7">
        <v>224</v>
      </c>
      <c r="AC20" s="7">
        <v>475</v>
      </c>
    </row>
    <row r="21" spans="1:32" ht="24.9" customHeight="1" x14ac:dyDescent="0.3">
      <c r="A21" s="281" t="s">
        <v>41</v>
      </c>
      <c r="B21" s="282"/>
      <c r="C21" s="282"/>
      <c r="D21" s="282"/>
      <c r="E21" s="282"/>
      <c r="F21" s="282"/>
      <c r="G21" s="282"/>
      <c r="H21" s="282"/>
      <c r="I21" s="282"/>
      <c r="J21" s="283"/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1</v>
      </c>
      <c r="AA21" s="7">
        <v>0</v>
      </c>
      <c r="AB21" s="7">
        <v>1</v>
      </c>
      <c r="AC21" s="7">
        <v>1</v>
      </c>
    </row>
    <row r="22" spans="1:32" ht="24.9" customHeight="1" x14ac:dyDescent="0.3">
      <c r="A22" s="281" t="s">
        <v>42</v>
      </c>
      <c r="B22" s="282"/>
      <c r="C22" s="282"/>
      <c r="D22" s="282"/>
      <c r="E22" s="282"/>
      <c r="F22" s="282"/>
      <c r="G22" s="282"/>
      <c r="H22" s="282"/>
      <c r="I22" s="282"/>
      <c r="J22" s="283"/>
      <c r="K22" s="7">
        <v>23</v>
      </c>
      <c r="L22" s="7">
        <v>15</v>
      </c>
      <c r="M22" s="7">
        <v>12</v>
      </c>
      <c r="N22" s="7">
        <v>11</v>
      </c>
      <c r="O22" s="7">
        <v>34</v>
      </c>
      <c r="P22" s="7">
        <v>18</v>
      </c>
      <c r="Q22" s="7">
        <v>14</v>
      </c>
      <c r="R22" s="7">
        <v>14</v>
      </c>
      <c r="S22" s="7">
        <v>14</v>
      </c>
      <c r="T22" s="7">
        <v>6</v>
      </c>
      <c r="U22" s="7">
        <v>11</v>
      </c>
      <c r="V22" s="7">
        <v>5</v>
      </c>
      <c r="W22" s="7">
        <v>5</v>
      </c>
      <c r="X22" s="7">
        <v>2</v>
      </c>
      <c r="Y22" s="7">
        <v>7</v>
      </c>
      <c r="Z22" s="7">
        <v>7</v>
      </c>
      <c r="AA22" s="7">
        <v>120</v>
      </c>
      <c r="AB22" s="7">
        <v>78</v>
      </c>
      <c r="AC22" s="7">
        <v>198</v>
      </c>
    </row>
    <row r="23" spans="1:32" ht="24.9" customHeight="1" x14ac:dyDescent="0.3">
      <c r="A23" s="224" t="s">
        <v>7</v>
      </c>
      <c r="B23" s="225"/>
      <c r="C23" s="225"/>
      <c r="D23" s="225"/>
      <c r="E23" s="225"/>
      <c r="F23" s="225"/>
      <c r="G23" s="225"/>
      <c r="H23" s="225"/>
      <c r="I23" s="225"/>
      <c r="J23" s="226"/>
      <c r="K23" s="7">
        <v>161</v>
      </c>
      <c r="L23" s="7">
        <v>135</v>
      </c>
      <c r="M23" s="7">
        <v>44</v>
      </c>
      <c r="N23" s="7">
        <v>47</v>
      </c>
      <c r="O23" s="7">
        <v>61</v>
      </c>
      <c r="P23" s="7">
        <v>44</v>
      </c>
      <c r="Q23" s="7">
        <v>39</v>
      </c>
      <c r="R23" s="7">
        <v>41</v>
      </c>
      <c r="S23" s="7">
        <v>29</v>
      </c>
      <c r="T23" s="7">
        <v>26</v>
      </c>
      <c r="U23" s="7">
        <v>23</v>
      </c>
      <c r="V23" s="7">
        <v>17</v>
      </c>
      <c r="W23" s="7">
        <v>17</v>
      </c>
      <c r="X23" s="7">
        <v>10</v>
      </c>
      <c r="Y23" s="7">
        <v>33</v>
      </c>
      <c r="Z23" s="7">
        <v>27</v>
      </c>
      <c r="AA23" s="7">
        <v>407</v>
      </c>
      <c r="AB23" s="7">
        <v>347</v>
      </c>
      <c r="AC23" s="7">
        <v>754</v>
      </c>
    </row>
    <row r="24" spans="1:32" ht="6.75" customHeight="1" x14ac:dyDescent="0.3">
      <c r="A24" s="8"/>
      <c r="B24" s="9"/>
      <c r="C24" s="9"/>
      <c r="D24" s="9"/>
      <c r="E24" s="9"/>
      <c r="F24" s="10"/>
      <c r="G24" s="11"/>
      <c r="H24" s="11"/>
      <c r="I24" s="11"/>
      <c r="J24" s="11"/>
      <c r="K24" s="11"/>
      <c r="L24" s="11"/>
      <c r="M24" s="50"/>
      <c r="N24" s="11"/>
      <c r="O24" s="227"/>
      <c r="P24" s="228"/>
      <c r="Q24" s="12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3"/>
    </row>
    <row r="25" spans="1:32" ht="18" customHeight="1" x14ac:dyDescent="0.3">
      <c r="A25" s="14" t="s">
        <v>45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6"/>
      <c r="M25" s="17"/>
      <c r="N25" s="14" t="s">
        <v>46</v>
      </c>
      <c r="O25" s="15"/>
      <c r="P25" s="15"/>
      <c r="Q25" s="15"/>
      <c r="R25" s="15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9"/>
    </row>
    <row r="26" spans="1:32" ht="42.75" customHeight="1" x14ac:dyDescent="0.3">
      <c r="A26" s="307" t="s">
        <v>47</v>
      </c>
      <c r="B26" s="312" t="s">
        <v>48</v>
      </c>
      <c r="C26" s="313"/>
      <c r="D26" s="314" t="s">
        <v>49</v>
      </c>
      <c r="E26" s="315"/>
      <c r="F26" s="316"/>
      <c r="G26" s="314" t="s">
        <v>50</v>
      </c>
      <c r="H26" s="315"/>
      <c r="I26" s="315"/>
      <c r="J26" s="316"/>
      <c r="K26" s="307" t="s">
        <v>51</v>
      </c>
      <c r="L26" s="307" t="s">
        <v>52</v>
      </c>
      <c r="M26" s="20"/>
      <c r="N26" s="309" t="s">
        <v>53</v>
      </c>
      <c r="O26" s="310"/>
      <c r="P26" s="311"/>
      <c r="Q26" s="309" t="s">
        <v>54</v>
      </c>
      <c r="R26" s="310"/>
      <c r="S26" s="311"/>
      <c r="T26" s="309" t="s">
        <v>55</v>
      </c>
      <c r="U26" s="310"/>
      <c r="V26" s="310"/>
      <c r="W26" s="310"/>
      <c r="X26" s="310"/>
      <c r="Y26" s="310"/>
      <c r="Z26" s="310"/>
      <c r="AA26" s="310"/>
      <c r="AB26" s="310"/>
      <c r="AC26" s="311"/>
    </row>
    <row r="27" spans="1:32" ht="48" customHeight="1" x14ac:dyDescent="0.3">
      <c r="A27" s="308"/>
      <c r="B27" s="21" t="s">
        <v>7</v>
      </c>
      <c r="C27" s="22" t="s">
        <v>87</v>
      </c>
      <c r="D27" s="22" t="s">
        <v>56</v>
      </c>
      <c r="E27" s="22" t="s">
        <v>88</v>
      </c>
      <c r="F27" s="22" t="s">
        <v>89</v>
      </c>
      <c r="G27" s="23" t="s">
        <v>56</v>
      </c>
      <c r="H27" s="22" t="s">
        <v>90</v>
      </c>
      <c r="I27" s="23" t="s">
        <v>57</v>
      </c>
      <c r="J27" s="23" t="s">
        <v>58</v>
      </c>
      <c r="K27" s="308"/>
      <c r="L27" s="308"/>
      <c r="M27" s="20"/>
      <c r="N27" s="309">
        <v>0</v>
      </c>
      <c r="O27" s="310"/>
      <c r="P27" s="311"/>
      <c r="Q27" s="309">
        <v>0</v>
      </c>
      <c r="R27" s="310"/>
      <c r="S27" s="311"/>
      <c r="T27" s="309">
        <v>0</v>
      </c>
      <c r="U27" s="310"/>
      <c r="V27" s="310"/>
      <c r="W27" s="310"/>
      <c r="X27" s="310"/>
      <c r="Y27" s="310"/>
      <c r="Z27" s="310"/>
      <c r="AA27" s="310"/>
      <c r="AB27" s="310"/>
      <c r="AC27" s="311"/>
    </row>
    <row r="28" spans="1:32" ht="38.25" customHeight="1" x14ac:dyDescent="0.3">
      <c r="A28" s="270">
        <v>188323</v>
      </c>
      <c r="B28" s="270">
        <v>2077</v>
      </c>
      <c r="C28" s="270">
        <v>1144</v>
      </c>
      <c r="D28" s="270">
        <v>626</v>
      </c>
      <c r="E28" s="270">
        <v>542</v>
      </c>
      <c r="F28" s="270">
        <v>938</v>
      </c>
      <c r="G28" s="270">
        <v>72</v>
      </c>
      <c r="H28" s="270">
        <v>2</v>
      </c>
      <c r="I28" s="270">
        <v>27</v>
      </c>
      <c r="J28" s="270">
        <v>101</v>
      </c>
      <c r="K28" s="270">
        <v>78</v>
      </c>
      <c r="L28" s="270">
        <v>109</v>
      </c>
      <c r="M28" s="20"/>
      <c r="N28" s="309" t="s">
        <v>59</v>
      </c>
      <c r="O28" s="310"/>
      <c r="P28" s="311"/>
      <c r="Q28" s="309" t="s">
        <v>60</v>
      </c>
      <c r="R28" s="310"/>
      <c r="S28" s="311"/>
      <c r="T28" s="293" t="s">
        <v>61</v>
      </c>
      <c r="U28" s="294"/>
      <c r="V28" s="294"/>
      <c r="W28" s="295"/>
      <c r="X28" s="293" t="s">
        <v>62</v>
      </c>
      <c r="Y28" s="294"/>
      <c r="Z28" s="294"/>
      <c r="AA28" s="294"/>
      <c r="AB28" s="294"/>
      <c r="AC28" s="295"/>
    </row>
    <row r="29" spans="1:32" ht="19.5" customHeight="1" x14ac:dyDescent="0.3">
      <c r="A29" s="271"/>
      <c r="B29" s="271"/>
      <c r="C29" s="271"/>
      <c r="D29" s="271"/>
      <c r="E29" s="271"/>
      <c r="F29" s="271"/>
      <c r="G29" s="271"/>
      <c r="H29" s="271"/>
      <c r="I29" s="271"/>
      <c r="J29" s="271"/>
      <c r="K29" s="271"/>
      <c r="L29" s="271"/>
      <c r="M29" s="54"/>
      <c r="N29" s="287">
        <v>0</v>
      </c>
      <c r="O29" s="288"/>
      <c r="P29" s="289"/>
      <c r="Q29" s="287">
        <v>0</v>
      </c>
      <c r="R29" s="288"/>
      <c r="S29" s="289"/>
      <c r="T29" s="287">
        <v>0</v>
      </c>
      <c r="U29" s="288"/>
      <c r="V29" s="288"/>
      <c r="W29" s="289"/>
      <c r="X29" s="24"/>
      <c r="Y29" s="309" t="s">
        <v>0</v>
      </c>
      <c r="Z29" s="311"/>
      <c r="AA29" s="25" t="s">
        <v>1</v>
      </c>
      <c r="AB29" s="309" t="s">
        <v>63</v>
      </c>
      <c r="AC29" s="311"/>
    </row>
    <row r="30" spans="1:32" ht="18" customHeight="1" x14ac:dyDescent="0.3">
      <c r="A30" s="271"/>
      <c r="B30" s="271"/>
      <c r="C30" s="271"/>
      <c r="D30" s="271"/>
      <c r="E30" s="271"/>
      <c r="F30" s="271"/>
      <c r="G30" s="271"/>
      <c r="H30" s="271"/>
      <c r="I30" s="271"/>
      <c r="J30" s="271"/>
      <c r="K30" s="271"/>
      <c r="L30" s="271"/>
      <c r="M30" s="54"/>
      <c r="N30" s="290"/>
      <c r="O30" s="291"/>
      <c r="P30" s="292"/>
      <c r="Q30" s="290"/>
      <c r="R30" s="291"/>
      <c r="S30" s="292"/>
      <c r="T30" s="290"/>
      <c r="U30" s="291"/>
      <c r="V30" s="291"/>
      <c r="W30" s="292"/>
      <c r="X30" s="26" t="s">
        <v>64</v>
      </c>
      <c r="Y30" s="224">
        <v>0</v>
      </c>
      <c r="Z30" s="226"/>
      <c r="AA30" s="7">
        <v>0</v>
      </c>
      <c r="AB30" s="224">
        <v>0</v>
      </c>
      <c r="AC30" s="226"/>
    </row>
    <row r="31" spans="1:32" ht="18" customHeight="1" x14ac:dyDescent="0.3">
      <c r="A31" s="271"/>
      <c r="B31" s="271"/>
      <c r="C31" s="271"/>
      <c r="D31" s="271"/>
      <c r="E31" s="271"/>
      <c r="F31" s="271"/>
      <c r="G31" s="271"/>
      <c r="H31" s="271"/>
      <c r="I31" s="271"/>
      <c r="J31" s="271"/>
      <c r="K31" s="271"/>
      <c r="L31" s="271"/>
      <c r="M31" s="54"/>
      <c r="N31" s="290"/>
      <c r="O31" s="291"/>
      <c r="P31" s="292"/>
      <c r="Q31" s="290"/>
      <c r="R31" s="291"/>
      <c r="S31" s="292"/>
      <c r="T31" s="290"/>
      <c r="U31" s="291"/>
      <c r="V31" s="291"/>
      <c r="W31" s="292"/>
      <c r="X31" s="26" t="s">
        <v>65</v>
      </c>
      <c r="Y31" s="224">
        <v>0</v>
      </c>
      <c r="Z31" s="226"/>
      <c r="AA31" s="7">
        <v>0</v>
      </c>
      <c r="AB31" s="224">
        <v>0</v>
      </c>
      <c r="AC31" s="226"/>
    </row>
    <row r="32" spans="1:32" ht="18" customHeight="1" x14ac:dyDescent="0.3">
      <c r="A32" s="272"/>
      <c r="B32" s="272"/>
      <c r="C32" s="272"/>
      <c r="D32" s="272"/>
      <c r="E32" s="272"/>
      <c r="F32" s="272"/>
      <c r="G32" s="272"/>
      <c r="H32" s="272"/>
      <c r="I32" s="272"/>
      <c r="J32" s="272"/>
      <c r="K32" s="272"/>
      <c r="L32" s="272"/>
      <c r="M32" s="54"/>
      <c r="N32" s="293"/>
      <c r="O32" s="294"/>
      <c r="P32" s="295"/>
      <c r="Q32" s="293"/>
      <c r="R32" s="294"/>
      <c r="S32" s="295"/>
      <c r="T32" s="293"/>
      <c r="U32" s="294"/>
      <c r="V32" s="294"/>
      <c r="W32" s="295"/>
      <c r="X32" s="26" t="s">
        <v>66</v>
      </c>
      <c r="Y32" s="224">
        <v>0</v>
      </c>
      <c r="Z32" s="226"/>
      <c r="AA32" s="7">
        <v>0</v>
      </c>
      <c r="AB32" s="224">
        <v>0</v>
      </c>
      <c r="AC32" s="226"/>
    </row>
    <row r="33" spans="1:29" ht="8.25" customHeight="1" x14ac:dyDescent="0.3">
      <c r="A33" s="27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59"/>
      <c r="N33" s="28"/>
      <c r="O33" s="28"/>
      <c r="P33" s="28"/>
      <c r="Q33" s="28"/>
      <c r="R33" s="28"/>
      <c r="S33" s="28"/>
      <c r="T33" s="28"/>
      <c r="U33" s="29"/>
      <c r="V33" s="29"/>
      <c r="W33" s="29"/>
      <c r="X33" s="29"/>
      <c r="Y33" s="29"/>
      <c r="Z33" s="29"/>
      <c r="AA33" s="28"/>
      <c r="AB33" s="28"/>
      <c r="AC33" s="4"/>
    </row>
    <row r="34" spans="1:29" ht="18" customHeight="1" x14ac:dyDescent="0.3">
      <c r="A34" s="14" t="s">
        <v>67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6"/>
      <c r="M34" s="30"/>
      <c r="N34" s="14" t="s">
        <v>68</v>
      </c>
      <c r="O34" s="16"/>
      <c r="P34" s="15"/>
      <c r="Q34" s="31"/>
      <c r="R34" s="15"/>
      <c r="S34" s="15"/>
      <c r="T34" s="15"/>
      <c r="U34" s="15"/>
      <c r="V34" s="15"/>
      <c r="W34" s="15"/>
      <c r="X34" s="15"/>
      <c r="Y34" s="15"/>
      <c r="Z34" s="15"/>
      <c r="AA34" s="18"/>
      <c r="AB34" s="18"/>
      <c r="AC34" s="32"/>
    </row>
    <row r="35" spans="1:29" ht="57" customHeight="1" x14ac:dyDescent="0.3">
      <c r="A35" s="205"/>
      <c r="B35" s="206"/>
      <c r="C35" s="206"/>
      <c r="D35" s="206"/>
      <c r="E35" s="206"/>
      <c r="F35" s="207"/>
      <c r="G35" s="224" t="s">
        <v>11</v>
      </c>
      <c r="H35" s="226"/>
      <c r="I35" s="224" t="s">
        <v>12</v>
      </c>
      <c r="J35" s="226"/>
      <c r="K35" s="33" t="s">
        <v>69</v>
      </c>
      <c r="L35" s="34"/>
      <c r="M35" s="62"/>
      <c r="N35" s="314" t="s">
        <v>70</v>
      </c>
      <c r="O35" s="315"/>
      <c r="P35" s="316"/>
      <c r="Q35" s="314" t="s">
        <v>71</v>
      </c>
      <c r="R35" s="315"/>
      <c r="S35" s="316"/>
      <c r="T35" s="314" t="s">
        <v>72</v>
      </c>
      <c r="U35" s="315"/>
      <c r="V35" s="316"/>
      <c r="W35" s="314" t="s">
        <v>73</v>
      </c>
      <c r="X35" s="315"/>
      <c r="Y35" s="315"/>
      <c r="Z35" s="316"/>
      <c r="AA35" s="314" t="s">
        <v>74</v>
      </c>
      <c r="AB35" s="315"/>
      <c r="AC35" s="316"/>
    </row>
    <row r="36" spans="1:29" ht="13.5" customHeight="1" x14ac:dyDescent="0.3">
      <c r="A36" s="208"/>
      <c r="B36" s="209"/>
      <c r="C36" s="209"/>
      <c r="D36" s="209"/>
      <c r="E36" s="209"/>
      <c r="F36" s="210"/>
      <c r="G36" s="7" t="s">
        <v>75</v>
      </c>
      <c r="H36" s="7" t="s">
        <v>13</v>
      </c>
      <c r="I36" s="7" t="s">
        <v>75</v>
      </c>
      <c r="J36" s="7" t="s">
        <v>13</v>
      </c>
      <c r="K36" s="7" t="s">
        <v>75</v>
      </c>
      <c r="L36" s="7" t="s">
        <v>13</v>
      </c>
      <c r="M36" s="63"/>
      <c r="N36" s="35" t="s">
        <v>0</v>
      </c>
      <c r="O36" s="36" t="s">
        <v>1</v>
      </c>
      <c r="P36" s="36" t="s">
        <v>91</v>
      </c>
      <c r="Q36" s="35" t="s">
        <v>0</v>
      </c>
      <c r="R36" s="36" t="s">
        <v>1</v>
      </c>
      <c r="S36" s="36" t="s">
        <v>91</v>
      </c>
      <c r="T36" s="35" t="s">
        <v>0</v>
      </c>
      <c r="U36" s="36" t="s">
        <v>1</v>
      </c>
      <c r="V36" s="36" t="s">
        <v>91</v>
      </c>
      <c r="W36" s="37"/>
      <c r="X36" s="35" t="s">
        <v>0</v>
      </c>
      <c r="Y36" s="38" t="s">
        <v>1</v>
      </c>
      <c r="Z36" s="39" t="s">
        <v>76</v>
      </c>
      <c r="AA36" s="35" t="s">
        <v>0</v>
      </c>
      <c r="AB36" s="38" t="s">
        <v>1</v>
      </c>
      <c r="AC36" s="39" t="s">
        <v>76</v>
      </c>
    </row>
    <row r="37" spans="1:29" ht="24.9" customHeight="1" x14ac:dyDescent="0.3">
      <c r="A37" s="299" t="s">
        <v>77</v>
      </c>
      <c r="B37" s="318"/>
      <c r="C37" s="318"/>
      <c r="D37" s="318"/>
      <c r="E37" s="318"/>
      <c r="F37" s="300"/>
      <c r="G37" s="7">
        <v>73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63"/>
      <c r="N37" s="321">
        <v>1</v>
      </c>
      <c r="O37" s="321">
        <v>3</v>
      </c>
      <c r="P37" s="321">
        <v>52</v>
      </c>
      <c r="Q37" s="321">
        <v>1</v>
      </c>
      <c r="R37" s="321">
        <v>29</v>
      </c>
      <c r="S37" s="321">
        <v>132</v>
      </c>
      <c r="T37" s="321">
        <v>0</v>
      </c>
      <c r="U37" s="321">
        <v>0</v>
      </c>
      <c r="V37" s="321">
        <v>1</v>
      </c>
      <c r="W37" s="40" t="s">
        <v>64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</row>
    <row r="38" spans="1:29" ht="24.9" customHeight="1" x14ac:dyDescent="0.3">
      <c r="A38" s="299" t="s">
        <v>8</v>
      </c>
      <c r="B38" s="318"/>
      <c r="C38" s="318"/>
      <c r="D38" s="318"/>
      <c r="E38" s="318"/>
      <c r="F38" s="300"/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63"/>
      <c r="N38" s="322"/>
      <c r="O38" s="322"/>
      <c r="P38" s="322"/>
      <c r="Q38" s="322"/>
      <c r="R38" s="322"/>
      <c r="S38" s="322"/>
      <c r="T38" s="322"/>
      <c r="U38" s="322"/>
      <c r="V38" s="322"/>
      <c r="W38" s="40" t="s">
        <v>65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</row>
    <row r="39" spans="1:29" ht="24.9" customHeight="1" x14ac:dyDescent="0.3">
      <c r="A39" s="309" t="s">
        <v>78</v>
      </c>
      <c r="B39" s="310"/>
      <c r="C39" s="310"/>
      <c r="D39" s="310"/>
      <c r="E39" s="310"/>
      <c r="F39" s="311"/>
      <c r="G39" s="7">
        <v>1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63"/>
      <c r="N39" s="322"/>
      <c r="O39" s="322"/>
      <c r="P39" s="322"/>
      <c r="Q39" s="322"/>
      <c r="R39" s="322"/>
      <c r="S39" s="322"/>
      <c r="T39" s="322"/>
      <c r="U39" s="322"/>
      <c r="V39" s="322"/>
      <c r="W39" s="319" t="s">
        <v>66</v>
      </c>
      <c r="X39" s="321">
        <v>0</v>
      </c>
      <c r="Y39" s="321">
        <v>0</v>
      </c>
      <c r="Z39" s="321">
        <v>3</v>
      </c>
      <c r="AA39" s="321">
        <v>0</v>
      </c>
      <c r="AB39" s="321">
        <v>0</v>
      </c>
      <c r="AC39" s="321">
        <v>0</v>
      </c>
    </row>
    <row r="40" spans="1:29" ht="24.9" customHeight="1" x14ac:dyDescent="0.3">
      <c r="A40" s="224" t="s">
        <v>7</v>
      </c>
      <c r="B40" s="225"/>
      <c r="C40" s="225"/>
      <c r="D40" s="225"/>
      <c r="E40" s="225"/>
      <c r="F40" s="226"/>
      <c r="G40" s="7">
        <v>74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63"/>
      <c r="N40" s="323"/>
      <c r="O40" s="323"/>
      <c r="P40" s="323"/>
      <c r="Q40" s="323"/>
      <c r="R40" s="323"/>
      <c r="S40" s="323"/>
      <c r="T40" s="323"/>
      <c r="U40" s="323"/>
      <c r="V40" s="323"/>
      <c r="W40" s="320"/>
      <c r="X40" s="323"/>
      <c r="Y40" s="323"/>
      <c r="Z40" s="323"/>
      <c r="AA40" s="323"/>
      <c r="AB40" s="323"/>
      <c r="AC40" s="323"/>
    </row>
    <row r="41" spans="1:29" ht="23.4" x14ac:dyDescent="0.45">
      <c r="A41" s="158" t="s">
        <v>15</v>
      </c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  <c r="AA41" s="158"/>
      <c r="AB41" s="158"/>
      <c r="AC41" s="158"/>
    </row>
    <row r="42" spans="1:29" ht="23.4" x14ac:dyDescent="0.3">
      <c r="A42" s="159" t="s">
        <v>16</v>
      </c>
      <c r="B42" s="159"/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2"/>
      <c r="Y42" s="160" t="s">
        <v>17</v>
      </c>
      <c r="Z42" s="160"/>
      <c r="AA42" s="2"/>
      <c r="AB42" s="2"/>
      <c r="AC42" s="2"/>
    </row>
    <row r="43" spans="1:29" ht="30.9" customHeight="1" x14ac:dyDescent="0.3">
      <c r="A43" s="326" t="s">
        <v>18</v>
      </c>
      <c r="B43" s="326"/>
      <c r="C43" s="326"/>
      <c r="D43" s="326"/>
      <c r="E43" s="327" t="s">
        <v>100</v>
      </c>
      <c r="F43" s="327"/>
      <c r="G43" s="327"/>
      <c r="H43" s="327"/>
      <c r="I43" s="328" t="s">
        <v>20</v>
      </c>
      <c r="J43" s="328"/>
      <c r="K43" s="163" t="s">
        <v>85</v>
      </c>
      <c r="L43" s="163"/>
      <c r="M43" s="328" t="s">
        <v>21</v>
      </c>
      <c r="N43" s="328"/>
      <c r="O43" s="165" t="s">
        <v>101</v>
      </c>
      <c r="P43" s="165"/>
      <c r="Q43" s="165"/>
      <c r="R43" s="165"/>
      <c r="S43" s="43"/>
      <c r="T43" s="166" t="s">
        <v>22</v>
      </c>
      <c r="U43" s="166"/>
      <c r="V43" s="166"/>
      <c r="W43" s="166"/>
      <c r="X43" s="166"/>
      <c r="Y43" s="152" t="s">
        <v>79</v>
      </c>
      <c r="Z43" s="152"/>
      <c r="AA43" s="152"/>
      <c r="AB43" s="153" t="s">
        <v>83</v>
      </c>
      <c r="AC43" s="153"/>
    </row>
    <row r="44" spans="1:29" x14ac:dyDescent="0.3">
      <c r="T44" s="166"/>
      <c r="U44" s="166"/>
      <c r="V44" s="166"/>
      <c r="W44" s="166"/>
      <c r="X44" s="166"/>
      <c r="Y44" s="152"/>
      <c r="Z44" s="152"/>
      <c r="AA44" s="152"/>
      <c r="AB44" s="153"/>
      <c r="AC44" s="153"/>
    </row>
    <row r="45" spans="1:29" ht="15.6" x14ac:dyDescent="0.3">
      <c r="A45" s="324" t="s">
        <v>24</v>
      </c>
      <c r="B45" s="324"/>
      <c r="C45" s="324"/>
      <c r="D45" s="324"/>
      <c r="E45" s="324"/>
      <c r="F45" s="324"/>
      <c r="G45" s="324"/>
      <c r="H45" s="347" t="s">
        <v>25</v>
      </c>
      <c r="I45" s="347"/>
      <c r="J45" s="347"/>
      <c r="K45" s="347"/>
      <c r="L45" s="347"/>
      <c r="M45" s="347"/>
      <c r="N45" s="347"/>
      <c r="O45" s="44"/>
      <c r="P45" s="44"/>
      <c r="T45" s="156" t="s">
        <v>26</v>
      </c>
      <c r="U45" s="156"/>
      <c r="V45" s="156"/>
      <c r="W45" s="156"/>
      <c r="X45" s="156"/>
      <c r="Y45" s="156"/>
      <c r="Z45" s="265" t="s">
        <v>27</v>
      </c>
      <c r="AA45" s="265"/>
      <c r="AB45" s="265"/>
      <c r="AC45" s="265"/>
    </row>
    <row r="46" spans="1:29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" customHeight="1" x14ac:dyDescent="0.3">
      <c r="A47" s="284" t="s">
        <v>29</v>
      </c>
      <c r="B47" s="285"/>
      <c r="C47" s="285"/>
      <c r="D47" s="285"/>
      <c r="E47" s="285"/>
      <c r="F47" s="285"/>
      <c r="G47" s="285"/>
      <c r="H47" s="285"/>
      <c r="I47" s="285"/>
      <c r="J47" s="286"/>
      <c r="K47" s="273" t="s">
        <v>30</v>
      </c>
      <c r="L47" s="274"/>
      <c r="M47" s="273" t="s">
        <v>31</v>
      </c>
      <c r="N47" s="274"/>
      <c r="O47" s="287" t="s">
        <v>32</v>
      </c>
      <c r="P47" s="288"/>
      <c r="Q47" s="289"/>
      <c r="R47" s="273" t="s">
        <v>33</v>
      </c>
      <c r="S47" s="296"/>
      <c r="T47" s="274"/>
      <c r="U47" s="224" t="s">
        <v>34</v>
      </c>
      <c r="V47" s="225"/>
      <c r="W47" s="225"/>
      <c r="X47" s="225"/>
      <c r="Y47" s="225"/>
      <c r="Z47" s="225"/>
      <c r="AA47" s="226"/>
      <c r="AB47" s="273" t="s">
        <v>7</v>
      </c>
      <c r="AC47" s="274"/>
    </row>
    <row r="48" spans="1:29" ht="23.25" customHeight="1" x14ac:dyDescent="0.3">
      <c r="A48" s="169" t="s">
        <v>35</v>
      </c>
      <c r="B48" s="173"/>
      <c r="C48" s="173"/>
      <c r="D48" s="173"/>
      <c r="E48" s="173"/>
      <c r="F48" s="173"/>
      <c r="G48" s="173"/>
      <c r="H48" s="173"/>
      <c r="I48" s="173"/>
      <c r="J48" s="170"/>
      <c r="K48" s="275"/>
      <c r="L48" s="276"/>
      <c r="M48" s="275"/>
      <c r="N48" s="276"/>
      <c r="O48" s="290"/>
      <c r="P48" s="291"/>
      <c r="Q48" s="292"/>
      <c r="R48" s="275"/>
      <c r="S48" s="297"/>
      <c r="T48" s="276"/>
      <c r="U48" s="279" t="s">
        <v>36</v>
      </c>
      <c r="V48" s="279"/>
      <c r="W48" s="279"/>
      <c r="X48" s="279" t="s">
        <v>37</v>
      </c>
      <c r="Y48" s="279"/>
      <c r="Z48" s="279" t="s">
        <v>38</v>
      </c>
      <c r="AA48" s="279"/>
      <c r="AB48" s="275"/>
      <c r="AC48" s="276"/>
    </row>
    <row r="49" spans="1:32" x14ac:dyDescent="0.3">
      <c r="A49" s="171"/>
      <c r="B49" s="174"/>
      <c r="C49" s="174"/>
      <c r="D49" s="174"/>
      <c r="E49" s="174"/>
      <c r="F49" s="174"/>
      <c r="G49" s="174"/>
      <c r="H49" s="174"/>
      <c r="I49" s="174"/>
      <c r="J49" s="172"/>
      <c r="K49" s="277"/>
      <c r="L49" s="278"/>
      <c r="M49" s="277"/>
      <c r="N49" s="278"/>
      <c r="O49" s="293"/>
      <c r="P49" s="294"/>
      <c r="Q49" s="295"/>
      <c r="R49" s="277"/>
      <c r="S49" s="298"/>
      <c r="T49" s="278"/>
      <c r="U49" s="280"/>
      <c r="V49" s="280"/>
      <c r="W49" s="280"/>
      <c r="X49" s="280"/>
      <c r="Y49" s="280"/>
      <c r="Z49" s="280"/>
      <c r="AA49" s="280"/>
      <c r="AB49" s="277"/>
      <c r="AC49" s="278"/>
    </row>
    <row r="50" spans="1:32" ht="24.9" customHeight="1" x14ac:dyDescent="0.3">
      <c r="A50" s="281" t="s">
        <v>39</v>
      </c>
      <c r="B50" s="282"/>
      <c r="C50" s="282"/>
      <c r="D50" s="282"/>
      <c r="E50" s="282"/>
      <c r="F50" s="282"/>
      <c r="G50" s="282"/>
      <c r="H50" s="282"/>
      <c r="I50" s="282"/>
      <c r="J50" s="283"/>
      <c r="K50" s="341">
        <v>103</v>
      </c>
      <c r="L50" s="342"/>
      <c r="M50" s="341">
        <v>3</v>
      </c>
      <c r="N50" s="342"/>
      <c r="O50" s="341">
        <v>3</v>
      </c>
      <c r="P50" s="343"/>
      <c r="Q50" s="342"/>
      <c r="R50" s="341">
        <v>109</v>
      </c>
      <c r="S50" s="343"/>
      <c r="T50" s="342"/>
      <c r="U50" s="341">
        <v>0</v>
      </c>
      <c r="V50" s="343"/>
      <c r="W50" s="342"/>
      <c r="X50" s="341">
        <v>0</v>
      </c>
      <c r="Y50" s="342"/>
      <c r="Z50" s="341">
        <v>0</v>
      </c>
      <c r="AA50" s="342"/>
      <c r="AB50" s="341">
        <v>109</v>
      </c>
      <c r="AC50" s="342"/>
    </row>
    <row r="51" spans="1:32" ht="24.9" customHeight="1" x14ac:dyDescent="0.3">
      <c r="A51" s="281" t="s">
        <v>40</v>
      </c>
      <c r="B51" s="282"/>
      <c r="C51" s="282"/>
      <c r="D51" s="282"/>
      <c r="E51" s="282"/>
      <c r="F51" s="282"/>
      <c r="G51" s="282"/>
      <c r="H51" s="282"/>
      <c r="I51" s="282"/>
      <c r="J51" s="283"/>
      <c r="K51" s="341">
        <v>774</v>
      </c>
      <c r="L51" s="342"/>
      <c r="M51" s="341">
        <v>0</v>
      </c>
      <c r="N51" s="342"/>
      <c r="O51" s="341">
        <v>0</v>
      </c>
      <c r="P51" s="343"/>
      <c r="Q51" s="342"/>
      <c r="R51" s="341">
        <v>774</v>
      </c>
      <c r="S51" s="343"/>
      <c r="T51" s="342"/>
      <c r="U51" s="341">
        <v>0</v>
      </c>
      <c r="V51" s="343"/>
      <c r="W51" s="342"/>
      <c r="X51" s="341">
        <v>0</v>
      </c>
      <c r="Y51" s="342"/>
      <c r="Z51" s="341">
        <v>0</v>
      </c>
      <c r="AA51" s="342"/>
      <c r="AB51" s="341">
        <v>774</v>
      </c>
      <c r="AC51" s="342"/>
    </row>
    <row r="52" spans="1:32" ht="24.9" customHeight="1" x14ac:dyDescent="0.3">
      <c r="A52" s="281" t="s">
        <v>41</v>
      </c>
      <c r="B52" s="282"/>
      <c r="C52" s="282"/>
      <c r="D52" s="282"/>
      <c r="E52" s="282"/>
      <c r="F52" s="282"/>
      <c r="G52" s="282"/>
      <c r="H52" s="282"/>
      <c r="I52" s="282"/>
      <c r="J52" s="283"/>
      <c r="K52" s="341">
        <v>1</v>
      </c>
      <c r="L52" s="342"/>
      <c r="M52" s="341">
        <v>0</v>
      </c>
      <c r="N52" s="342"/>
      <c r="O52" s="341">
        <v>0</v>
      </c>
      <c r="P52" s="343"/>
      <c r="Q52" s="342"/>
      <c r="R52" s="341">
        <v>1</v>
      </c>
      <c r="S52" s="343"/>
      <c r="T52" s="342"/>
      <c r="U52" s="341">
        <v>0</v>
      </c>
      <c r="V52" s="343"/>
      <c r="W52" s="342"/>
      <c r="X52" s="341">
        <v>0</v>
      </c>
      <c r="Y52" s="342"/>
      <c r="Z52" s="341">
        <v>0</v>
      </c>
      <c r="AA52" s="342"/>
      <c r="AB52" s="341">
        <v>1</v>
      </c>
      <c r="AC52" s="342"/>
    </row>
    <row r="53" spans="1:32" ht="24.9" customHeight="1" x14ac:dyDescent="0.3">
      <c r="A53" s="281" t="s">
        <v>42</v>
      </c>
      <c r="B53" s="282"/>
      <c r="C53" s="282"/>
      <c r="D53" s="282"/>
      <c r="E53" s="282"/>
      <c r="F53" s="282"/>
      <c r="G53" s="282"/>
      <c r="H53" s="282"/>
      <c r="I53" s="282"/>
      <c r="J53" s="283"/>
      <c r="K53" s="341">
        <v>208</v>
      </c>
      <c r="L53" s="342"/>
      <c r="M53" s="341">
        <v>0</v>
      </c>
      <c r="N53" s="342"/>
      <c r="O53" s="341">
        <v>0</v>
      </c>
      <c r="P53" s="343"/>
      <c r="Q53" s="342"/>
      <c r="R53" s="341">
        <v>208</v>
      </c>
      <c r="S53" s="343"/>
      <c r="T53" s="342"/>
      <c r="U53" s="341">
        <v>0</v>
      </c>
      <c r="V53" s="343"/>
      <c r="W53" s="342"/>
      <c r="X53" s="341">
        <v>0</v>
      </c>
      <c r="Y53" s="342"/>
      <c r="Z53" s="341">
        <v>0</v>
      </c>
      <c r="AA53" s="342"/>
      <c r="AB53" s="341">
        <v>208</v>
      </c>
      <c r="AC53" s="342"/>
    </row>
    <row r="54" spans="1:32" ht="24.9" customHeight="1" x14ac:dyDescent="0.3">
      <c r="A54" s="281" t="s">
        <v>7</v>
      </c>
      <c r="B54" s="282"/>
      <c r="C54" s="282"/>
      <c r="D54" s="282"/>
      <c r="E54" s="282"/>
      <c r="F54" s="282"/>
      <c r="G54" s="282"/>
      <c r="H54" s="282"/>
      <c r="I54" s="282"/>
      <c r="J54" s="283"/>
      <c r="K54" s="341">
        <v>1086</v>
      </c>
      <c r="L54" s="342"/>
      <c r="M54" s="341">
        <v>3</v>
      </c>
      <c r="N54" s="342"/>
      <c r="O54" s="341">
        <v>3</v>
      </c>
      <c r="P54" s="343"/>
      <c r="Q54" s="342"/>
      <c r="R54" s="341">
        <v>1092</v>
      </c>
      <c r="S54" s="343"/>
      <c r="T54" s="342"/>
      <c r="U54" s="341">
        <v>0</v>
      </c>
      <c r="V54" s="343"/>
      <c r="W54" s="342"/>
      <c r="X54" s="341">
        <v>0</v>
      </c>
      <c r="Y54" s="342"/>
      <c r="Z54" s="341">
        <v>0</v>
      </c>
      <c r="AA54" s="342"/>
      <c r="AB54" s="341">
        <v>1092</v>
      </c>
      <c r="AC54" s="342"/>
    </row>
    <row r="55" spans="1:32" ht="15.6" x14ac:dyDescent="0.3">
      <c r="A55" s="45" t="s">
        <v>43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7"/>
      <c r="V55" s="47"/>
      <c r="W55" s="47"/>
      <c r="X55" s="47"/>
      <c r="Y55" s="47"/>
      <c r="Z55" s="47"/>
      <c r="AA55" s="47"/>
      <c r="AB55" s="47"/>
      <c r="AC55" s="4"/>
    </row>
    <row r="56" spans="1:32" ht="21.75" customHeight="1" x14ac:dyDescent="0.3">
      <c r="A56" s="205"/>
      <c r="B56" s="206"/>
      <c r="C56" s="206"/>
      <c r="D56" s="206"/>
      <c r="E56" s="206"/>
      <c r="F56" s="206"/>
      <c r="G56" s="206"/>
      <c r="H56" s="206"/>
      <c r="I56" s="206"/>
      <c r="J56" s="207"/>
      <c r="K56" s="224" t="s">
        <v>0</v>
      </c>
      <c r="L56" s="226"/>
      <c r="M56" s="305" t="s">
        <v>1</v>
      </c>
      <c r="N56" s="306"/>
      <c r="O56" s="301" t="s">
        <v>2</v>
      </c>
      <c r="P56" s="302"/>
      <c r="Q56" s="301" t="s">
        <v>3</v>
      </c>
      <c r="R56" s="302"/>
      <c r="S56" s="301" t="s">
        <v>4</v>
      </c>
      <c r="T56" s="302"/>
      <c r="U56" s="301" t="s">
        <v>5</v>
      </c>
      <c r="V56" s="302"/>
      <c r="W56" s="301" t="s">
        <v>6</v>
      </c>
      <c r="X56" s="302"/>
      <c r="Y56" s="301" t="s">
        <v>44</v>
      </c>
      <c r="Z56" s="302"/>
      <c r="AA56" s="301" t="s">
        <v>7</v>
      </c>
      <c r="AB56" s="302"/>
      <c r="AC56" s="303" t="s">
        <v>86</v>
      </c>
      <c r="AD56" s="5"/>
      <c r="AE56" s="6"/>
      <c r="AF56" s="6"/>
    </row>
    <row r="57" spans="1:32" x14ac:dyDescent="0.3">
      <c r="A57" s="208"/>
      <c r="B57" s="209"/>
      <c r="C57" s="209"/>
      <c r="D57" s="209"/>
      <c r="E57" s="209"/>
      <c r="F57" s="209"/>
      <c r="G57" s="209"/>
      <c r="H57" s="209"/>
      <c r="I57" s="209"/>
      <c r="J57" s="210"/>
      <c r="K57" s="7" t="s">
        <v>9</v>
      </c>
      <c r="L57" s="7" t="s">
        <v>10</v>
      </c>
      <c r="M57" s="7" t="s">
        <v>9</v>
      </c>
      <c r="N57" s="7" t="s">
        <v>10</v>
      </c>
      <c r="O57" s="7" t="s">
        <v>9</v>
      </c>
      <c r="P57" s="7" t="s">
        <v>10</v>
      </c>
      <c r="Q57" s="7" t="s">
        <v>9</v>
      </c>
      <c r="R57" s="7" t="s">
        <v>10</v>
      </c>
      <c r="S57" s="7" t="s">
        <v>9</v>
      </c>
      <c r="T57" s="7" t="s">
        <v>10</v>
      </c>
      <c r="U57" s="7" t="s">
        <v>9</v>
      </c>
      <c r="V57" s="7" t="s">
        <v>10</v>
      </c>
      <c r="W57" s="7" t="s">
        <v>9</v>
      </c>
      <c r="X57" s="7" t="s">
        <v>10</v>
      </c>
      <c r="Y57" s="7" t="s">
        <v>9</v>
      </c>
      <c r="Z57" s="7" t="s">
        <v>10</v>
      </c>
      <c r="AA57" s="7" t="s">
        <v>9</v>
      </c>
      <c r="AB57" s="7" t="s">
        <v>10</v>
      </c>
      <c r="AC57" s="304"/>
    </row>
    <row r="58" spans="1:32" ht="24.9" customHeight="1" x14ac:dyDescent="0.3">
      <c r="A58" s="281" t="s">
        <v>39</v>
      </c>
      <c r="B58" s="282"/>
      <c r="C58" s="282"/>
      <c r="D58" s="282"/>
      <c r="E58" s="282"/>
      <c r="F58" s="282"/>
      <c r="G58" s="282"/>
      <c r="H58" s="282"/>
      <c r="I58" s="282"/>
      <c r="J58" s="283"/>
      <c r="K58" s="71">
        <v>1</v>
      </c>
      <c r="L58" s="71">
        <v>0</v>
      </c>
      <c r="M58" s="71">
        <v>3</v>
      </c>
      <c r="N58" s="71">
        <v>3</v>
      </c>
      <c r="O58" s="71">
        <v>9</v>
      </c>
      <c r="P58" s="71">
        <v>17</v>
      </c>
      <c r="Q58" s="71">
        <v>6</v>
      </c>
      <c r="R58" s="71">
        <v>12</v>
      </c>
      <c r="S58" s="71">
        <v>4</v>
      </c>
      <c r="T58" s="71">
        <v>4</v>
      </c>
      <c r="U58" s="71">
        <v>3</v>
      </c>
      <c r="V58" s="71">
        <v>5</v>
      </c>
      <c r="W58" s="71">
        <v>8</v>
      </c>
      <c r="X58" s="71">
        <v>7</v>
      </c>
      <c r="Y58" s="71">
        <v>19</v>
      </c>
      <c r="Z58" s="71">
        <v>8</v>
      </c>
      <c r="AA58" s="71">
        <v>53</v>
      </c>
      <c r="AB58" s="71">
        <v>56</v>
      </c>
      <c r="AC58" s="71">
        <v>109</v>
      </c>
    </row>
    <row r="59" spans="1:32" ht="24.9" customHeight="1" x14ac:dyDescent="0.3">
      <c r="A59" s="281" t="s">
        <v>40</v>
      </c>
      <c r="B59" s="282"/>
      <c r="C59" s="282"/>
      <c r="D59" s="282"/>
      <c r="E59" s="282"/>
      <c r="F59" s="282"/>
      <c r="G59" s="282"/>
      <c r="H59" s="282"/>
      <c r="I59" s="282"/>
      <c r="J59" s="283"/>
      <c r="K59" s="71">
        <v>264</v>
      </c>
      <c r="L59" s="71">
        <v>161</v>
      </c>
      <c r="M59" s="71">
        <v>75</v>
      </c>
      <c r="N59" s="71">
        <v>60</v>
      </c>
      <c r="O59" s="71">
        <v>33</v>
      </c>
      <c r="P59" s="71">
        <v>34</v>
      </c>
      <c r="Q59" s="71">
        <v>29</v>
      </c>
      <c r="R59" s="71">
        <v>21</v>
      </c>
      <c r="S59" s="71">
        <v>11</v>
      </c>
      <c r="T59" s="71">
        <v>18</v>
      </c>
      <c r="U59" s="71">
        <v>9</v>
      </c>
      <c r="V59" s="71">
        <v>12</v>
      </c>
      <c r="W59" s="71">
        <v>10</v>
      </c>
      <c r="X59" s="71">
        <v>11</v>
      </c>
      <c r="Y59" s="71">
        <v>19</v>
      </c>
      <c r="Z59" s="71">
        <v>7</v>
      </c>
      <c r="AA59" s="71">
        <v>450</v>
      </c>
      <c r="AB59" s="71">
        <v>324</v>
      </c>
      <c r="AC59" s="71">
        <v>774</v>
      </c>
    </row>
    <row r="60" spans="1:32" ht="24.9" customHeight="1" x14ac:dyDescent="0.3">
      <c r="A60" s="281" t="s">
        <v>41</v>
      </c>
      <c r="B60" s="282"/>
      <c r="C60" s="282"/>
      <c r="D60" s="282"/>
      <c r="E60" s="282"/>
      <c r="F60" s="282"/>
      <c r="G60" s="282"/>
      <c r="H60" s="282"/>
      <c r="I60" s="282"/>
      <c r="J60" s="283"/>
      <c r="K60" s="71">
        <v>1</v>
      </c>
      <c r="L60" s="71">
        <v>0</v>
      </c>
      <c r="M60" s="71">
        <v>0</v>
      </c>
      <c r="N60" s="71">
        <v>0</v>
      </c>
      <c r="O60" s="71">
        <v>0</v>
      </c>
      <c r="P60" s="71">
        <v>0</v>
      </c>
      <c r="Q60" s="71">
        <v>0</v>
      </c>
      <c r="R60" s="71">
        <v>0</v>
      </c>
      <c r="S60" s="71">
        <v>0</v>
      </c>
      <c r="T60" s="71">
        <v>0</v>
      </c>
      <c r="U60" s="71">
        <v>0</v>
      </c>
      <c r="V60" s="71">
        <v>0</v>
      </c>
      <c r="W60" s="71">
        <v>0</v>
      </c>
      <c r="X60" s="71">
        <v>0</v>
      </c>
      <c r="Y60" s="71">
        <v>0</v>
      </c>
      <c r="Z60" s="71">
        <v>0</v>
      </c>
      <c r="AA60" s="71">
        <v>1</v>
      </c>
      <c r="AB60" s="71">
        <v>0</v>
      </c>
      <c r="AC60" s="71">
        <v>1</v>
      </c>
    </row>
    <row r="61" spans="1:32" ht="24.9" customHeight="1" x14ac:dyDescent="0.3">
      <c r="A61" s="281" t="s">
        <v>42</v>
      </c>
      <c r="B61" s="282"/>
      <c r="C61" s="282"/>
      <c r="D61" s="282"/>
      <c r="E61" s="282"/>
      <c r="F61" s="282"/>
      <c r="G61" s="282"/>
      <c r="H61" s="282"/>
      <c r="I61" s="282"/>
      <c r="J61" s="283"/>
      <c r="K61" s="71">
        <v>36</v>
      </c>
      <c r="L61" s="71">
        <v>28</v>
      </c>
      <c r="M61" s="71">
        <v>19</v>
      </c>
      <c r="N61" s="71">
        <v>7</v>
      </c>
      <c r="O61" s="71">
        <v>31</v>
      </c>
      <c r="P61" s="71">
        <v>8</v>
      </c>
      <c r="Q61" s="71">
        <v>13</v>
      </c>
      <c r="R61" s="71">
        <v>14</v>
      </c>
      <c r="S61" s="71">
        <v>8</v>
      </c>
      <c r="T61" s="71">
        <v>10</v>
      </c>
      <c r="U61" s="71">
        <v>8</v>
      </c>
      <c r="V61" s="71">
        <v>5</v>
      </c>
      <c r="W61" s="71">
        <v>5</v>
      </c>
      <c r="X61" s="71">
        <v>3</v>
      </c>
      <c r="Y61" s="71">
        <v>8</v>
      </c>
      <c r="Z61" s="71">
        <v>5</v>
      </c>
      <c r="AA61" s="71">
        <v>128</v>
      </c>
      <c r="AB61" s="71">
        <v>80</v>
      </c>
      <c r="AC61" s="71">
        <v>208</v>
      </c>
    </row>
    <row r="62" spans="1:32" ht="24.9" customHeight="1" x14ac:dyDescent="0.3">
      <c r="A62" s="224" t="s">
        <v>7</v>
      </c>
      <c r="B62" s="225"/>
      <c r="C62" s="225"/>
      <c r="D62" s="225"/>
      <c r="E62" s="225"/>
      <c r="F62" s="225"/>
      <c r="G62" s="225"/>
      <c r="H62" s="225"/>
      <c r="I62" s="225"/>
      <c r="J62" s="226"/>
      <c r="K62" s="71">
        <v>302</v>
      </c>
      <c r="L62" s="71">
        <v>189</v>
      </c>
      <c r="M62" s="71">
        <v>97</v>
      </c>
      <c r="N62" s="71">
        <v>70</v>
      </c>
      <c r="O62" s="71">
        <v>73</v>
      </c>
      <c r="P62" s="71">
        <v>59</v>
      </c>
      <c r="Q62" s="71">
        <v>48</v>
      </c>
      <c r="R62" s="71">
        <v>47</v>
      </c>
      <c r="S62" s="71">
        <v>23</v>
      </c>
      <c r="T62" s="71">
        <v>32</v>
      </c>
      <c r="U62" s="71">
        <v>20</v>
      </c>
      <c r="V62" s="71">
        <v>22</v>
      </c>
      <c r="W62" s="71">
        <v>23</v>
      </c>
      <c r="X62" s="71">
        <v>21</v>
      </c>
      <c r="Y62" s="71">
        <v>46</v>
      </c>
      <c r="Z62" s="71">
        <v>20</v>
      </c>
      <c r="AA62" s="71">
        <v>632</v>
      </c>
      <c r="AB62" s="71">
        <v>460</v>
      </c>
      <c r="AC62" s="71">
        <v>1092</v>
      </c>
    </row>
    <row r="63" spans="1:32" ht="6.75" customHeight="1" x14ac:dyDescent="0.3">
      <c r="A63" s="8"/>
      <c r="B63" s="9"/>
      <c r="C63" s="9"/>
      <c r="D63" s="9"/>
      <c r="E63" s="9"/>
      <c r="F63" s="10"/>
      <c r="G63" s="11"/>
      <c r="H63" s="11"/>
      <c r="I63" s="11"/>
      <c r="J63" s="11"/>
      <c r="K63" s="11"/>
      <c r="L63" s="11"/>
      <c r="M63" s="50"/>
      <c r="N63" s="11"/>
      <c r="O63" s="227"/>
      <c r="P63" s="228"/>
      <c r="Q63" s="12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3"/>
    </row>
    <row r="64" spans="1:32" ht="18" customHeight="1" x14ac:dyDescent="0.3">
      <c r="A64" s="14" t="s">
        <v>45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6"/>
      <c r="M64" s="17"/>
      <c r="N64" s="14" t="s">
        <v>46</v>
      </c>
      <c r="O64" s="15"/>
      <c r="P64" s="15"/>
      <c r="Q64" s="15"/>
      <c r="R64" s="15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9"/>
    </row>
    <row r="65" spans="1:29" ht="42.75" customHeight="1" x14ac:dyDescent="0.3">
      <c r="A65" s="307" t="s">
        <v>47</v>
      </c>
      <c r="B65" s="312" t="s">
        <v>48</v>
      </c>
      <c r="C65" s="313"/>
      <c r="D65" s="314" t="s">
        <v>49</v>
      </c>
      <c r="E65" s="315"/>
      <c r="F65" s="316"/>
      <c r="G65" s="314" t="s">
        <v>50</v>
      </c>
      <c r="H65" s="315"/>
      <c r="I65" s="315"/>
      <c r="J65" s="316"/>
      <c r="K65" s="307" t="s">
        <v>51</v>
      </c>
      <c r="L65" s="307" t="s">
        <v>52</v>
      </c>
      <c r="M65" s="20"/>
      <c r="N65" s="309" t="s">
        <v>53</v>
      </c>
      <c r="O65" s="310"/>
      <c r="P65" s="311"/>
      <c r="Q65" s="309" t="s">
        <v>54</v>
      </c>
      <c r="R65" s="310"/>
      <c r="S65" s="311"/>
      <c r="T65" s="309" t="s">
        <v>55</v>
      </c>
      <c r="U65" s="310"/>
      <c r="V65" s="310"/>
      <c r="W65" s="310"/>
      <c r="X65" s="310"/>
      <c r="Y65" s="310"/>
      <c r="Z65" s="310"/>
      <c r="AA65" s="310"/>
      <c r="AB65" s="310"/>
      <c r="AC65" s="311"/>
    </row>
    <row r="66" spans="1:29" ht="48" customHeight="1" x14ac:dyDescent="0.3">
      <c r="A66" s="308"/>
      <c r="B66" s="21" t="s">
        <v>7</v>
      </c>
      <c r="C66" s="22" t="s">
        <v>87</v>
      </c>
      <c r="D66" s="22" t="s">
        <v>56</v>
      </c>
      <c r="E66" s="22" t="s">
        <v>88</v>
      </c>
      <c r="F66" s="22" t="s">
        <v>89</v>
      </c>
      <c r="G66" s="23" t="s">
        <v>56</v>
      </c>
      <c r="H66" s="22" t="s">
        <v>90</v>
      </c>
      <c r="I66" s="23" t="s">
        <v>57</v>
      </c>
      <c r="J66" s="23" t="s">
        <v>58</v>
      </c>
      <c r="K66" s="308"/>
      <c r="L66" s="308"/>
      <c r="M66" s="20"/>
      <c r="N66" s="309">
        <v>0</v>
      </c>
      <c r="O66" s="310"/>
      <c r="P66" s="311"/>
      <c r="Q66" s="309">
        <v>0</v>
      </c>
      <c r="R66" s="310"/>
      <c r="S66" s="311"/>
      <c r="T66" s="309">
        <v>0</v>
      </c>
      <c r="U66" s="310"/>
      <c r="V66" s="310"/>
      <c r="W66" s="310"/>
      <c r="X66" s="310"/>
      <c r="Y66" s="310"/>
      <c r="Z66" s="310"/>
      <c r="AA66" s="310"/>
      <c r="AB66" s="310"/>
      <c r="AC66" s="311"/>
    </row>
    <row r="67" spans="1:29" ht="38.25" customHeight="1" x14ac:dyDescent="0.3">
      <c r="A67" s="270">
        <v>226123</v>
      </c>
      <c r="B67" s="270">
        <v>3273</v>
      </c>
      <c r="C67" s="270">
        <v>147</v>
      </c>
      <c r="D67" s="270">
        <v>1415</v>
      </c>
      <c r="E67" s="270">
        <v>887</v>
      </c>
      <c r="F67" s="270">
        <v>658</v>
      </c>
      <c r="G67" s="270">
        <v>101</v>
      </c>
      <c r="H67" s="270">
        <v>110</v>
      </c>
      <c r="I67" s="270">
        <v>19</v>
      </c>
      <c r="J67" s="270">
        <v>230</v>
      </c>
      <c r="K67" s="270">
        <v>102</v>
      </c>
      <c r="L67" s="270">
        <v>598</v>
      </c>
      <c r="M67" s="20"/>
      <c r="N67" s="309" t="s">
        <v>59</v>
      </c>
      <c r="O67" s="310"/>
      <c r="P67" s="311"/>
      <c r="Q67" s="309" t="s">
        <v>60</v>
      </c>
      <c r="R67" s="310"/>
      <c r="S67" s="311"/>
      <c r="T67" s="293" t="s">
        <v>61</v>
      </c>
      <c r="U67" s="294"/>
      <c r="V67" s="294"/>
      <c r="W67" s="295"/>
      <c r="X67" s="293" t="s">
        <v>62</v>
      </c>
      <c r="Y67" s="294"/>
      <c r="Z67" s="294"/>
      <c r="AA67" s="294"/>
      <c r="AB67" s="294"/>
      <c r="AC67" s="295"/>
    </row>
    <row r="68" spans="1:29" ht="19.5" customHeight="1" x14ac:dyDescent="0.3">
      <c r="A68" s="271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54"/>
      <c r="N68" s="287">
        <v>0</v>
      </c>
      <c r="O68" s="288"/>
      <c r="P68" s="289"/>
      <c r="Q68" s="287">
        <v>0</v>
      </c>
      <c r="R68" s="288"/>
      <c r="S68" s="289"/>
      <c r="T68" s="287">
        <v>0</v>
      </c>
      <c r="U68" s="288"/>
      <c r="V68" s="288"/>
      <c r="W68" s="289"/>
      <c r="X68" s="24"/>
      <c r="Y68" s="309" t="s">
        <v>0</v>
      </c>
      <c r="Z68" s="311"/>
      <c r="AA68" s="25" t="s">
        <v>1</v>
      </c>
      <c r="AB68" s="309" t="s">
        <v>63</v>
      </c>
      <c r="AC68" s="311"/>
    </row>
    <row r="69" spans="1:29" ht="18" customHeight="1" x14ac:dyDescent="0.3">
      <c r="A69" s="271"/>
      <c r="B69" s="271"/>
      <c r="C69" s="271"/>
      <c r="D69" s="271"/>
      <c r="E69" s="271"/>
      <c r="F69" s="271"/>
      <c r="G69" s="271"/>
      <c r="H69" s="271"/>
      <c r="I69" s="271"/>
      <c r="J69" s="271"/>
      <c r="K69" s="271"/>
      <c r="L69" s="271"/>
      <c r="M69" s="54"/>
      <c r="N69" s="290"/>
      <c r="O69" s="291"/>
      <c r="P69" s="292"/>
      <c r="Q69" s="290"/>
      <c r="R69" s="291"/>
      <c r="S69" s="292"/>
      <c r="T69" s="290"/>
      <c r="U69" s="291"/>
      <c r="V69" s="291"/>
      <c r="W69" s="292"/>
      <c r="X69" s="26" t="s">
        <v>64</v>
      </c>
      <c r="Y69" s="224">
        <v>0</v>
      </c>
      <c r="Z69" s="226"/>
      <c r="AA69" s="7">
        <v>0</v>
      </c>
      <c r="AB69" s="224">
        <v>0</v>
      </c>
      <c r="AC69" s="226"/>
    </row>
    <row r="70" spans="1:29" ht="18" customHeight="1" x14ac:dyDescent="0.3">
      <c r="A70" s="271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54"/>
      <c r="N70" s="290"/>
      <c r="O70" s="291"/>
      <c r="P70" s="292"/>
      <c r="Q70" s="290"/>
      <c r="R70" s="291"/>
      <c r="S70" s="292"/>
      <c r="T70" s="290"/>
      <c r="U70" s="291"/>
      <c r="V70" s="291"/>
      <c r="W70" s="292"/>
      <c r="X70" s="26" t="s">
        <v>65</v>
      </c>
      <c r="Y70" s="224">
        <v>0</v>
      </c>
      <c r="Z70" s="226"/>
      <c r="AA70" s="7">
        <v>0</v>
      </c>
      <c r="AB70" s="224">
        <v>0</v>
      </c>
      <c r="AC70" s="226"/>
    </row>
    <row r="71" spans="1:29" ht="18" customHeight="1" x14ac:dyDescent="0.3">
      <c r="A71" s="272"/>
      <c r="B71" s="272"/>
      <c r="C71" s="272"/>
      <c r="D71" s="272"/>
      <c r="E71" s="272"/>
      <c r="F71" s="272"/>
      <c r="G71" s="272"/>
      <c r="H71" s="272"/>
      <c r="I71" s="272"/>
      <c r="J71" s="272"/>
      <c r="K71" s="272"/>
      <c r="L71" s="272"/>
      <c r="M71" s="54"/>
      <c r="N71" s="293"/>
      <c r="O71" s="294"/>
      <c r="P71" s="295"/>
      <c r="Q71" s="293"/>
      <c r="R71" s="294"/>
      <c r="S71" s="295"/>
      <c r="T71" s="293"/>
      <c r="U71" s="294"/>
      <c r="V71" s="294"/>
      <c r="W71" s="295"/>
      <c r="X71" s="26" t="s">
        <v>66</v>
      </c>
      <c r="Y71" s="224">
        <v>0</v>
      </c>
      <c r="Z71" s="226"/>
      <c r="AA71" s="7">
        <v>0</v>
      </c>
      <c r="AB71" s="224">
        <v>0</v>
      </c>
      <c r="AC71" s="226"/>
    </row>
    <row r="72" spans="1:29" ht="8.25" customHeight="1" x14ac:dyDescent="0.3">
      <c r="A72" s="27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59"/>
      <c r="N72" s="28"/>
      <c r="O72" s="28"/>
      <c r="P72" s="28"/>
      <c r="Q72" s="28"/>
      <c r="R72" s="28"/>
      <c r="S72" s="28"/>
      <c r="T72" s="28"/>
      <c r="U72" s="29"/>
      <c r="V72" s="29"/>
      <c r="W72" s="29"/>
      <c r="X72" s="29"/>
      <c r="Y72" s="29"/>
      <c r="Z72" s="29"/>
      <c r="AA72" s="28"/>
      <c r="AB72" s="28"/>
      <c r="AC72" s="4"/>
    </row>
    <row r="73" spans="1:29" ht="18" customHeight="1" x14ac:dyDescent="0.3">
      <c r="A73" s="14" t="s">
        <v>67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6"/>
      <c r="M73" s="30"/>
      <c r="N73" s="14" t="s">
        <v>68</v>
      </c>
      <c r="O73" s="16"/>
      <c r="P73" s="15"/>
      <c r="Q73" s="31"/>
      <c r="R73" s="15"/>
      <c r="S73" s="15"/>
      <c r="T73" s="15"/>
      <c r="U73" s="15"/>
      <c r="V73" s="15"/>
      <c r="W73" s="15"/>
      <c r="X73" s="15"/>
      <c r="Y73" s="15"/>
      <c r="Z73" s="15"/>
      <c r="AA73" s="18"/>
      <c r="AB73" s="18"/>
      <c r="AC73" s="32"/>
    </row>
    <row r="74" spans="1:29" ht="57" customHeight="1" x14ac:dyDescent="0.3">
      <c r="A74" s="205"/>
      <c r="B74" s="206"/>
      <c r="C74" s="206"/>
      <c r="D74" s="206"/>
      <c r="E74" s="206"/>
      <c r="F74" s="207"/>
      <c r="G74" s="224" t="s">
        <v>11</v>
      </c>
      <c r="H74" s="226"/>
      <c r="I74" s="224" t="s">
        <v>12</v>
      </c>
      <c r="J74" s="226"/>
      <c r="K74" s="33" t="s">
        <v>69</v>
      </c>
      <c r="L74" s="34"/>
      <c r="M74" s="62"/>
      <c r="N74" s="314" t="s">
        <v>70</v>
      </c>
      <c r="O74" s="315"/>
      <c r="P74" s="316"/>
      <c r="Q74" s="314" t="s">
        <v>71</v>
      </c>
      <c r="R74" s="315"/>
      <c r="S74" s="316"/>
      <c r="T74" s="314" t="s">
        <v>72</v>
      </c>
      <c r="U74" s="315"/>
      <c r="V74" s="316"/>
      <c r="W74" s="314" t="s">
        <v>73</v>
      </c>
      <c r="X74" s="315"/>
      <c r="Y74" s="315"/>
      <c r="Z74" s="316"/>
      <c r="AA74" s="314" t="s">
        <v>74</v>
      </c>
      <c r="AB74" s="315"/>
      <c r="AC74" s="316"/>
    </row>
    <row r="75" spans="1:29" ht="13.5" customHeight="1" x14ac:dyDescent="0.3">
      <c r="A75" s="208"/>
      <c r="B75" s="209"/>
      <c r="C75" s="209"/>
      <c r="D75" s="209"/>
      <c r="E75" s="209"/>
      <c r="F75" s="210"/>
      <c r="G75" s="7" t="s">
        <v>75</v>
      </c>
      <c r="H75" s="7" t="s">
        <v>13</v>
      </c>
      <c r="I75" s="7" t="s">
        <v>75</v>
      </c>
      <c r="J75" s="7" t="s">
        <v>13</v>
      </c>
      <c r="K75" s="7" t="s">
        <v>75</v>
      </c>
      <c r="L75" s="7" t="s">
        <v>13</v>
      </c>
      <c r="M75" s="63"/>
      <c r="N75" s="35" t="s">
        <v>0</v>
      </c>
      <c r="O75" s="36" t="s">
        <v>1</v>
      </c>
      <c r="P75" s="36" t="s">
        <v>91</v>
      </c>
      <c r="Q75" s="35" t="s">
        <v>0</v>
      </c>
      <c r="R75" s="36" t="s">
        <v>1</v>
      </c>
      <c r="S75" s="36" t="s">
        <v>91</v>
      </c>
      <c r="T75" s="35" t="s">
        <v>0</v>
      </c>
      <c r="U75" s="36" t="s">
        <v>1</v>
      </c>
      <c r="V75" s="36" t="s">
        <v>91</v>
      </c>
      <c r="W75" s="37"/>
      <c r="X75" s="35" t="s">
        <v>0</v>
      </c>
      <c r="Y75" s="38" t="s">
        <v>1</v>
      </c>
      <c r="Z75" s="39" t="s">
        <v>76</v>
      </c>
      <c r="AA75" s="35" t="s">
        <v>0</v>
      </c>
      <c r="AB75" s="38" t="s">
        <v>1</v>
      </c>
      <c r="AC75" s="39" t="s">
        <v>76</v>
      </c>
    </row>
    <row r="76" spans="1:29" ht="24.9" customHeight="1" x14ac:dyDescent="0.3">
      <c r="A76" s="299" t="s">
        <v>77</v>
      </c>
      <c r="B76" s="318"/>
      <c r="C76" s="318"/>
      <c r="D76" s="318"/>
      <c r="E76" s="318"/>
      <c r="F76" s="300"/>
      <c r="G76" s="7">
        <v>73</v>
      </c>
      <c r="H76" s="7">
        <v>0</v>
      </c>
      <c r="I76" s="7">
        <v>13</v>
      </c>
      <c r="J76" s="7">
        <v>0</v>
      </c>
      <c r="K76" s="7">
        <v>0</v>
      </c>
      <c r="L76" s="7">
        <v>0</v>
      </c>
      <c r="M76" s="63"/>
      <c r="N76" s="321">
        <v>4</v>
      </c>
      <c r="O76" s="321">
        <v>7</v>
      </c>
      <c r="P76" s="321">
        <v>89</v>
      </c>
      <c r="Q76" s="321">
        <v>1</v>
      </c>
      <c r="R76" s="321">
        <v>46</v>
      </c>
      <c r="S76" s="321">
        <v>126</v>
      </c>
      <c r="T76" s="321">
        <v>0</v>
      </c>
      <c r="U76" s="321">
        <v>0</v>
      </c>
      <c r="V76" s="321">
        <v>0</v>
      </c>
      <c r="W76" s="40" t="s">
        <v>64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</row>
    <row r="77" spans="1:29" ht="24.9" customHeight="1" x14ac:dyDescent="0.3">
      <c r="A77" s="299" t="s">
        <v>8</v>
      </c>
      <c r="B77" s="318"/>
      <c r="C77" s="318"/>
      <c r="D77" s="318"/>
      <c r="E77" s="318"/>
      <c r="F77" s="300"/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63"/>
      <c r="N77" s="322"/>
      <c r="O77" s="322"/>
      <c r="P77" s="322"/>
      <c r="Q77" s="322"/>
      <c r="R77" s="322"/>
      <c r="S77" s="322"/>
      <c r="T77" s="322"/>
      <c r="U77" s="322"/>
      <c r="V77" s="322"/>
      <c r="W77" s="40" t="s">
        <v>65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</row>
    <row r="78" spans="1:29" ht="24.9" customHeight="1" x14ac:dyDescent="0.3">
      <c r="A78" s="309" t="s">
        <v>78</v>
      </c>
      <c r="B78" s="310"/>
      <c r="C78" s="310"/>
      <c r="D78" s="310"/>
      <c r="E78" s="310"/>
      <c r="F78" s="311"/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63"/>
      <c r="N78" s="322"/>
      <c r="O78" s="322"/>
      <c r="P78" s="322"/>
      <c r="Q78" s="322"/>
      <c r="R78" s="322"/>
      <c r="S78" s="322"/>
      <c r="T78" s="322"/>
      <c r="U78" s="322"/>
      <c r="V78" s="322"/>
      <c r="W78" s="319" t="s">
        <v>66</v>
      </c>
      <c r="X78" s="321">
        <v>1</v>
      </c>
      <c r="Y78" s="321">
        <v>3</v>
      </c>
      <c r="Z78" s="321">
        <v>5</v>
      </c>
      <c r="AA78" s="321">
        <v>0</v>
      </c>
      <c r="AB78" s="321">
        <v>0</v>
      </c>
      <c r="AC78" s="321">
        <v>0</v>
      </c>
    </row>
    <row r="79" spans="1:29" ht="24.9" customHeight="1" x14ac:dyDescent="0.3">
      <c r="A79" s="224" t="s">
        <v>7</v>
      </c>
      <c r="B79" s="225"/>
      <c r="C79" s="225"/>
      <c r="D79" s="225"/>
      <c r="E79" s="225"/>
      <c r="F79" s="226"/>
      <c r="G79" s="7">
        <v>73</v>
      </c>
      <c r="H79" s="7">
        <v>0</v>
      </c>
      <c r="I79" s="7">
        <v>13</v>
      </c>
      <c r="J79" s="7">
        <v>0</v>
      </c>
      <c r="K79" s="7">
        <v>0</v>
      </c>
      <c r="L79" s="7">
        <v>0</v>
      </c>
      <c r="M79" s="63"/>
      <c r="N79" s="323"/>
      <c r="O79" s="323"/>
      <c r="P79" s="323"/>
      <c r="Q79" s="323"/>
      <c r="R79" s="323"/>
      <c r="S79" s="323"/>
      <c r="T79" s="323"/>
      <c r="U79" s="323"/>
      <c r="V79" s="323"/>
      <c r="W79" s="320"/>
      <c r="X79" s="323"/>
      <c r="Y79" s="323"/>
      <c r="Z79" s="323"/>
      <c r="AA79" s="323"/>
      <c r="AB79" s="323"/>
      <c r="AC79" s="323"/>
    </row>
    <row r="80" spans="1:29" ht="23.4" x14ac:dyDescent="0.45">
      <c r="A80" s="158" t="s">
        <v>15</v>
      </c>
      <c r="B80" s="158"/>
      <c r="C80" s="158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  <c r="AA80" s="158"/>
      <c r="AB80" s="158"/>
      <c r="AC80" s="158"/>
    </row>
    <row r="81" spans="1:32" ht="23.4" x14ac:dyDescent="0.3">
      <c r="A81" s="159" t="s">
        <v>16</v>
      </c>
      <c r="B81" s="159"/>
      <c r="C81" s="159"/>
      <c r="D81" s="159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2"/>
      <c r="Y81" s="160" t="s">
        <v>17</v>
      </c>
      <c r="Z81" s="160"/>
      <c r="AA81" s="2"/>
      <c r="AB81" s="2"/>
      <c r="AC81" s="2"/>
    </row>
    <row r="82" spans="1:32" ht="30.9" customHeight="1" x14ac:dyDescent="0.3">
      <c r="A82" s="326" t="s">
        <v>18</v>
      </c>
      <c r="B82" s="326"/>
      <c r="C82" s="326"/>
      <c r="D82" s="326"/>
      <c r="E82" s="327" t="s">
        <v>100</v>
      </c>
      <c r="F82" s="327"/>
      <c r="G82" s="327"/>
      <c r="H82" s="327"/>
      <c r="I82" s="328" t="s">
        <v>20</v>
      </c>
      <c r="J82" s="328"/>
      <c r="K82" s="163" t="s">
        <v>85</v>
      </c>
      <c r="L82" s="163"/>
      <c r="M82" s="328" t="s">
        <v>21</v>
      </c>
      <c r="N82" s="328"/>
      <c r="O82" s="165" t="s">
        <v>101</v>
      </c>
      <c r="P82" s="165"/>
      <c r="Q82" s="165"/>
      <c r="R82" s="165"/>
      <c r="S82" s="43"/>
      <c r="T82" s="166" t="s">
        <v>22</v>
      </c>
      <c r="U82" s="166"/>
      <c r="V82" s="166"/>
      <c r="W82" s="166"/>
      <c r="X82" s="166"/>
      <c r="Y82" s="152" t="s">
        <v>80</v>
      </c>
      <c r="Z82" s="152"/>
      <c r="AA82" s="152"/>
      <c r="AB82" s="153" t="s">
        <v>83</v>
      </c>
      <c r="AC82" s="153"/>
    </row>
    <row r="83" spans="1:32" ht="15" customHeight="1" x14ac:dyDescent="0.3">
      <c r="T83" s="166"/>
      <c r="U83" s="166"/>
      <c r="V83" s="166"/>
      <c r="W83" s="166"/>
      <c r="X83" s="166"/>
      <c r="Y83" s="152"/>
      <c r="Z83" s="152"/>
      <c r="AA83" s="152"/>
      <c r="AB83" s="153"/>
      <c r="AC83" s="153"/>
    </row>
    <row r="84" spans="1:32" ht="15.6" x14ac:dyDescent="0.3">
      <c r="A84" s="324" t="s">
        <v>24</v>
      </c>
      <c r="B84" s="324"/>
      <c r="C84" s="324"/>
      <c r="D84" s="324"/>
      <c r="E84" s="324"/>
      <c r="F84" s="324"/>
      <c r="G84" s="324"/>
      <c r="H84" s="347" t="s">
        <v>25</v>
      </c>
      <c r="I84" s="347"/>
      <c r="J84" s="347"/>
      <c r="K84" s="347"/>
      <c r="L84" s="347"/>
      <c r="M84" s="347"/>
      <c r="N84" s="347"/>
      <c r="O84" s="44"/>
      <c r="P84" s="44"/>
      <c r="T84" s="156" t="s">
        <v>26</v>
      </c>
      <c r="U84" s="156"/>
      <c r="V84" s="156"/>
      <c r="W84" s="156"/>
      <c r="X84" s="156"/>
      <c r="Y84" s="156"/>
      <c r="Z84" s="265" t="s">
        <v>27</v>
      </c>
      <c r="AA84" s="265"/>
      <c r="AB84" s="265"/>
      <c r="AC84" s="265"/>
    </row>
    <row r="85" spans="1:32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32" ht="15" customHeight="1" x14ac:dyDescent="0.3">
      <c r="A86" s="284" t="s">
        <v>29</v>
      </c>
      <c r="B86" s="285"/>
      <c r="C86" s="285"/>
      <c r="D86" s="285"/>
      <c r="E86" s="285"/>
      <c r="F86" s="285"/>
      <c r="G86" s="285"/>
      <c r="H86" s="285"/>
      <c r="I86" s="285"/>
      <c r="J86" s="286"/>
      <c r="K86" s="273" t="s">
        <v>30</v>
      </c>
      <c r="L86" s="274"/>
      <c r="M86" s="273" t="s">
        <v>31</v>
      </c>
      <c r="N86" s="274"/>
      <c r="O86" s="287" t="s">
        <v>32</v>
      </c>
      <c r="P86" s="288"/>
      <c r="Q86" s="289"/>
      <c r="R86" s="273" t="s">
        <v>33</v>
      </c>
      <c r="S86" s="296"/>
      <c r="T86" s="274"/>
      <c r="U86" s="224" t="s">
        <v>34</v>
      </c>
      <c r="V86" s="225"/>
      <c r="W86" s="225"/>
      <c r="X86" s="225"/>
      <c r="Y86" s="225"/>
      <c r="Z86" s="225"/>
      <c r="AA86" s="226"/>
      <c r="AB86" s="273" t="s">
        <v>7</v>
      </c>
      <c r="AC86" s="274"/>
    </row>
    <row r="87" spans="1:32" ht="23.25" customHeight="1" x14ac:dyDescent="0.3">
      <c r="A87" s="169" t="s">
        <v>35</v>
      </c>
      <c r="B87" s="173"/>
      <c r="C87" s="173"/>
      <c r="D87" s="173"/>
      <c r="E87" s="173"/>
      <c r="F87" s="173"/>
      <c r="G87" s="173"/>
      <c r="H87" s="173"/>
      <c r="I87" s="173"/>
      <c r="J87" s="170"/>
      <c r="K87" s="275"/>
      <c r="L87" s="276"/>
      <c r="M87" s="275"/>
      <c r="N87" s="276"/>
      <c r="O87" s="290"/>
      <c r="P87" s="291"/>
      <c r="Q87" s="292"/>
      <c r="R87" s="275"/>
      <c r="S87" s="297"/>
      <c r="T87" s="276"/>
      <c r="U87" s="279" t="s">
        <v>36</v>
      </c>
      <c r="V87" s="279"/>
      <c r="W87" s="279"/>
      <c r="X87" s="279" t="s">
        <v>37</v>
      </c>
      <c r="Y87" s="279"/>
      <c r="Z87" s="279" t="s">
        <v>38</v>
      </c>
      <c r="AA87" s="279"/>
      <c r="AB87" s="275"/>
      <c r="AC87" s="276"/>
    </row>
    <row r="88" spans="1:32" x14ac:dyDescent="0.3">
      <c r="A88" s="171"/>
      <c r="B88" s="174"/>
      <c r="C88" s="174"/>
      <c r="D88" s="174"/>
      <c r="E88" s="174"/>
      <c r="F88" s="174"/>
      <c r="G88" s="174"/>
      <c r="H88" s="174"/>
      <c r="I88" s="174"/>
      <c r="J88" s="172"/>
      <c r="K88" s="277"/>
      <c r="L88" s="278"/>
      <c r="M88" s="277"/>
      <c r="N88" s="278"/>
      <c r="O88" s="293"/>
      <c r="P88" s="294"/>
      <c r="Q88" s="295"/>
      <c r="R88" s="277"/>
      <c r="S88" s="298"/>
      <c r="T88" s="278"/>
      <c r="U88" s="280"/>
      <c r="V88" s="280"/>
      <c r="W88" s="280"/>
      <c r="X88" s="280"/>
      <c r="Y88" s="280"/>
      <c r="Z88" s="280"/>
      <c r="AA88" s="280"/>
      <c r="AB88" s="277"/>
      <c r="AC88" s="278"/>
    </row>
    <row r="89" spans="1:32" ht="24.9" customHeight="1" x14ac:dyDescent="0.3">
      <c r="A89" s="281" t="s">
        <v>39</v>
      </c>
      <c r="B89" s="282"/>
      <c r="C89" s="282"/>
      <c r="D89" s="282"/>
      <c r="E89" s="282"/>
      <c r="F89" s="282"/>
      <c r="G89" s="282"/>
      <c r="H89" s="282"/>
      <c r="I89" s="282"/>
      <c r="J89" s="283"/>
      <c r="K89" s="341">
        <v>133</v>
      </c>
      <c r="L89" s="342"/>
      <c r="M89" s="341">
        <v>0</v>
      </c>
      <c r="N89" s="342"/>
      <c r="O89" s="341">
        <v>0</v>
      </c>
      <c r="P89" s="343"/>
      <c r="Q89" s="342"/>
      <c r="R89" s="341">
        <v>133</v>
      </c>
      <c r="S89" s="343"/>
      <c r="T89" s="342"/>
      <c r="U89" s="341">
        <v>0</v>
      </c>
      <c r="V89" s="343"/>
      <c r="W89" s="342"/>
      <c r="X89" s="341">
        <v>0</v>
      </c>
      <c r="Y89" s="342"/>
      <c r="Z89" s="341">
        <v>0</v>
      </c>
      <c r="AA89" s="342"/>
      <c r="AB89" s="341">
        <v>133</v>
      </c>
      <c r="AC89" s="342"/>
    </row>
    <row r="90" spans="1:32" ht="24.9" customHeight="1" x14ac:dyDescent="0.3">
      <c r="A90" s="281" t="s">
        <v>40</v>
      </c>
      <c r="B90" s="282"/>
      <c r="C90" s="282"/>
      <c r="D90" s="282"/>
      <c r="E90" s="282"/>
      <c r="F90" s="282"/>
      <c r="G90" s="282"/>
      <c r="H90" s="282"/>
      <c r="I90" s="282"/>
      <c r="J90" s="283"/>
      <c r="K90" s="341">
        <v>1189</v>
      </c>
      <c r="L90" s="342"/>
      <c r="M90" s="341">
        <v>0</v>
      </c>
      <c r="N90" s="342"/>
      <c r="O90" s="341">
        <v>0</v>
      </c>
      <c r="P90" s="343"/>
      <c r="Q90" s="342"/>
      <c r="R90" s="341">
        <v>1189</v>
      </c>
      <c r="S90" s="343"/>
      <c r="T90" s="342"/>
      <c r="U90" s="341">
        <v>0</v>
      </c>
      <c r="V90" s="343"/>
      <c r="W90" s="342"/>
      <c r="X90" s="341">
        <v>0</v>
      </c>
      <c r="Y90" s="342"/>
      <c r="Z90" s="341">
        <v>0</v>
      </c>
      <c r="AA90" s="342"/>
      <c r="AB90" s="341">
        <v>1189</v>
      </c>
      <c r="AC90" s="342"/>
    </row>
    <row r="91" spans="1:32" ht="24.9" customHeight="1" x14ac:dyDescent="0.3">
      <c r="A91" s="281" t="s">
        <v>41</v>
      </c>
      <c r="B91" s="282"/>
      <c r="C91" s="282"/>
      <c r="D91" s="282"/>
      <c r="E91" s="282"/>
      <c r="F91" s="282"/>
      <c r="G91" s="282"/>
      <c r="H91" s="282"/>
      <c r="I91" s="282"/>
      <c r="J91" s="283"/>
      <c r="K91" s="341">
        <v>2</v>
      </c>
      <c r="L91" s="342"/>
      <c r="M91" s="341">
        <v>0</v>
      </c>
      <c r="N91" s="342"/>
      <c r="O91" s="341">
        <v>0</v>
      </c>
      <c r="P91" s="343"/>
      <c r="Q91" s="342"/>
      <c r="R91" s="341">
        <v>2</v>
      </c>
      <c r="S91" s="343"/>
      <c r="T91" s="342"/>
      <c r="U91" s="341">
        <v>0</v>
      </c>
      <c r="V91" s="343"/>
      <c r="W91" s="342"/>
      <c r="X91" s="341">
        <v>0</v>
      </c>
      <c r="Y91" s="342"/>
      <c r="Z91" s="341">
        <v>0</v>
      </c>
      <c r="AA91" s="342"/>
      <c r="AB91" s="341">
        <v>2</v>
      </c>
      <c r="AC91" s="342"/>
    </row>
    <row r="92" spans="1:32" ht="24.9" customHeight="1" x14ac:dyDescent="0.3">
      <c r="A92" s="281" t="s">
        <v>42</v>
      </c>
      <c r="B92" s="282"/>
      <c r="C92" s="282"/>
      <c r="D92" s="282"/>
      <c r="E92" s="282"/>
      <c r="F92" s="282"/>
      <c r="G92" s="282"/>
      <c r="H92" s="282"/>
      <c r="I92" s="282"/>
      <c r="J92" s="283"/>
      <c r="K92" s="341">
        <v>377</v>
      </c>
      <c r="L92" s="342"/>
      <c r="M92" s="341">
        <v>0</v>
      </c>
      <c r="N92" s="342"/>
      <c r="O92" s="341">
        <v>0</v>
      </c>
      <c r="P92" s="343"/>
      <c r="Q92" s="342"/>
      <c r="R92" s="341">
        <v>377</v>
      </c>
      <c r="S92" s="343"/>
      <c r="T92" s="342"/>
      <c r="U92" s="341">
        <v>0</v>
      </c>
      <c r="V92" s="343"/>
      <c r="W92" s="342"/>
      <c r="X92" s="341">
        <v>0</v>
      </c>
      <c r="Y92" s="342"/>
      <c r="Z92" s="341">
        <v>0</v>
      </c>
      <c r="AA92" s="342"/>
      <c r="AB92" s="341">
        <v>377</v>
      </c>
      <c r="AC92" s="342"/>
    </row>
    <row r="93" spans="1:32" ht="24.9" customHeight="1" x14ac:dyDescent="0.3">
      <c r="A93" s="281" t="s">
        <v>7</v>
      </c>
      <c r="B93" s="282"/>
      <c r="C93" s="282"/>
      <c r="D93" s="282"/>
      <c r="E93" s="282"/>
      <c r="F93" s="282"/>
      <c r="G93" s="282"/>
      <c r="H93" s="282"/>
      <c r="I93" s="282"/>
      <c r="J93" s="283"/>
      <c r="K93" s="341">
        <v>1701</v>
      </c>
      <c r="L93" s="342"/>
      <c r="M93" s="341">
        <v>0</v>
      </c>
      <c r="N93" s="342"/>
      <c r="O93" s="341">
        <v>0</v>
      </c>
      <c r="P93" s="343"/>
      <c r="Q93" s="342"/>
      <c r="R93" s="341">
        <v>1701</v>
      </c>
      <c r="S93" s="343"/>
      <c r="T93" s="342"/>
      <c r="U93" s="341">
        <v>0</v>
      </c>
      <c r="V93" s="343"/>
      <c r="W93" s="342"/>
      <c r="X93" s="341">
        <v>0</v>
      </c>
      <c r="Y93" s="342"/>
      <c r="Z93" s="341">
        <v>0</v>
      </c>
      <c r="AA93" s="342"/>
      <c r="AB93" s="341">
        <v>1701</v>
      </c>
      <c r="AC93" s="342"/>
    </row>
    <row r="94" spans="1:32" ht="15.6" x14ac:dyDescent="0.3">
      <c r="A94" s="45" t="s">
        <v>43</v>
      </c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7"/>
      <c r="V94" s="47"/>
      <c r="W94" s="47"/>
      <c r="X94" s="47"/>
      <c r="Y94" s="47"/>
      <c r="Z94" s="47"/>
      <c r="AA94" s="47"/>
      <c r="AB94" s="47"/>
      <c r="AC94" s="4"/>
    </row>
    <row r="95" spans="1:32" ht="21.75" customHeight="1" x14ac:dyDescent="0.3">
      <c r="A95" s="205"/>
      <c r="B95" s="206"/>
      <c r="C95" s="206"/>
      <c r="D95" s="206"/>
      <c r="E95" s="206"/>
      <c r="F95" s="206"/>
      <c r="G95" s="206"/>
      <c r="H95" s="206"/>
      <c r="I95" s="206"/>
      <c r="J95" s="207"/>
      <c r="K95" s="224" t="s">
        <v>0</v>
      </c>
      <c r="L95" s="226"/>
      <c r="M95" s="305" t="s">
        <v>1</v>
      </c>
      <c r="N95" s="306"/>
      <c r="O95" s="301" t="s">
        <v>2</v>
      </c>
      <c r="P95" s="302"/>
      <c r="Q95" s="301" t="s">
        <v>3</v>
      </c>
      <c r="R95" s="302"/>
      <c r="S95" s="301" t="s">
        <v>4</v>
      </c>
      <c r="T95" s="302"/>
      <c r="U95" s="301" t="s">
        <v>5</v>
      </c>
      <c r="V95" s="302"/>
      <c r="W95" s="301" t="s">
        <v>6</v>
      </c>
      <c r="X95" s="302"/>
      <c r="Y95" s="301" t="s">
        <v>44</v>
      </c>
      <c r="Z95" s="302"/>
      <c r="AA95" s="301" t="s">
        <v>7</v>
      </c>
      <c r="AB95" s="302"/>
      <c r="AC95" s="303" t="s">
        <v>86</v>
      </c>
      <c r="AD95" s="5"/>
      <c r="AE95" s="6"/>
      <c r="AF95" s="6"/>
    </row>
    <row r="96" spans="1:32" x14ac:dyDescent="0.3">
      <c r="A96" s="208"/>
      <c r="B96" s="209"/>
      <c r="C96" s="209"/>
      <c r="D96" s="209"/>
      <c r="E96" s="209"/>
      <c r="F96" s="209"/>
      <c r="G96" s="209"/>
      <c r="H96" s="209"/>
      <c r="I96" s="209"/>
      <c r="J96" s="210"/>
      <c r="K96" s="7" t="s">
        <v>9</v>
      </c>
      <c r="L96" s="7" t="s">
        <v>10</v>
      </c>
      <c r="M96" s="7" t="s">
        <v>9</v>
      </c>
      <c r="N96" s="7" t="s">
        <v>10</v>
      </c>
      <c r="O96" s="7" t="s">
        <v>9</v>
      </c>
      <c r="P96" s="7" t="s">
        <v>10</v>
      </c>
      <c r="Q96" s="7" t="s">
        <v>9</v>
      </c>
      <c r="R96" s="7" t="s">
        <v>10</v>
      </c>
      <c r="S96" s="7" t="s">
        <v>9</v>
      </c>
      <c r="T96" s="7" t="s">
        <v>10</v>
      </c>
      <c r="U96" s="7" t="s">
        <v>9</v>
      </c>
      <c r="V96" s="7" t="s">
        <v>10</v>
      </c>
      <c r="W96" s="7" t="s">
        <v>9</v>
      </c>
      <c r="X96" s="7" t="s">
        <v>10</v>
      </c>
      <c r="Y96" s="7" t="s">
        <v>9</v>
      </c>
      <c r="Z96" s="7" t="s">
        <v>10</v>
      </c>
      <c r="AA96" s="7" t="s">
        <v>9</v>
      </c>
      <c r="AB96" s="7" t="s">
        <v>10</v>
      </c>
      <c r="AC96" s="304"/>
    </row>
    <row r="97" spans="1:29" ht="24.9" customHeight="1" x14ac:dyDescent="0.3">
      <c r="A97" s="281" t="s">
        <v>39</v>
      </c>
      <c r="B97" s="282"/>
      <c r="C97" s="282"/>
      <c r="D97" s="282"/>
      <c r="E97" s="282"/>
      <c r="F97" s="282"/>
      <c r="G97" s="282"/>
      <c r="H97" s="282"/>
      <c r="I97" s="282"/>
      <c r="J97" s="283"/>
      <c r="K97" s="71">
        <v>0</v>
      </c>
      <c r="L97" s="71">
        <v>0</v>
      </c>
      <c r="M97" s="71">
        <v>6</v>
      </c>
      <c r="N97" s="71">
        <v>5</v>
      </c>
      <c r="O97" s="71">
        <v>13</v>
      </c>
      <c r="P97" s="71">
        <v>24</v>
      </c>
      <c r="Q97" s="71">
        <v>17</v>
      </c>
      <c r="R97" s="71">
        <v>21</v>
      </c>
      <c r="S97" s="71">
        <v>5</v>
      </c>
      <c r="T97" s="71">
        <v>10</v>
      </c>
      <c r="U97" s="71">
        <v>3</v>
      </c>
      <c r="V97" s="71">
        <v>6</v>
      </c>
      <c r="W97" s="71">
        <v>3</v>
      </c>
      <c r="X97" s="71">
        <v>4</v>
      </c>
      <c r="Y97" s="71">
        <v>9</v>
      </c>
      <c r="Z97" s="71">
        <v>7</v>
      </c>
      <c r="AA97" s="71">
        <v>56</v>
      </c>
      <c r="AB97" s="71">
        <v>77</v>
      </c>
      <c r="AC97" s="71">
        <v>133</v>
      </c>
    </row>
    <row r="98" spans="1:29" ht="24.9" customHeight="1" x14ac:dyDescent="0.3">
      <c r="A98" s="281" t="s">
        <v>40</v>
      </c>
      <c r="B98" s="282"/>
      <c r="C98" s="282"/>
      <c r="D98" s="282"/>
      <c r="E98" s="282"/>
      <c r="F98" s="282"/>
      <c r="G98" s="282"/>
      <c r="H98" s="282"/>
      <c r="I98" s="282"/>
      <c r="J98" s="283"/>
      <c r="K98" s="71">
        <v>419</v>
      </c>
      <c r="L98" s="71">
        <v>364</v>
      </c>
      <c r="M98" s="71">
        <v>94</v>
      </c>
      <c r="N98" s="71">
        <v>95</v>
      </c>
      <c r="O98" s="71">
        <v>31</v>
      </c>
      <c r="P98" s="71">
        <v>35</v>
      </c>
      <c r="Q98" s="71">
        <v>19</v>
      </c>
      <c r="R98" s="71">
        <v>30</v>
      </c>
      <c r="S98" s="71">
        <v>13</v>
      </c>
      <c r="T98" s="71">
        <v>19</v>
      </c>
      <c r="U98" s="71">
        <v>7</v>
      </c>
      <c r="V98" s="71">
        <v>17</v>
      </c>
      <c r="W98" s="71">
        <v>10</v>
      </c>
      <c r="X98" s="71">
        <v>7</v>
      </c>
      <c r="Y98" s="71">
        <v>15</v>
      </c>
      <c r="Z98" s="71">
        <v>14</v>
      </c>
      <c r="AA98" s="71">
        <v>608</v>
      </c>
      <c r="AB98" s="71">
        <v>581</v>
      </c>
      <c r="AC98" s="71">
        <v>1189</v>
      </c>
    </row>
    <row r="99" spans="1:29" ht="24.9" customHeight="1" x14ac:dyDescent="0.3">
      <c r="A99" s="281" t="s">
        <v>41</v>
      </c>
      <c r="B99" s="282"/>
      <c r="C99" s="282"/>
      <c r="D99" s="282"/>
      <c r="E99" s="282"/>
      <c r="F99" s="282"/>
      <c r="G99" s="282"/>
      <c r="H99" s="282"/>
      <c r="I99" s="282"/>
      <c r="J99" s="283"/>
      <c r="K99" s="71">
        <v>0</v>
      </c>
      <c r="L99" s="71">
        <v>0</v>
      </c>
      <c r="M99" s="71">
        <v>0</v>
      </c>
      <c r="N99" s="71">
        <v>0</v>
      </c>
      <c r="O99" s="71">
        <v>0</v>
      </c>
      <c r="P99" s="71">
        <v>1</v>
      </c>
      <c r="Q99" s="71">
        <v>1</v>
      </c>
      <c r="R99" s="71">
        <v>0</v>
      </c>
      <c r="S99" s="71">
        <v>0</v>
      </c>
      <c r="T99" s="71">
        <v>0</v>
      </c>
      <c r="U99" s="71">
        <v>0</v>
      </c>
      <c r="V99" s="71">
        <v>0</v>
      </c>
      <c r="W99" s="71">
        <v>0</v>
      </c>
      <c r="X99" s="71">
        <v>0</v>
      </c>
      <c r="Y99" s="71">
        <v>0</v>
      </c>
      <c r="Z99" s="71">
        <v>0</v>
      </c>
      <c r="AA99" s="71">
        <v>1</v>
      </c>
      <c r="AB99" s="71">
        <v>1</v>
      </c>
      <c r="AC99" s="71">
        <v>2</v>
      </c>
    </row>
    <row r="100" spans="1:29" ht="24.9" customHeight="1" x14ac:dyDescent="0.3">
      <c r="A100" s="281" t="s">
        <v>42</v>
      </c>
      <c r="B100" s="282"/>
      <c r="C100" s="282"/>
      <c r="D100" s="282"/>
      <c r="E100" s="282"/>
      <c r="F100" s="282"/>
      <c r="G100" s="282"/>
      <c r="H100" s="282"/>
      <c r="I100" s="282"/>
      <c r="J100" s="283"/>
      <c r="K100" s="71">
        <v>97</v>
      </c>
      <c r="L100" s="71">
        <v>62</v>
      </c>
      <c r="M100" s="71">
        <v>39</v>
      </c>
      <c r="N100" s="71">
        <v>25</v>
      </c>
      <c r="O100" s="71">
        <v>45</v>
      </c>
      <c r="P100" s="71">
        <v>25</v>
      </c>
      <c r="Q100" s="71">
        <v>16</v>
      </c>
      <c r="R100" s="71">
        <v>13</v>
      </c>
      <c r="S100" s="71">
        <v>8</v>
      </c>
      <c r="T100" s="71">
        <v>13</v>
      </c>
      <c r="U100" s="71">
        <v>8</v>
      </c>
      <c r="V100" s="71">
        <v>3</v>
      </c>
      <c r="W100" s="71">
        <v>5</v>
      </c>
      <c r="X100" s="71">
        <v>8</v>
      </c>
      <c r="Y100" s="71">
        <v>2</v>
      </c>
      <c r="Z100" s="71">
        <v>8</v>
      </c>
      <c r="AA100" s="71">
        <v>220</v>
      </c>
      <c r="AB100" s="71">
        <v>157</v>
      </c>
      <c r="AC100" s="71">
        <v>377</v>
      </c>
    </row>
    <row r="101" spans="1:29" ht="24.9" customHeight="1" x14ac:dyDescent="0.3">
      <c r="A101" s="224" t="s">
        <v>7</v>
      </c>
      <c r="B101" s="225"/>
      <c r="C101" s="225"/>
      <c r="D101" s="225"/>
      <c r="E101" s="225"/>
      <c r="F101" s="225"/>
      <c r="G101" s="225"/>
      <c r="H101" s="225"/>
      <c r="I101" s="225"/>
      <c r="J101" s="226"/>
      <c r="K101" s="71">
        <v>516</v>
      </c>
      <c r="L101" s="71">
        <v>426</v>
      </c>
      <c r="M101" s="71">
        <v>139</v>
      </c>
      <c r="N101" s="71">
        <v>125</v>
      </c>
      <c r="O101" s="71">
        <v>89</v>
      </c>
      <c r="P101" s="71">
        <v>85</v>
      </c>
      <c r="Q101" s="71">
        <v>53</v>
      </c>
      <c r="R101" s="71">
        <v>64</v>
      </c>
      <c r="S101" s="71">
        <v>26</v>
      </c>
      <c r="T101" s="71">
        <v>42</v>
      </c>
      <c r="U101" s="71">
        <v>18</v>
      </c>
      <c r="V101" s="71">
        <v>26</v>
      </c>
      <c r="W101" s="71">
        <v>18</v>
      </c>
      <c r="X101" s="71">
        <v>19</v>
      </c>
      <c r="Y101" s="71">
        <v>26</v>
      </c>
      <c r="Z101" s="71">
        <v>29</v>
      </c>
      <c r="AA101" s="71">
        <v>885</v>
      </c>
      <c r="AB101" s="71">
        <v>816</v>
      </c>
      <c r="AC101" s="71">
        <v>1701</v>
      </c>
    </row>
    <row r="102" spans="1:29" ht="6.75" customHeight="1" x14ac:dyDescent="0.3">
      <c r="A102" s="8"/>
      <c r="B102" s="9"/>
      <c r="C102" s="9"/>
      <c r="D102" s="9"/>
      <c r="E102" s="9"/>
      <c r="F102" s="10"/>
      <c r="G102" s="11"/>
      <c r="H102" s="11"/>
      <c r="I102" s="11"/>
      <c r="J102" s="11"/>
      <c r="K102" s="11"/>
      <c r="L102" s="11"/>
      <c r="M102" s="50"/>
      <c r="N102" s="11"/>
      <c r="O102" s="227"/>
      <c r="P102" s="228"/>
      <c r="Q102" s="12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3"/>
    </row>
    <row r="103" spans="1:29" ht="18" customHeight="1" x14ac:dyDescent="0.3">
      <c r="A103" s="14" t="s">
        <v>45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6"/>
      <c r="M103" s="17"/>
      <c r="N103" s="14" t="s">
        <v>46</v>
      </c>
      <c r="O103" s="15"/>
      <c r="P103" s="15"/>
      <c r="Q103" s="15"/>
      <c r="R103" s="15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9"/>
    </row>
    <row r="104" spans="1:29" ht="42.75" customHeight="1" x14ac:dyDescent="0.3">
      <c r="A104" s="307" t="s">
        <v>47</v>
      </c>
      <c r="B104" s="312" t="s">
        <v>48</v>
      </c>
      <c r="C104" s="313"/>
      <c r="D104" s="314" t="s">
        <v>49</v>
      </c>
      <c r="E104" s="315"/>
      <c r="F104" s="316"/>
      <c r="G104" s="314" t="s">
        <v>50</v>
      </c>
      <c r="H104" s="315"/>
      <c r="I104" s="315"/>
      <c r="J104" s="316"/>
      <c r="K104" s="307" t="s">
        <v>51</v>
      </c>
      <c r="L104" s="307" t="s">
        <v>52</v>
      </c>
      <c r="M104" s="20"/>
      <c r="N104" s="309" t="s">
        <v>53</v>
      </c>
      <c r="O104" s="310"/>
      <c r="P104" s="311"/>
      <c r="Q104" s="309" t="s">
        <v>54</v>
      </c>
      <c r="R104" s="310"/>
      <c r="S104" s="311"/>
      <c r="T104" s="309" t="s">
        <v>55</v>
      </c>
      <c r="U104" s="310"/>
      <c r="V104" s="310"/>
      <c r="W104" s="310"/>
      <c r="X104" s="310"/>
      <c r="Y104" s="310"/>
      <c r="Z104" s="310"/>
      <c r="AA104" s="310"/>
      <c r="AB104" s="310"/>
      <c r="AC104" s="311"/>
    </row>
    <row r="105" spans="1:29" ht="48" customHeight="1" x14ac:dyDescent="0.3">
      <c r="A105" s="308"/>
      <c r="B105" s="21" t="s">
        <v>7</v>
      </c>
      <c r="C105" s="22" t="s">
        <v>87</v>
      </c>
      <c r="D105" s="22" t="s">
        <v>56</v>
      </c>
      <c r="E105" s="22" t="s">
        <v>88</v>
      </c>
      <c r="F105" s="22" t="s">
        <v>89</v>
      </c>
      <c r="G105" s="23" t="s">
        <v>56</v>
      </c>
      <c r="H105" s="22" t="s">
        <v>90</v>
      </c>
      <c r="I105" s="23" t="s">
        <v>57</v>
      </c>
      <c r="J105" s="23" t="s">
        <v>58</v>
      </c>
      <c r="K105" s="308"/>
      <c r="L105" s="308"/>
      <c r="M105" s="20"/>
      <c r="N105" s="309">
        <v>0</v>
      </c>
      <c r="O105" s="310"/>
      <c r="P105" s="311"/>
      <c r="Q105" s="309">
        <v>0</v>
      </c>
      <c r="R105" s="310"/>
      <c r="S105" s="311"/>
      <c r="T105" s="309">
        <v>0</v>
      </c>
      <c r="U105" s="310"/>
      <c r="V105" s="310"/>
      <c r="W105" s="310"/>
      <c r="X105" s="310"/>
      <c r="Y105" s="310"/>
      <c r="Z105" s="310"/>
      <c r="AA105" s="310"/>
      <c r="AB105" s="310"/>
      <c r="AC105" s="311"/>
    </row>
    <row r="106" spans="1:29" ht="38.25" customHeight="1" x14ac:dyDescent="0.3">
      <c r="A106" s="270">
        <v>224482</v>
      </c>
      <c r="B106" s="270">
        <v>3057</v>
      </c>
      <c r="C106" s="270">
        <v>68</v>
      </c>
      <c r="D106" s="270">
        <v>589</v>
      </c>
      <c r="E106" s="270">
        <v>220</v>
      </c>
      <c r="F106" s="270">
        <v>1660</v>
      </c>
      <c r="G106" s="270">
        <v>21</v>
      </c>
      <c r="H106" s="270">
        <v>7</v>
      </c>
      <c r="I106" s="270">
        <v>70</v>
      </c>
      <c r="J106" s="270">
        <v>98</v>
      </c>
      <c r="K106" s="270">
        <v>132</v>
      </c>
      <c r="L106" s="270">
        <v>475</v>
      </c>
      <c r="M106" s="20"/>
      <c r="N106" s="309" t="s">
        <v>59</v>
      </c>
      <c r="O106" s="310"/>
      <c r="P106" s="311"/>
      <c r="Q106" s="309" t="s">
        <v>60</v>
      </c>
      <c r="R106" s="310"/>
      <c r="S106" s="311"/>
      <c r="T106" s="293" t="s">
        <v>61</v>
      </c>
      <c r="U106" s="294"/>
      <c r="V106" s="294"/>
      <c r="W106" s="295"/>
      <c r="X106" s="293" t="s">
        <v>62</v>
      </c>
      <c r="Y106" s="294"/>
      <c r="Z106" s="294"/>
      <c r="AA106" s="294"/>
      <c r="AB106" s="294"/>
      <c r="AC106" s="295"/>
    </row>
    <row r="107" spans="1:29" ht="19.5" customHeight="1" x14ac:dyDescent="0.3">
      <c r="A107" s="271"/>
      <c r="B107" s="271"/>
      <c r="C107" s="271"/>
      <c r="D107" s="271"/>
      <c r="E107" s="271"/>
      <c r="F107" s="271"/>
      <c r="G107" s="271"/>
      <c r="H107" s="271"/>
      <c r="I107" s="271"/>
      <c r="J107" s="271"/>
      <c r="K107" s="271"/>
      <c r="L107" s="271"/>
      <c r="M107" s="54"/>
      <c r="N107" s="287">
        <v>0</v>
      </c>
      <c r="O107" s="288"/>
      <c r="P107" s="289"/>
      <c r="Q107" s="287">
        <v>0</v>
      </c>
      <c r="R107" s="288"/>
      <c r="S107" s="289"/>
      <c r="T107" s="287">
        <v>0</v>
      </c>
      <c r="U107" s="288"/>
      <c r="V107" s="288"/>
      <c r="W107" s="289"/>
      <c r="X107" s="24"/>
      <c r="Y107" s="309" t="s">
        <v>0</v>
      </c>
      <c r="Z107" s="311"/>
      <c r="AA107" s="25" t="s">
        <v>1</v>
      </c>
      <c r="AB107" s="309" t="s">
        <v>63</v>
      </c>
      <c r="AC107" s="311"/>
    </row>
    <row r="108" spans="1:29" ht="18" customHeight="1" x14ac:dyDescent="0.3">
      <c r="A108" s="271"/>
      <c r="B108" s="271"/>
      <c r="C108" s="271"/>
      <c r="D108" s="271"/>
      <c r="E108" s="271"/>
      <c r="F108" s="271"/>
      <c r="G108" s="271"/>
      <c r="H108" s="271"/>
      <c r="I108" s="271"/>
      <c r="J108" s="271"/>
      <c r="K108" s="271"/>
      <c r="L108" s="271"/>
      <c r="M108" s="54"/>
      <c r="N108" s="290"/>
      <c r="O108" s="291"/>
      <c r="P108" s="292"/>
      <c r="Q108" s="290"/>
      <c r="R108" s="291"/>
      <c r="S108" s="292"/>
      <c r="T108" s="290"/>
      <c r="U108" s="291"/>
      <c r="V108" s="291"/>
      <c r="W108" s="292"/>
      <c r="X108" s="26" t="s">
        <v>64</v>
      </c>
      <c r="Y108" s="224">
        <v>0</v>
      </c>
      <c r="Z108" s="226"/>
      <c r="AA108" s="7">
        <v>0</v>
      </c>
      <c r="AB108" s="224">
        <v>0</v>
      </c>
      <c r="AC108" s="226"/>
    </row>
    <row r="109" spans="1:29" ht="18" customHeight="1" x14ac:dyDescent="0.3">
      <c r="A109" s="271"/>
      <c r="B109" s="271"/>
      <c r="C109" s="271"/>
      <c r="D109" s="271"/>
      <c r="E109" s="271"/>
      <c r="F109" s="271"/>
      <c r="G109" s="271"/>
      <c r="H109" s="271"/>
      <c r="I109" s="271"/>
      <c r="J109" s="271"/>
      <c r="K109" s="271"/>
      <c r="L109" s="271"/>
      <c r="M109" s="54"/>
      <c r="N109" s="290"/>
      <c r="O109" s="291"/>
      <c r="P109" s="292"/>
      <c r="Q109" s="290"/>
      <c r="R109" s="291"/>
      <c r="S109" s="292"/>
      <c r="T109" s="290"/>
      <c r="U109" s="291"/>
      <c r="V109" s="291"/>
      <c r="W109" s="292"/>
      <c r="X109" s="26" t="s">
        <v>65</v>
      </c>
      <c r="Y109" s="224">
        <v>0</v>
      </c>
      <c r="Z109" s="226"/>
      <c r="AA109" s="7">
        <v>0</v>
      </c>
      <c r="AB109" s="224">
        <v>0</v>
      </c>
      <c r="AC109" s="226"/>
    </row>
    <row r="110" spans="1:29" ht="18" customHeight="1" x14ac:dyDescent="0.3">
      <c r="A110" s="272"/>
      <c r="B110" s="272"/>
      <c r="C110" s="272"/>
      <c r="D110" s="272"/>
      <c r="E110" s="272"/>
      <c r="F110" s="272"/>
      <c r="G110" s="272"/>
      <c r="H110" s="272"/>
      <c r="I110" s="272"/>
      <c r="J110" s="272"/>
      <c r="K110" s="272"/>
      <c r="L110" s="272"/>
      <c r="M110" s="54"/>
      <c r="N110" s="293"/>
      <c r="O110" s="294"/>
      <c r="P110" s="295"/>
      <c r="Q110" s="293"/>
      <c r="R110" s="294"/>
      <c r="S110" s="295"/>
      <c r="T110" s="293"/>
      <c r="U110" s="294"/>
      <c r="V110" s="294"/>
      <c r="W110" s="295"/>
      <c r="X110" s="26" t="s">
        <v>66</v>
      </c>
      <c r="Y110" s="224">
        <v>0</v>
      </c>
      <c r="Z110" s="226"/>
      <c r="AA110" s="7">
        <v>0</v>
      </c>
      <c r="AB110" s="224">
        <v>0</v>
      </c>
      <c r="AC110" s="226"/>
    </row>
    <row r="111" spans="1:29" ht="8.25" customHeight="1" x14ac:dyDescent="0.3">
      <c r="A111" s="27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59"/>
      <c r="N111" s="28"/>
      <c r="O111" s="28"/>
      <c r="P111" s="28"/>
      <c r="Q111" s="28"/>
      <c r="R111" s="28"/>
      <c r="S111" s="28"/>
      <c r="T111" s="28"/>
      <c r="U111" s="29"/>
      <c r="V111" s="29"/>
      <c r="W111" s="29"/>
      <c r="X111" s="29"/>
      <c r="Y111" s="29"/>
      <c r="Z111" s="29"/>
      <c r="AA111" s="28"/>
      <c r="AB111" s="28"/>
      <c r="AC111" s="4"/>
    </row>
    <row r="112" spans="1:29" ht="18" customHeight="1" x14ac:dyDescent="0.3">
      <c r="A112" s="14" t="s">
        <v>67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6"/>
      <c r="M112" s="30"/>
      <c r="N112" s="14" t="s">
        <v>68</v>
      </c>
      <c r="O112" s="16"/>
      <c r="P112" s="15"/>
      <c r="Q112" s="31"/>
      <c r="R112" s="15"/>
      <c r="S112" s="15"/>
      <c r="T112" s="15"/>
      <c r="U112" s="15"/>
      <c r="V112" s="15"/>
      <c r="W112" s="15"/>
      <c r="X112" s="15"/>
      <c r="Y112" s="15"/>
      <c r="Z112" s="15"/>
      <c r="AA112" s="18"/>
      <c r="AB112" s="18"/>
      <c r="AC112" s="32"/>
    </row>
    <row r="113" spans="1:29" ht="57" customHeight="1" x14ac:dyDescent="0.3">
      <c r="A113" s="205"/>
      <c r="B113" s="206"/>
      <c r="C113" s="206"/>
      <c r="D113" s="206"/>
      <c r="E113" s="206"/>
      <c r="F113" s="207"/>
      <c r="G113" s="224" t="s">
        <v>11</v>
      </c>
      <c r="H113" s="226"/>
      <c r="I113" s="224" t="s">
        <v>12</v>
      </c>
      <c r="J113" s="226"/>
      <c r="K113" s="33" t="s">
        <v>69</v>
      </c>
      <c r="L113" s="34"/>
      <c r="M113" s="62"/>
      <c r="N113" s="314" t="s">
        <v>70</v>
      </c>
      <c r="O113" s="315"/>
      <c r="P113" s="316"/>
      <c r="Q113" s="314" t="s">
        <v>71</v>
      </c>
      <c r="R113" s="315"/>
      <c r="S113" s="316"/>
      <c r="T113" s="314" t="s">
        <v>72</v>
      </c>
      <c r="U113" s="315"/>
      <c r="V113" s="316"/>
      <c r="W113" s="314" t="s">
        <v>73</v>
      </c>
      <c r="X113" s="315"/>
      <c r="Y113" s="315"/>
      <c r="Z113" s="316"/>
      <c r="AA113" s="314" t="s">
        <v>74</v>
      </c>
      <c r="AB113" s="315"/>
      <c r="AC113" s="316"/>
    </row>
    <row r="114" spans="1:29" ht="15" customHeight="1" x14ac:dyDescent="0.3">
      <c r="A114" s="208"/>
      <c r="B114" s="209"/>
      <c r="C114" s="209"/>
      <c r="D114" s="209"/>
      <c r="E114" s="209"/>
      <c r="F114" s="210"/>
      <c r="G114" s="7" t="s">
        <v>75</v>
      </c>
      <c r="H114" s="7" t="s">
        <v>13</v>
      </c>
      <c r="I114" s="7" t="s">
        <v>75</v>
      </c>
      <c r="J114" s="7" t="s">
        <v>13</v>
      </c>
      <c r="K114" s="7" t="s">
        <v>75</v>
      </c>
      <c r="L114" s="7" t="s">
        <v>13</v>
      </c>
      <c r="M114" s="63"/>
      <c r="N114" s="35" t="s">
        <v>0</v>
      </c>
      <c r="O114" s="36" t="s">
        <v>1</v>
      </c>
      <c r="P114" s="36" t="s">
        <v>91</v>
      </c>
      <c r="Q114" s="35" t="s">
        <v>0</v>
      </c>
      <c r="R114" s="36" t="s">
        <v>1</v>
      </c>
      <c r="S114" s="36" t="s">
        <v>91</v>
      </c>
      <c r="T114" s="35" t="s">
        <v>0</v>
      </c>
      <c r="U114" s="36" t="s">
        <v>1</v>
      </c>
      <c r="V114" s="36" t="s">
        <v>91</v>
      </c>
      <c r="W114" s="37"/>
      <c r="X114" s="35" t="s">
        <v>0</v>
      </c>
      <c r="Y114" s="38" t="s">
        <v>1</v>
      </c>
      <c r="Z114" s="39" t="s">
        <v>76</v>
      </c>
      <c r="AA114" s="35" t="s">
        <v>0</v>
      </c>
      <c r="AB114" s="38" t="s">
        <v>1</v>
      </c>
      <c r="AC114" s="39" t="s">
        <v>76</v>
      </c>
    </row>
    <row r="115" spans="1:29" ht="24.9" customHeight="1" x14ac:dyDescent="0.3">
      <c r="A115" s="299" t="s">
        <v>77</v>
      </c>
      <c r="B115" s="318"/>
      <c r="C115" s="318"/>
      <c r="D115" s="318"/>
      <c r="E115" s="318"/>
      <c r="F115" s="300"/>
      <c r="G115" s="7">
        <v>105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63"/>
      <c r="N115" s="344">
        <v>16</v>
      </c>
      <c r="O115" s="344">
        <v>49</v>
      </c>
      <c r="P115" s="344">
        <v>214</v>
      </c>
      <c r="Q115" s="344">
        <v>13</v>
      </c>
      <c r="R115" s="344">
        <v>39</v>
      </c>
      <c r="S115" s="344">
        <v>193</v>
      </c>
      <c r="T115" s="344">
        <v>0</v>
      </c>
      <c r="U115" s="344">
        <v>0</v>
      </c>
      <c r="V115" s="344">
        <v>4</v>
      </c>
      <c r="W115" s="40" t="s">
        <v>64</v>
      </c>
      <c r="X115" s="7">
        <v>2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</row>
    <row r="116" spans="1:29" ht="24.9" customHeight="1" x14ac:dyDescent="0.3">
      <c r="A116" s="299" t="s">
        <v>8</v>
      </c>
      <c r="B116" s="318"/>
      <c r="C116" s="318"/>
      <c r="D116" s="318"/>
      <c r="E116" s="318"/>
      <c r="F116" s="300"/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63"/>
      <c r="N116" s="345"/>
      <c r="O116" s="345"/>
      <c r="P116" s="345"/>
      <c r="Q116" s="345"/>
      <c r="R116" s="345"/>
      <c r="S116" s="345"/>
      <c r="T116" s="345"/>
      <c r="U116" s="345"/>
      <c r="V116" s="345"/>
      <c r="W116" s="40" t="s">
        <v>65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</row>
    <row r="117" spans="1:29" ht="24.9" customHeight="1" x14ac:dyDescent="0.3">
      <c r="A117" s="309" t="s">
        <v>78</v>
      </c>
      <c r="B117" s="310"/>
      <c r="C117" s="310"/>
      <c r="D117" s="310"/>
      <c r="E117" s="310"/>
      <c r="F117" s="311"/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63"/>
      <c r="N117" s="345"/>
      <c r="O117" s="345"/>
      <c r="P117" s="345"/>
      <c r="Q117" s="345"/>
      <c r="R117" s="345"/>
      <c r="S117" s="345"/>
      <c r="T117" s="345"/>
      <c r="U117" s="345"/>
      <c r="V117" s="345"/>
      <c r="W117" s="319" t="s">
        <v>66</v>
      </c>
      <c r="X117" s="321">
        <v>9</v>
      </c>
      <c r="Y117" s="321">
        <v>25</v>
      </c>
      <c r="Z117" s="321">
        <v>0</v>
      </c>
      <c r="AA117" s="321">
        <v>0</v>
      </c>
      <c r="AB117" s="321">
        <v>0</v>
      </c>
      <c r="AC117" s="321">
        <v>0</v>
      </c>
    </row>
    <row r="118" spans="1:29" ht="24.9" customHeight="1" x14ac:dyDescent="0.3">
      <c r="A118" s="224" t="s">
        <v>7</v>
      </c>
      <c r="B118" s="225"/>
      <c r="C118" s="225"/>
      <c r="D118" s="225"/>
      <c r="E118" s="225"/>
      <c r="F118" s="226"/>
      <c r="G118" s="7">
        <v>105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63"/>
      <c r="N118" s="346"/>
      <c r="O118" s="346"/>
      <c r="P118" s="346"/>
      <c r="Q118" s="346"/>
      <c r="R118" s="346"/>
      <c r="S118" s="346"/>
      <c r="T118" s="346"/>
      <c r="U118" s="346"/>
      <c r="V118" s="346"/>
      <c r="W118" s="320"/>
      <c r="X118" s="323"/>
      <c r="Y118" s="323"/>
      <c r="Z118" s="323"/>
      <c r="AA118" s="323"/>
      <c r="AB118" s="323"/>
      <c r="AC118" s="323"/>
    </row>
    <row r="119" spans="1:29" ht="23.4" x14ac:dyDescent="0.45">
      <c r="A119" s="158" t="s">
        <v>15</v>
      </c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  <c r="Z119" s="158"/>
      <c r="AA119" s="158"/>
      <c r="AB119" s="158"/>
      <c r="AC119" s="158"/>
    </row>
    <row r="120" spans="1:29" ht="23.4" x14ac:dyDescent="0.3">
      <c r="A120" s="159" t="s">
        <v>16</v>
      </c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2"/>
      <c r="Y120" s="160" t="s">
        <v>17</v>
      </c>
      <c r="Z120" s="160"/>
      <c r="AA120" s="2"/>
      <c r="AB120" s="2"/>
      <c r="AC120" s="2"/>
    </row>
    <row r="121" spans="1:29" ht="30.9" customHeight="1" x14ac:dyDescent="0.3">
      <c r="A121" s="326" t="s">
        <v>18</v>
      </c>
      <c r="B121" s="326"/>
      <c r="C121" s="326"/>
      <c r="D121" s="326"/>
      <c r="E121" s="327" t="s">
        <v>100</v>
      </c>
      <c r="F121" s="327"/>
      <c r="G121" s="327"/>
      <c r="H121" s="327"/>
      <c r="I121" s="328" t="s">
        <v>20</v>
      </c>
      <c r="J121" s="328"/>
      <c r="K121" s="163" t="s">
        <v>85</v>
      </c>
      <c r="L121" s="163"/>
      <c r="M121" s="328" t="s">
        <v>21</v>
      </c>
      <c r="N121" s="328"/>
      <c r="O121" s="165" t="s">
        <v>101</v>
      </c>
      <c r="P121" s="165"/>
      <c r="Q121" s="165"/>
      <c r="R121" s="165"/>
      <c r="S121" s="43"/>
      <c r="T121" s="166" t="s">
        <v>22</v>
      </c>
      <c r="U121" s="166"/>
      <c r="V121" s="166"/>
      <c r="W121" s="166"/>
      <c r="X121" s="166"/>
      <c r="Y121" s="152" t="s">
        <v>81</v>
      </c>
      <c r="Z121" s="152"/>
      <c r="AA121" s="152"/>
      <c r="AB121" s="153" t="s">
        <v>83</v>
      </c>
      <c r="AC121" s="153"/>
    </row>
    <row r="122" spans="1:29" ht="15" customHeight="1" x14ac:dyDescent="0.3">
      <c r="T122" s="166"/>
      <c r="U122" s="166"/>
      <c r="V122" s="166"/>
      <c r="W122" s="166"/>
      <c r="X122" s="166"/>
      <c r="Y122" s="152"/>
      <c r="Z122" s="152"/>
      <c r="AA122" s="152"/>
      <c r="AB122" s="153"/>
      <c r="AC122" s="153"/>
    </row>
    <row r="123" spans="1:29" ht="15.6" x14ac:dyDescent="0.3">
      <c r="A123" s="324" t="s">
        <v>24</v>
      </c>
      <c r="B123" s="324"/>
      <c r="C123" s="324"/>
      <c r="D123" s="324"/>
      <c r="E123" s="324"/>
      <c r="F123" s="324"/>
      <c r="G123" s="324"/>
      <c r="H123" s="347" t="s">
        <v>25</v>
      </c>
      <c r="I123" s="347"/>
      <c r="J123" s="347"/>
      <c r="K123" s="347"/>
      <c r="L123" s="347"/>
      <c r="M123" s="347"/>
      <c r="N123" s="347"/>
      <c r="O123" s="44"/>
      <c r="P123" s="44"/>
      <c r="T123" s="156" t="s">
        <v>26</v>
      </c>
      <c r="U123" s="156"/>
      <c r="V123" s="156"/>
      <c r="W123" s="156"/>
      <c r="X123" s="156"/>
      <c r="Y123" s="156"/>
      <c r="Z123" s="265" t="s">
        <v>27</v>
      </c>
      <c r="AA123" s="265"/>
      <c r="AB123" s="265"/>
      <c r="AC123" s="265"/>
    </row>
    <row r="124" spans="1:29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5" customHeight="1" x14ac:dyDescent="0.3">
      <c r="A125" s="284" t="s">
        <v>29</v>
      </c>
      <c r="B125" s="285"/>
      <c r="C125" s="285"/>
      <c r="D125" s="285"/>
      <c r="E125" s="285"/>
      <c r="F125" s="285"/>
      <c r="G125" s="285"/>
      <c r="H125" s="285"/>
      <c r="I125" s="285"/>
      <c r="J125" s="286"/>
      <c r="K125" s="273" t="s">
        <v>30</v>
      </c>
      <c r="L125" s="274"/>
      <c r="M125" s="273" t="s">
        <v>31</v>
      </c>
      <c r="N125" s="274"/>
      <c r="O125" s="287" t="s">
        <v>32</v>
      </c>
      <c r="P125" s="288"/>
      <c r="Q125" s="289"/>
      <c r="R125" s="273" t="s">
        <v>33</v>
      </c>
      <c r="S125" s="296"/>
      <c r="T125" s="274"/>
      <c r="U125" s="224" t="s">
        <v>34</v>
      </c>
      <c r="V125" s="225"/>
      <c r="W125" s="225"/>
      <c r="X125" s="225"/>
      <c r="Y125" s="225"/>
      <c r="Z125" s="225"/>
      <c r="AA125" s="226"/>
      <c r="AB125" s="273" t="s">
        <v>7</v>
      </c>
      <c r="AC125" s="274"/>
    </row>
    <row r="126" spans="1:29" ht="23.25" customHeight="1" x14ac:dyDescent="0.3">
      <c r="A126" s="169" t="s">
        <v>35</v>
      </c>
      <c r="B126" s="173"/>
      <c r="C126" s="173"/>
      <c r="D126" s="173"/>
      <c r="E126" s="173"/>
      <c r="F126" s="173"/>
      <c r="G126" s="173"/>
      <c r="H126" s="173"/>
      <c r="I126" s="173"/>
      <c r="J126" s="170"/>
      <c r="K126" s="275"/>
      <c r="L126" s="276"/>
      <c r="M126" s="275"/>
      <c r="N126" s="276"/>
      <c r="O126" s="290"/>
      <c r="P126" s="291"/>
      <c r="Q126" s="292"/>
      <c r="R126" s="275"/>
      <c r="S126" s="297"/>
      <c r="T126" s="276"/>
      <c r="U126" s="279" t="s">
        <v>36</v>
      </c>
      <c r="V126" s="279"/>
      <c r="W126" s="279"/>
      <c r="X126" s="279" t="s">
        <v>37</v>
      </c>
      <c r="Y126" s="279"/>
      <c r="Z126" s="279" t="s">
        <v>38</v>
      </c>
      <c r="AA126" s="279"/>
      <c r="AB126" s="275"/>
      <c r="AC126" s="276"/>
    </row>
    <row r="127" spans="1:29" x14ac:dyDescent="0.3">
      <c r="A127" s="171"/>
      <c r="B127" s="174"/>
      <c r="C127" s="174"/>
      <c r="D127" s="174"/>
      <c r="E127" s="174"/>
      <c r="F127" s="174"/>
      <c r="G127" s="174"/>
      <c r="H127" s="174"/>
      <c r="I127" s="174"/>
      <c r="J127" s="172"/>
      <c r="K127" s="277"/>
      <c r="L127" s="278"/>
      <c r="M127" s="277"/>
      <c r="N127" s="278"/>
      <c r="O127" s="293"/>
      <c r="P127" s="294"/>
      <c r="Q127" s="295"/>
      <c r="R127" s="277"/>
      <c r="S127" s="298"/>
      <c r="T127" s="278"/>
      <c r="U127" s="280"/>
      <c r="V127" s="280"/>
      <c r="W127" s="280"/>
      <c r="X127" s="280"/>
      <c r="Y127" s="280"/>
      <c r="Z127" s="280"/>
      <c r="AA127" s="280"/>
      <c r="AB127" s="277"/>
      <c r="AC127" s="278"/>
    </row>
    <row r="128" spans="1:29" ht="24.9" customHeight="1" x14ac:dyDescent="0.3">
      <c r="A128" s="281" t="s">
        <v>39</v>
      </c>
      <c r="B128" s="282"/>
      <c r="C128" s="282"/>
      <c r="D128" s="282"/>
      <c r="E128" s="282"/>
      <c r="F128" s="282"/>
      <c r="G128" s="282"/>
      <c r="H128" s="282"/>
      <c r="I128" s="282"/>
      <c r="J128" s="283"/>
      <c r="K128" s="341">
        <v>105</v>
      </c>
      <c r="L128" s="342"/>
      <c r="M128" s="341">
        <v>3</v>
      </c>
      <c r="N128" s="342"/>
      <c r="O128" s="341">
        <v>0</v>
      </c>
      <c r="P128" s="343"/>
      <c r="Q128" s="342"/>
      <c r="R128" s="341">
        <v>108</v>
      </c>
      <c r="S128" s="343"/>
      <c r="T128" s="342"/>
      <c r="U128" s="341">
        <v>0</v>
      </c>
      <c r="V128" s="343"/>
      <c r="W128" s="342"/>
      <c r="X128" s="341">
        <v>0</v>
      </c>
      <c r="Y128" s="342"/>
      <c r="Z128" s="341">
        <v>1</v>
      </c>
      <c r="AA128" s="342"/>
      <c r="AB128" s="341">
        <v>109</v>
      </c>
      <c r="AC128" s="342"/>
    </row>
    <row r="129" spans="1:32" ht="24.9" customHeight="1" x14ac:dyDescent="0.3">
      <c r="A129" s="281" t="s">
        <v>40</v>
      </c>
      <c r="B129" s="282"/>
      <c r="C129" s="282"/>
      <c r="D129" s="282"/>
      <c r="E129" s="282"/>
      <c r="F129" s="282"/>
      <c r="G129" s="282"/>
      <c r="H129" s="282"/>
      <c r="I129" s="282"/>
      <c r="J129" s="283"/>
      <c r="K129" s="341">
        <v>872</v>
      </c>
      <c r="L129" s="342"/>
      <c r="M129" s="341">
        <v>0</v>
      </c>
      <c r="N129" s="342"/>
      <c r="O129" s="341">
        <v>0</v>
      </c>
      <c r="P129" s="343"/>
      <c r="Q129" s="342"/>
      <c r="R129" s="341">
        <v>872</v>
      </c>
      <c r="S129" s="343"/>
      <c r="T129" s="342"/>
      <c r="U129" s="341">
        <v>0</v>
      </c>
      <c r="V129" s="343"/>
      <c r="W129" s="342"/>
      <c r="X129" s="341">
        <v>0</v>
      </c>
      <c r="Y129" s="342"/>
      <c r="Z129" s="341">
        <v>0</v>
      </c>
      <c r="AA129" s="342"/>
      <c r="AB129" s="341">
        <v>872</v>
      </c>
      <c r="AC129" s="342"/>
    </row>
    <row r="130" spans="1:32" ht="24.9" customHeight="1" x14ac:dyDescent="0.3">
      <c r="A130" s="281" t="s">
        <v>41</v>
      </c>
      <c r="B130" s="282"/>
      <c r="C130" s="282"/>
      <c r="D130" s="282"/>
      <c r="E130" s="282"/>
      <c r="F130" s="282"/>
      <c r="G130" s="282"/>
      <c r="H130" s="282"/>
      <c r="I130" s="282"/>
      <c r="J130" s="283"/>
      <c r="K130" s="341">
        <v>19</v>
      </c>
      <c r="L130" s="342"/>
      <c r="M130" s="341">
        <v>0</v>
      </c>
      <c r="N130" s="342"/>
      <c r="O130" s="341">
        <v>0</v>
      </c>
      <c r="P130" s="343"/>
      <c r="Q130" s="342"/>
      <c r="R130" s="341">
        <v>19</v>
      </c>
      <c r="S130" s="343"/>
      <c r="T130" s="342"/>
      <c r="U130" s="341">
        <v>0</v>
      </c>
      <c r="V130" s="343"/>
      <c r="W130" s="342"/>
      <c r="X130" s="341">
        <v>0</v>
      </c>
      <c r="Y130" s="342"/>
      <c r="Z130" s="341">
        <v>0</v>
      </c>
      <c r="AA130" s="342"/>
      <c r="AB130" s="341">
        <v>19</v>
      </c>
      <c r="AC130" s="342"/>
    </row>
    <row r="131" spans="1:32" ht="24.9" customHeight="1" x14ac:dyDescent="0.3">
      <c r="A131" s="281" t="s">
        <v>42</v>
      </c>
      <c r="B131" s="282"/>
      <c r="C131" s="282"/>
      <c r="D131" s="282"/>
      <c r="E131" s="282"/>
      <c r="F131" s="282"/>
      <c r="G131" s="282"/>
      <c r="H131" s="282"/>
      <c r="I131" s="282"/>
      <c r="J131" s="283"/>
      <c r="K131" s="341">
        <v>267</v>
      </c>
      <c r="L131" s="342"/>
      <c r="M131" s="341">
        <v>0</v>
      </c>
      <c r="N131" s="342"/>
      <c r="O131" s="341">
        <v>0</v>
      </c>
      <c r="P131" s="343"/>
      <c r="Q131" s="342"/>
      <c r="R131" s="341">
        <v>267</v>
      </c>
      <c r="S131" s="343"/>
      <c r="T131" s="342"/>
      <c r="U131" s="341">
        <v>0</v>
      </c>
      <c r="V131" s="343"/>
      <c r="W131" s="342"/>
      <c r="X131" s="341">
        <v>0</v>
      </c>
      <c r="Y131" s="342"/>
      <c r="Z131" s="341">
        <v>0</v>
      </c>
      <c r="AA131" s="342"/>
      <c r="AB131" s="341">
        <v>267</v>
      </c>
      <c r="AC131" s="342"/>
    </row>
    <row r="132" spans="1:32" ht="24.9" customHeight="1" x14ac:dyDescent="0.3">
      <c r="A132" s="281" t="s">
        <v>7</v>
      </c>
      <c r="B132" s="282"/>
      <c r="C132" s="282"/>
      <c r="D132" s="282"/>
      <c r="E132" s="282"/>
      <c r="F132" s="282"/>
      <c r="G132" s="282"/>
      <c r="H132" s="282"/>
      <c r="I132" s="282"/>
      <c r="J132" s="283"/>
      <c r="K132" s="224">
        <v>1263</v>
      </c>
      <c r="L132" s="226"/>
      <c r="M132" s="224">
        <v>3</v>
      </c>
      <c r="N132" s="226"/>
      <c r="O132" s="224">
        <v>0</v>
      </c>
      <c r="P132" s="225"/>
      <c r="Q132" s="226"/>
      <c r="R132" s="224">
        <v>1266</v>
      </c>
      <c r="S132" s="225"/>
      <c r="T132" s="226"/>
      <c r="U132" s="224">
        <v>0</v>
      </c>
      <c r="V132" s="225"/>
      <c r="W132" s="226"/>
      <c r="X132" s="224">
        <v>0</v>
      </c>
      <c r="Y132" s="226"/>
      <c r="Z132" s="224">
        <v>1</v>
      </c>
      <c r="AA132" s="226"/>
      <c r="AB132" s="224">
        <v>1267</v>
      </c>
      <c r="AC132" s="226"/>
    </row>
    <row r="133" spans="1:32" ht="15.6" x14ac:dyDescent="0.3">
      <c r="A133" s="45" t="s">
        <v>43</v>
      </c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7"/>
      <c r="V133" s="47"/>
      <c r="W133" s="47"/>
      <c r="X133" s="47"/>
      <c r="Y133" s="47"/>
      <c r="Z133" s="47"/>
      <c r="AA133" s="47"/>
      <c r="AB133" s="47"/>
      <c r="AC133" s="4"/>
    </row>
    <row r="134" spans="1:32" ht="21.75" customHeight="1" x14ac:dyDescent="0.3">
      <c r="A134" s="205"/>
      <c r="B134" s="206"/>
      <c r="C134" s="206"/>
      <c r="D134" s="206"/>
      <c r="E134" s="206"/>
      <c r="F134" s="206"/>
      <c r="G134" s="206"/>
      <c r="H134" s="206"/>
      <c r="I134" s="206"/>
      <c r="J134" s="207"/>
      <c r="K134" s="224" t="s">
        <v>0</v>
      </c>
      <c r="L134" s="226"/>
      <c r="M134" s="305" t="s">
        <v>1</v>
      </c>
      <c r="N134" s="306"/>
      <c r="O134" s="301" t="s">
        <v>2</v>
      </c>
      <c r="P134" s="302"/>
      <c r="Q134" s="301" t="s">
        <v>3</v>
      </c>
      <c r="R134" s="302"/>
      <c r="S134" s="301" t="s">
        <v>4</v>
      </c>
      <c r="T134" s="302"/>
      <c r="U134" s="301" t="s">
        <v>5</v>
      </c>
      <c r="V134" s="302"/>
      <c r="W134" s="301" t="s">
        <v>6</v>
      </c>
      <c r="X134" s="302"/>
      <c r="Y134" s="301" t="s">
        <v>44</v>
      </c>
      <c r="Z134" s="302"/>
      <c r="AA134" s="301" t="s">
        <v>7</v>
      </c>
      <c r="AB134" s="302"/>
      <c r="AC134" s="303" t="s">
        <v>86</v>
      </c>
      <c r="AD134" s="5"/>
      <c r="AE134" s="6"/>
      <c r="AF134" s="6"/>
    </row>
    <row r="135" spans="1:32" x14ac:dyDescent="0.3">
      <c r="A135" s="208"/>
      <c r="B135" s="209"/>
      <c r="C135" s="209"/>
      <c r="D135" s="209"/>
      <c r="E135" s="209"/>
      <c r="F135" s="209"/>
      <c r="G135" s="209"/>
      <c r="H135" s="209"/>
      <c r="I135" s="209"/>
      <c r="J135" s="210"/>
      <c r="K135" s="7" t="s">
        <v>9</v>
      </c>
      <c r="L135" s="7" t="s">
        <v>10</v>
      </c>
      <c r="M135" s="7" t="s">
        <v>9</v>
      </c>
      <c r="N135" s="7" t="s">
        <v>10</v>
      </c>
      <c r="O135" s="7" t="s">
        <v>9</v>
      </c>
      <c r="P135" s="7" t="s">
        <v>10</v>
      </c>
      <c r="Q135" s="7" t="s">
        <v>9</v>
      </c>
      <c r="R135" s="7" t="s">
        <v>10</v>
      </c>
      <c r="S135" s="7" t="s">
        <v>9</v>
      </c>
      <c r="T135" s="7" t="s">
        <v>10</v>
      </c>
      <c r="U135" s="7" t="s">
        <v>9</v>
      </c>
      <c r="V135" s="7" t="s">
        <v>10</v>
      </c>
      <c r="W135" s="7" t="s">
        <v>9</v>
      </c>
      <c r="X135" s="7" t="s">
        <v>10</v>
      </c>
      <c r="Y135" s="7" t="s">
        <v>9</v>
      </c>
      <c r="Z135" s="7" t="s">
        <v>10</v>
      </c>
      <c r="AA135" s="7" t="s">
        <v>9</v>
      </c>
      <c r="AB135" s="7" t="s">
        <v>10</v>
      </c>
      <c r="AC135" s="304"/>
    </row>
    <row r="136" spans="1:32" ht="24.9" customHeight="1" x14ac:dyDescent="0.3">
      <c r="A136" s="281" t="s">
        <v>39</v>
      </c>
      <c r="B136" s="282"/>
      <c r="C136" s="282"/>
      <c r="D136" s="282"/>
      <c r="E136" s="282"/>
      <c r="F136" s="282"/>
      <c r="G136" s="282"/>
      <c r="H136" s="282"/>
      <c r="I136" s="282"/>
      <c r="J136" s="283"/>
      <c r="K136" s="7">
        <v>1</v>
      </c>
      <c r="L136" s="7">
        <v>0</v>
      </c>
      <c r="M136" s="7">
        <v>3</v>
      </c>
      <c r="N136" s="7">
        <v>7</v>
      </c>
      <c r="O136" s="7">
        <v>13</v>
      </c>
      <c r="P136" s="7">
        <v>17</v>
      </c>
      <c r="Q136" s="7">
        <v>12</v>
      </c>
      <c r="R136" s="7">
        <v>12</v>
      </c>
      <c r="S136" s="7">
        <v>1</v>
      </c>
      <c r="T136" s="7">
        <v>12</v>
      </c>
      <c r="U136" s="7">
        <v>5</v>
      </c>
      <c r="V136" s="7">
        <v>6</v>
      </c>
      <c r="W136" s="7">
        <v>1</v>
      </c>
      <c r="X136" s="7">
        <v>4</v>
      </c>
      <c r="Y136" s="7">
        <v>7</v>
      </c>
      <c r="Z136" s="7">
        <v>7</v>
      </c>
      <c r="AA136" s="7">
        <v>43</v>
      </c>
      <c r="AB136" s="7">
        <v>65</v>
      </c>
      <c r="AC136" s="7">
        <v>108</v>
      </c>
    </row>
    <row r="137" spans="1:32" ht="24.9" customHeight="1" x14ac:dyDescent="0.3">
      <c r="A137" s="281" t="s">
        <v>40</v>
      </c>
      <c r="B137" s="282"/>
      <c r="C137" s="282"/>
      <c r="D137" s="282"/>
      <c r="E137" s="282"/>
      <c r="F137" s="282"/>
      <c r="G137" s="282"/>
      <c r="H137" s="282"/>
      <c r="I137" s="282"/>
      <c r="J137" s="283"/>
      <c r="K137" s="7">
        <v>305</v>
      </c>
      <c r="L137" s="7">
        <v>249</v>
      </c>
      <c r="M137" s="7">
        <v>89</v>
      </c>
      <c r="N137" s="7">
        <v>70</v>
      </c>
      <c r="O137" s="7">
        <v>19</v>
      </c>
      <c r="P137" s="7">
        <v>24</v>
      </c>
      <c r="Q137" s="7">
        <v>11</v>
      </c>
      <c r="R137" s="7">
        <v>21</v>
      </c>
      <c r="S137" s="7">
        <v>9</v>
      </c>
      <c r="T137" s="7">
        <v>12</v>
      </c>
      <c r="U137" s="7">
        <v>6</v>
      </c>
      <c r="V137" s="7">
        <v>7</v>
      </c>
      <c r="W137" s="7">
        <v>12</v>
      </c>
      <c r="X137" s="7">
        <v>6</v>
      </c>
      <c r="Y137" s="7">
        <v>22</v>
      </c>
      <c r="Z137" s="7">
        <v>10</v>
      </c>
      <c r="AA137" s="7">
        <v>473</v>
      </c>
      <c r="AB137" s="7">
        <v>399</v>
      </c>
      <c r="AC137" s="7">
        <v>872</v>
      </c>
    </row>
    <row r="138" spans="1:32" ht="24.9" customHeight="1" x14ac:dyDescent="0.3">
      <c r="A138" s="281" t="s">
        <v>41</v>
      </c>
      <c r="B138" s="282"/>
      <c r="C138" s="282"/>
      <c r="D138" s="282"/>
      <c r="E138" s="282"/>
      <c r="F138" s="282"/>
      <c r="G138" s="282"/>
      <c r="H138" s="282"/>
      <c r="I138" s="282"/>
      <c r="J138" s="283"/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</row>
    <row r="139" spans="1:32" ht="24.9" customHeight="1" x14ac:dyDescent="0.3">
      <c r="A139" s="281" t="s">
        <v>42</v>
      </c>
      <c r="B139" s="282"/>
      <c r="C139" s="282"/>
      <c r="D139" s="282"/>
      <c r="E139" s="282"/>
      <c r="F139" s="282"/>
      <c r="G139" s="282"/>
      <c r="H139" s="282"/>
      <c r="I139" s="282"/>
      <c r="J139" s="283"/>
      <c r="K139" s="7">
        <v>54</v>
      </c>
      <c r="L139" s="7">
        <v>43</v>
      </c>
      <c r="M139" s="7">
        <v>25</v>
      </c>
      <c r="N139" s="7">
        <v>16</v>
      </c>
      <c r="O139" s="7">
        <v>42</v>
      </c>
      <c r="P139" s="7">
        <v>20</v>
      </c>
      <c r="Q139" s="7">
        <v>14</v>
      </c>
      <c r="R139" s="7">
        <v>14</v>
      </c>
      <c r="S139" s="7">
        <v>12</v>
      </c>
      <c r="T139" s="7">
        <v>7</v>
      </c>
      <c r="U139" s="7">
        <v>12</v>
      </c>
      <c r="V139" s="7">
        <v>4</v>
      </c>
      <c r="W139" s="7">
        <v>4</v>
      </c>
      <c r="X139" s="7">
        <v>3</v>
      </c>
      <c r="Y139" s="7">
        <v>7</v>
      </c>
      <c r="Z139" s="7">
        <v>9</v>
      </c>
      <c r="AA139" s="7">
        <v>170</v>
      </c>
      <c r="AB139" s="7">
        <v>116</v>
      </c>
      <c r="AC139" s="7">
        <v>286</v>
      </c>
    </row>
    <row r="140" spans="1:32" ht="24.9" customHeight="1" x14ac:dyDescent="0.3">
      <c r="A140" s="224" t="s">
        <v>7</v>
      </c>
      <c r="B140" s="225"/>
      <c r="C140" s="225"/>
      <c r="D140" s="225"/>
      <c r="E140" s="225"/>
      <c r="F140" s="225"/>
      <c r="G140" s="225"/>
      <c r="H140" s="225"/>
      <c r="I140" s="225"/>
      <c r="J140" s="226"/>
      <c r="K140" s="7">
        <v>360</v>
      </c>
      <c r="L140" s="7">
        <v>292</v>
      </c>
      <c r="M140" s="7">
        <v>117</v>
      </c>
      <c r="N140" s="7">
        <v>93</v>
      </c>
      <c r="O140" s="7">
        <v>74</v>
      </c>
      <c r="P140" s="7">
        <v>61</v>
      </c>
      <c r="Q140" s="7">
        <v>37</v>
      </c>
      <c r="R140" s="7">
        <v>47</v>
      </c>
      <c r="S140" s="7">
        <v>22</v>
      </c>
      <c r="T140" s="7">
        <v>31</v>
      </c>
      <c r="U140" s="7">
        <v>23</v>
      </c>
      <c r="V140" s="7">
        <v>17</v>
      </c>
      <c r="W140" s="7">
        <v>17</v>
      </c>
      <c r="X140" s="7">
        <v>13</v>
      </c>
      <c r="Y140" s="7">
        <v>36</v>
      </c>
      <c r="Z140" s="7">
        <v>26</v>
      </c>
      <c r="AA140" s="7">
        <v>686</v>
      </c>
      <c r="AB140" s="7">
        <v>580</v>
      </c>
      <c r="AC140" s="7">
        <v>1266</v>
      </c>
    </row>
    <row r="141" spans="1:32" ht="6.75" customHeight="1" x14ac:dyDescent="0.3">
      <c r="A141" s="8"/>
      <c r="B141" s="9"/>
      <c r="C141" s="9"/>
      <c r="D141" s="9"/>
      <c r="E141" s="9"/>
      <c r="F141" s="10"/>
      <c r="G141" s="11"/>
      <c r="H141" s="11"/>
      <c r="I141" s="11"/>
      <c r="J141" s="11"/>
      <c r="K141" s="11"/>
      <c r="L141" s="11"/>
      <c r="M141" s="50"/>
      <c r="N141" s="11"/>
      <c r="O141" s="227"/>
      <c r="P141" s="228"/>
      <c r="Q141" s="12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3"/>
    </row>
    <row r="142" spans="1:32" ht="18" customHeight="1" x14ac:dyDescent="0.3">
      <c r="A142" s="14" t="s">
        <v>45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6"/>
      <c r="M142" s="17"/>
      <c r="N142" s="14" t="s">
        <v>46</v>
      </c>
      <c r="O142" s="15"/>
      <c r="P142" s="15"/>
      <c r="Q142" s="15"/>
      <c r="R142" s="15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9"/>
    </row>
    <row r="143" spans="1:32" ht="42.75" customHeight="1" x14ac:dyDescent="0.3">
      <c r="A143" s="307" t="s">
        <v>47</v>
      </c>
      <c r="B143" s="312" t="s">
        <v>48</v>
      </c>
      <c r="C143" s="313"/>
      <c r="D143" s="314" t="s">
        <v>49</v>
      </c>
      <c r="E143" s="315"/>
      <c r="F143" s="316"/>
      <c r="G143" s="314" t="s">
        <v>50</v>
      </c>
      <c r="H143" s="315"/>
      <c r="I143" s="315"/>
      <c r="J143" s="316"/>
      <c r="K143" s="307" t="s">
        <v>51</v>
      </c>
      <c r="L143" s="307" t="s">
        <v>52</v>
      </c>
      <c r="M143" s="20"/>
      <c r="N143" s="309" t="s">
        <v>53</v>
      </c>
      <c r="O143" s="310"/>
      <c r="P143" s="311"/>
      <c r="Q143" s="309" t="s">
        <v>54</v>
      </c>
      <c r="R143" s="310"/>
      <c r="S143" s="311"/>
      <c r="T143" s="309" t="s">
        <v>55</v>
      </c>
      <c r="U143" s="310"/>
      <c r="V143" s="310"/>
      <c r="W143" s="310"/>
      <c r="X143" s="310"/>
      <c r="Y143" s="310"/>
      <c r="Z143" s="310"/>
      <c r="AA143" s="310"/>
      <c r="AB143" s="310"/>
      <c r="AC143" s="311"/>
    </row>
    <row r="144" spans="1:32" ht="48" customHeight="1" x14ac:dyDescent="0.3">
      <c r="A144" s="308"/>
      <c r="B144" s="21" t="s">
        <v>7</v>
      </c>
      <c r="C144" s="22" t="s">
        <v>87</v>
      </c>
      <c r="D144" s="22" t="s">
        <v>56</v>
      </c>
      <c r="E144" s="22" t="s">
        <v>88</v>
      </c>
      <c r="F144" s="22" t="s">
        <v>89</v>
      </c>
      <c r="G144" s="23" t="s">
        <v>56</v>
      </c>
      <c r="H144" s="22" t="s">
        <v>90</v>
      </c>
      <c r="I144" s="23" t="s">
        <v>57</v>
      </c>
      <c r="J144" s="23" t="s">
        <v>58</v>
      </c>
      <c r="K144" s="308"/>
      <c r="L144" s="308"/>
      <c r="M144" s="20"/>
      <c r="N144" s="309">
        <v>0</v>
      </c>
      <c r="O144" s="310"/>
      <c r="P144" s="311"/>
      <c r="Q144" s="309">
        <v>0</v>
      </c>
      <c r="R144" s="310"/>
      <c r="S144" s="311"/>
      <c r="T144" s="309">
        <v>0</v>
      </c>
      <c r="U144" s="310"/>
      <c r="V144" s="310"/>
      <c r="W144" s="310"/>
      <c r="X144" s="310"/>
      <c r="Y144" s="310"/>
      <c r="Z144" s="310"/>
      <c r="AA144" s="310"/>
      <c r="AB144" s="310"/>
      <c r="AC144" s="311"/>
    </row>
    <row r="145" spans="1:29" ht="38.25" customHeight="1" x14ac:dyDescent="0.3">
      <c r="A145" s="270">
        <v>231426</v>
      </c>
      <c r="B145" s="270">
        <v>2202</v>
      </c>
      <c r="C145" s="270">
        <v>152</v>
      </c>
      <c r="D145" s="270">
        <v>189</v>
      </c>
      <c r="E145" s="270">
        <v>6</v>
      </c>
      <c r="F145" s="270">
        <v>962</v>
      </c>
      <c r="G145" s="270">
        <v>26</v>
      </c>
      <c r="H145" s="270">
        <v>23</v>
      </c>
      <c r="I145" s="270">
        <v>150</v>
      </c>
      <c r="J145" s="270">
        <v>199</v>
      </c>
      <c r="K145" s="270">
        <v>78</v>
      </c>
      <c r="L145" s="270">
        <v>660</v>
      </c>
      <c r="M145" s="20"/>
      <c r="N145" s="309" t="s">
        <v>59</v>
      </c>
      <c r="O145" s="310"/>
      <c r="P145" s="311"/>
      <c r="Q145" s="309" t="s">
        <v>60</v>
      </c>
      <c r="R145" s="310"/>
      <c r="S145" s="311"/>
      <c r="T145" s="293" t="s">
        <v>61</v>
      </c>
      <c r="U145" s="294"/>
      <c r="V145" s="294"/>
      <c r="W145" s="295"/>
      <c r="X145" s="293" t="s">
        <v>62</v>
      </c>
      <c r="Y145" s="294"/>
      <c r="Z145" s="294"/>
      <c r="AA145" s="294"/>
      <c r="AB145" s="294"/>
      <c r="AC145" s="295"/>
    </row>
    <row r="146" spans="1:29" ht="19.5" customHeight="1" x14ac:dyDescent="0.3">
      <c r="A146" s="271"/>
      <c r="B146" s="271"/>
      <c r="C146" s="271"/>
      <c r="D146" s="271"/>
      <c r="E146" s="271"/>
      <c r="F146" s="271"/>
      <c r="G146" s="271"/>
      <c r="H146" s="271"/>
      <c r="I146" s="271"/>
      <c r="J146" s="271"/>
      <c r="K146" s="271"/>
      <c r="L146" s="271"/>
      <c r="M146" s="54"/>
      <c r="N146" s="287">
        <v>0</v>
      </c>
      <c r="O146" s="288"/>
      <c r="P146" s="289"/>
      <c r="Q146" s="287">
        <v>0</v>
      </c>
      <c r="R146" s="288"/>
      <c r="S146" s="289"/>
      <c r="T146" s="287">
        <v>0</v>
      </c>
      <c r="U146" s="288"/>
      <c r="V146" s="288"/>
      <c r="W146" s="289"/>
      <c r="X146" s="24"/>
      <c r="Y146" s="309" t="s">
        <v>0</v>
      </c>
      <c r="Z146" s="311"/>
      <c r="AA146" s="25" t="s">
        <v>1</v>
      </c>
      <c r="AB146" s="309" t="s">
        <v>63</v>
      </c>
      <c r="AC146" s="311"/>
    </row>
    <row r="147" spans="1:29" ht="18" customHeight="1" x14ac:dyDescent="0.3">
      <c r="A147" s="271"/>
      <c r="B147" s="271"/>
      <c r="C147" s="271"/>
      <c r="D147" s="271"/>
      <c r="E147" s="271"/>
      <c r="F147" s="271"/>
      <c r="G147" s="271"/>
      <c r="H147" s="271"/>
      <c r="I147" s="271"/>
      <c r="J147" s="271"/>
      <c r="K147" s="271"/>
      <c r="L147" s="271"/>
      <c r="M147" s="54"/>
      <c r="N147" s="290"/>
      <c r="O147" s="291"/>
      <c r="P147" s="292"/>
      <c r="Q147" s="290"/>
      <c r="R147" s="291"/>
      <c r="S147" s="292"/>
      <c r="T147" s="290"/>
      <c r="U147" s="291"/>
      <c r="V147" s="291"/>
      <c r="W147" s="292"/>
      <c r="X147" s="26" t="s">
        <v>64</v>
      </c>
      <c r="Y147" s="224">
        <v>0</v>
      </c>
      <c r="Z147" s="226"/>
      <c r="AA147" s="7">
        <v>0</v>
      </c>
      <c r="AB147" s="224">
        <v>0</v>
      </c>
      <c r="AC147" s="226"/>
    </row>
    <row r="148" spans="1:29" ht="18" customHeight="1" x14ac:dyDescent="0.3">
      <c r="A148" s="271"/>
      <c r="B148" s="271"/>
      <c r="C148" s="271"/>
      <c r="D148" s="271"/>
      <c r="E148" s="271"/>
      <c r="F148" s="271"/>
      <c r="G148" s="271"/>
      <c r="H148" s="271"/>
      <c r="I148" s="271"/>
      <c r="J148" s="271"/>
      <c r="K148" s="271"/>
      <c r="L148" s="271"/>
      <c r="M148" s="54"/>
      <c r="N148" s="290"/>
      <c r="O148" s="291"/>
      <c r="P148" s="292"/>
      <c r="Q148" s="290"/>
      <c r="R148" s="291"/>
      <c r="S148" s="292"/>
      <c r="T148" s="290"/>
      <c r="U148" s="291"/>
      <c r="V148" s="291"/>
      <c r="W148" s="292"/>
      <c r="X148" s="26" t="s">
        <v>65</v>
      </c>
      <c r="Y148" s="224">
        <v>0</v>
      </c>
      <c r="Z148" s="226"/>
      <c r="AA148" s="7">
        <v>0</v>
      </c>
      <c r="AB148" s="224">
        <v>0</v>
      </c>
      <c r="AC148" s="226"/>
    </row>
    <row r="149" spans="1:29" ht="18" customHeight="1" x14ac:dyDescent="0.3">
      <c r="A149" s="272"/>
      <c r="B149" s="272"/>
      <c r="C149" s="272"/>
      <c r="D149" s="272"/>
      <c r="E149" s="272"/>
      <c r="F149" s="272"/>
      <c r="G149" s="272"/>
      <c r="H149" s="272"/>
      <c r="I149" s="272"/>
      <c r="J149" s="272"/>
      <c r="K149" s="272"/>
      <c r="L149" s="272"/>
      <c r="M149" s="54"/>
      <c r="N149" s="293"/>
      <c r="O149" s="294"/>
      <c r="P149" s="295"/>
      <c r="Q149" s="293"/>
      <c r="R149" s="294"/>
      <c r="S149" s="295"/>
      <c r="T149" s="293"/>
      <c r="U149" s="294"/>
      <c r="V149" s="294"/>
      <c r="W149" s="295"/>
      <c r="X149" s="26" t="s">
        <v>66</v>
      </c>
      <c r="Y149" s="224">
        <v>0</v>
      </c>
      <c r="Z149" s="226"/>
      <c r="AA149" s="7">
        <v>0</v>
      </c>
      <c r="AB149" s="224">
        <v>0</v>
      </c>
      <c r="AC149" s="226"/>
    </row>
    <row r="150" spans="1:29" ht="8.25" customHeight="1" x14ac:dyDescent="0.3">
      <c r="A150" s="27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59"/>
      <c r="N150" s="28"/>
      <c r="O150" s="28"/>
      <c r="P150" s="28"/>
      <c r="Q150" s="28"/>
      <c r="R150" s="28"/>
      <c r="S150" s="28"/>
      <c r="T150" s="28"/>
      <c r="U150" s="29"/>
      <c r="V150" s="29"/>
      <c r="W150" s="29"/>
      <c r="X150" s="29"/>
      <c r="Y150" s="29"/>
      <c r="Z150" s="29"/>
      <c r="AA150" s="28"/>
      <c r="AB150" s="28"/>
      <c r="AC150" s="4"/>
    </row>
    <row r="151" spans="1:29" ht="18" customHeight="1" x14ac:dyDescent="0.3">
      <c r="A151" s="14" t="s">
        <v>67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6"/>
      <c r="M151" s="30"/>
      <c r="N151" s="14" t="s">
        <v>68</v>
      </c>
      <c r="O151" s="16"/>
      <c r="P151" s="15"/>
      <c r="Q151" s="31"/>
      <c r="R151" s="15"/>
      <c r="S151" s="15"/>
      <c r="T151" s="15"/>
      <c r="U151" s="15"/>
      <c r="V151" s="15"/>
      <c r="W151" s="15"/>
      <c r="X151" s="15"/>
      <c r="Y151" s="15"/>
      <c r="Z151" s="15"/>
      <c r="AA151" s="18"/>
      <c r="AB151" s="18"/>
      <c r="AC151" s="32"/>
    </row>
    <row r="152" spans="1:29" ht="57" customHeight="1" x14ac:dyDescent="0.3">
      <c r="A152" s="205"/>
      <c r="B152" s="206"/>
      <c r="C152" s="206"/>
      <c r="D152" s="206"/>
      <c r="E152" s="206"/>
      <c r="F152" s="207"/>
      <c r="G152" s="224" t="s">
        <v>11</v>
      </c>
      <c r="H152" s="226"/>
      <c r="I152" s="224" t="s">
        <v>12</v>
      </c>
      <c r="J152" s="226"/>
      <c r="K152" s="33" t="s">
        <v>69</v>
      </c>
      <c r="L152" s="34"/>
      <c r="M152" s="62"/>
      <c r="N152" s="314" t="s">
        <v>70</v>
      </c>
      <c r="O152" s="315"/>
      <c r="P152" s="316"/>
      <c r="Q152" s="314" t="s">
        <v>71</v>
      </c>
      <c r="R152" s="315"/>
      <c r="S152" s="316"/>
      <c r="T152" s="314" t="s">
        <v>72</v>
      </c>
      <c r="U152" s="315"/>
      <c r="V152" s="316"/>
      <c r="W152" s="314" t="s">
        <v>73</v>
      </c>
      <c r="X152" s="315"/>
      <c r="Y152" s="315"/>
      <c r="Z152" s="316"/>
      <c r="AA152" s="314" t="s">
        <v>74</v>
      </c>
      <c r="AB152" s="315"/>
      <c r="AC152" s="316"/>
    </row>
    <row r="153" spans="1:29" ht="13.5" customHeight="1" x14ac:dyDescent="0.3">
      <c r="A153" s="208"/>
      <c r="B153" s="209"/>
      <c r="C153" s="209"/>
      <c r="D153" s="209"/>
      <c r="E153" s="209"/>
      <c r="F153" s="210"/>
      <c r="G153" s="7" t="s">
        <v>75</v>
      </c>
      <c r="H153" s="7" t="s">
        <v>13</v>
      </c>
      <c r="I153" s="7" t="s">
        <v>75</v>
      </c>
      <c r="J153" s="7" t="s">
        <v>13</v>
      </c>
      <c r="K153" s="7" t="s">
        <v>75</v>
      </c>
      <c r="L153" s="7" t="s">
        <v>13</v>
      </c>
      <c r="M153" s="63"/>
      <c r="N153" s="35" t="s">
        <v>0</v>
      </c>
      <c r="O153" s="36" t="s">
        <v>1</v>
      </c>
      <c r="P153" s="36" t="s">
        <v>91</v>
      </c>
      <c r="Q153" s="35" t="s">
        <v>0</v>
      </c>
      <c r="R153" s="36" t="s">
        <v>1</v>
      </c>
      <c r="S153" s="36" t="s">
        <v>91</v>
      </c>
      <c r="T153" s="35" t="s">
        <v>0</v>
      </c>
      <c r="U153" s="36" t="s">
        <v>1</v>
      </c>
      <c r="V153" s="36" t="s">
        <v>91</v>
      </c>
      <c r="W153" s="37"/>
      <c r="X153" s="35" t="s">
        <v>0</v>
      </c>
      <c r="Y153" s="38" t="s">
        <v>1</v>
      </c>
      <c r="Z153" s="39" t="s">
        <v>76</v>
      </c>
      <c r="AA153" s="35" t="s">
        <v>0</v>
      </c>
      <c r="AB153" s="38" t="s">
        <v>1</v>
      </c>
      <c r="AC153" s="39" t="s">
        <v>76</v>
      </c>
    </row>
    <row r="154" spans="1:29" ht="24.9" customHeight="1" x14ac:dyDescent="0.3">
      <c r="A154" s="299" t="s">
        <v>77</v>
      </c>
      <c r="B154" s="318"/>
      <c r="C154" s="318"/>
      <c r="D154" s="318"/>
      <c r="E154" s="318"/>
      <c r="F154" s="300"/>
      <c r="G154" s="7">
        <v>64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63"/>
      <c r="N154" s="321">
        <v>17</v>
      </c>
      <c r="O154" s="321">
        <v>59</v>
      </c>
      <c r="P154" s="321">
        <v>169</v>
      </c>
      <c r="Q154" s="321">
        <v>17</v>
      </c>
      <c r="R154" s="321">
        <v>88</v>
      </c>
      <c r="S154" s="321">
        <v>230</v>
      </c>
      <c r="T154" s="321">
        <v>0</v>
      </c>
      <c r="U154" s="321">
        <v>0</v>
      </c>
      <c r="V154" s="321">
        <v>5</v>
      </c>
      <c r="W154" s="40" t="s">
        <v>64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</row>
    <row r="155" spans="1:29" ht="24.9" customHeight="1" x14ac:dyDescent="0.3">
      <c r="A155" s="299" t="s">
        <v>8</v>
      </c>
      <c r="B155" s="318"/>
      <c r="C155" s="318"/>
      <c r="D155" s="318"/>
      <c r="E155" s="318"/>
      <c r="F155" s="300"/>
      <c r="G155" s="7">
        <v>1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63"/>
      <c r="N155" s="322"/>
      <c r="O155" s="322"/>
      <c r="P155" s="322"/>
      <c r="Q155" s="322"/>
      <c r="R155" s="322"/>
      <c r="S155" s="322"/>
      <c r="T155" s="322"/>
      <c r="U155" s="322"/>
      <c r="V155" s="322"/>
      <c r="W155" s="40" t="s">
        <v>65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</row>
    <row r="156" spans="1:29" ht="24.9" customHeight="1" x14ac:dyDescent="0.3">
      <c r="A156" s="309" t="s">
        <v>78</v>
      </c>
      <c r="B156" s="310"/>
      <c r="C156" s="310"/>
      <c r="D156" s="310"/>
      <c r="E156" s="310"/>
      <c r="F156" s="311"/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63"/>
      <c r="N156" s="322"/>
      <c r="O156" s="322"/>
      <c r="P156" s="322"/>
      <c r="Q156" s="322"/>
      <c r="R156" s="322"/>
      <c r="S156" s="322"/>
      <c r="T156" s="322"/>
      <c r="U156" s="322"/>
      <c r="V156" s="322"/>
      <c r="W156" s="319" t="s">
        <v>66</v>
      </c>
      <c r="X156" s="321">
        <v>0</v>
      </c>
      <c r="Y156" s="321">
        <v>0</v>
      </c>
      <c r="Z156" s="321">
        <v>0</v>
      </c>
      <c r="AA156" s="321">
        <v>0</v>
      </c>
      <c r="AB156" s="321">
        <v>0</v>
      </c>
      <c r="AC156" s="321">
        <v>0</v>
      </c>
    </row>
    <row r="157" spans="1:29" ht="24.9" customHeight="1" x14ac:dyDescent="0.3">
      <c r="A157" s="224" t="s">
        <v>7</v>
      </c>
      <c r="B157" s="225"/>
      <c r="C157" s="225"/>
      <c r="D157" s="225"/>
      <c r="E157" s="225"/>
      <c r="F157" s="226"/>
      <c r="G157" s="7">
        <v>65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63"/>
      <c r="N157" s="323"/>
      <c r="O157" s="323"/>
      <c r="P157" s="323"/>
      <c r="Q157" s="323"/>
      <c r="R157" s="323"/>
      <c r="S157" s="323"/>
      <c r="T157" s="323"/>
      <c r="U157" s="323"/>
      <c r="V157" s="323"/>
      <c r="W157" s="320"/>
      <c r="X157" s="323"/>
      <c r="Y157" s="323"/>
      <c r="Z157" s="323"/>
      <c r="AA157" s="323"/>
      <c r="AB157" s="323"/>
      <c r="AC157" s="323"/>
    </row>
    <row r="158" spans="1:29" ht="23.4" x14ac:dyDescent="0.45">
      <c r="A158" s="158" t="s">
        <v>15</v>
      </c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  <c r="AA158" s="158"/>
      <c r="AB158" s="158"/>
      <c r="AC158" s="158"/>
    </row>
    <row r="159" spans="1:29" ht="23.4" x14ac:dyDescent="0.3">
      <c r="A159" s="159" t="s">
        <v>16</v>
      </c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2"/>
      <c r="Y159" s="160" t="s">
        <v>17</v>
      </c>
      <c r="Z159" s="160"/>
      <c r="AA159" s="2"/>
      <c r="AB159" s="2"/>
      <c r="AC159" s="2"/>
    </row>
    <row r="160" spans="1:29" ht="30.9" customHeight="1" x14ac:dyDescent="0.3">
      <c r="A160" s="326" t="s">
        <v>18</v>
      </c>
      <c r="B160" s="326"/>
      <c r="C160" s="326"/>
      <c r="D160" s="326"/>
      <c r="E160" s="327" t="s">
        <v>100</v>
      </c>
      <c r="F160" s="327"/>
      <c r="G160" s="327"/>
      <c r="H160" s="327"/>
      <c r="I160" s="328" t="s">
        <v>20</v>
      </c>
      <c r="J160" s="328"/>
      <c r="K160" s="163" t="s">
        <v>85</v>
      </c>
      <c r="L160" s="163"/>
      <c r="M160" s="328" t="s">
        <v>21</v>
      </c>
      <c r="N160" s="328"/>
      <c r="O160" s="165" t="s">
        <v>101</v>
      </c>
      <c r="P160" s="165"/>
      <c r="Q160" s="165"/>
      <c r="R160" s="165"/>
      <c r="S160" s="43"/>
      <c r="T160" s="166" t="s">
        <v>22</v>
      </c>
      <c r="U160" s="166"/>
      <c r="V160" s="166"/>
      <c r="W160" s="166"/>
      <c r="X160" s="166"/>
      <c r="Y160" s="152" t="s">
        <v>14</v>
      </c>
      <c r="Z160" s="152"/>
      <c r="AA160" s="152"/>
      <c r="AB160" s="153" t="s">
        <v>83</v>
      </c>
      <c r="AC160" s="153"/>
    </row>
    <row r="161" spans="1:32" ht="15" customHeight="1" x14ac:dyDescent="0.3">
      <c r="T161" s="166"/>
      <c r="U161" s="166"/>
      <c r="V161" s="166"/>
      <c r="W161" s="166"/>
      <c r="X161" s="166"/>
      <c r="Y161" s="152"/>
      <c r="Z161" s="152"/>
      <c r="AA161" s="152"/>
      <c r="AB161" s="153"/>
      <c r="AC161" s="153"/>
    </row>
    <row r="162" spans="1:32" ht="15.6" x14ac:dyDescent="0.3">
      <c r="A162" s="324" t="s">
        <v>24</v>
      </c>
      <c r="B162" s="324"/>
      <c r="C162" s="324"/>
      <c r="D162" s="324"/>
      <c r="E162" s="324"/>
      <c r="F162" s="324"/>
      <c r="G162" s="324"/>
      <c r="H162" s="347" t="s">
        <v>25</v>
      </c>
      <c r="I162" s="347"/>
      <c r="J162" s="347"/>
      <c r="K162" s="347"/>
      <c r="L162" s="347"/>
      <c r="M162" s="347"/>
      <c r="N162" s="347"/>
      <c r="O162" s="44"/>
      <c r="P162" s="44"/>
      <c r="T162" s="156" t="s">
        <v>26</v>
      </c>
      <c r="U162" s="156"/>
      <c r="V162" s="156"/>
      <c r="W162" s="156"/>
      <c r="X162" s="156"/>
      <c r="Y162" s="156"/>
      <c r="Z162" s="265" t="s">
        <v>27</v>
      </c>
      <c r="AA162" s="265"/>
      <c r="AB162" s="265"/>
      <c r="AC162" s="265"/>
    </row>
    <row r="163" spans="1:32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32" ht="15" customHeight="1" x14ac:dyDescent="0.3">
      <c r="A164" s="284" t="s">
        <v>29</v>
      </c>
      <c r="B164" s="285"/>
      <c r="C164" s="285"/>
      <c r="D164" s="285"/>
      <c r="E164" s="285"/>
      <c r="F164" s="285"/>
      <c r="G164" s="285"/>
      <c r="H164" s="285"/>
      <c r="I164" s="285"/>
      <c r="J164" s="286"/>
      <c r="K164" s="273" t="s">
        <v>30</v>
      </c>
      <c r="L164" s="274"/>
      <c r="M164" s="273" t="s">
        <v>31</v>
      </c>
      <c r="N164" s="274"/>
      <c r="O164" s="287" t="s">
        <v>32</v>
      </c>
      <c r="P164" s="288"/>
      <c r="Q164" s="289"/>
      <c r="R164" s="273" t="s">
        <v>33</v>
      </c>
      <c r="S164" s="296"/>
      <c r="T164" s="274"/>
      <c r="U164" s="224" t="s">
        <v>34</v>
      </c>
      <c r="V164" s="225"/>
      <c r="W164" s="225"/>
      <c r="X164" s="225"/>
      <c r="Y164" s="225"/>
      <c r="Z164" s="225"/>
      <c r="AA164" s="226"/>
      <c r="AB164" s="273" t="s">
        <v>7</v>
      </c>
      <c r="AC164" s="274"/>
    </row>
    <row r="165" spans="1:32" ht="23.25" customHeight="1" x14ac:dyDescent="0.3">
      <c r="A165" s="169" t="s">
        <v>35</v>
      </c>
      <c r="B165" s="173"/>
      <c r="C165" s="173"/>
      <c r="D165" s="173"/>
      <c r="E165" s="173"/>
      <c r="F165" s="173"/>
      <c r="G165" s="173"/>
      <c r="H165" s="173"/>
      <c r="I165" s="173"/>
      <c r="J165" s="170"/>
      <c r="K165" s="275"/>
      <c r="L165" s="276"/>
      <c r="M165" s="275"/>
      <c r="N165" s="276"/>
      <c r="O165" s="290"/>
      <c r="P165" s="291"/>
      <c r="Q165" s="292"/>
      <c r="R165" s="275"/>
      <c r="S165" s="297"/>
      <c r="T165" s="276"/>
      <c r="U165" s="279" t="s">
        <v>36</v>
      </c>
      <c r="V165" s="279"/>
      <c r="W165" s="279"/>
      <c r="X165" s="279" t="s">
        <v>37</v>
      </c>
      <c r="Y165" s="279"/>
      <c r="Z165" s="279" t="s">
        <v>38</v>
      </c>
      <c r="AA165" s="279"/>
      <c r="AB165" s="275"/>
      <c r="AC165" s="276"/>
    </row>
    <row r="166" spans="1:32" x14ac:dyDescent="0.3">
      <c r="A166" s="171"/>
      <c r="B166" s="174"/>
      <c r="C166" s="174"/>
      <c r="D166" s="174"/>
      <c r="E166" s="174"/>
      <c r="F166" s="174"/>
      <c r="G166" s="174"/>
      <c r="H166" s="174"/>
      <c r="I166" s="174"/>
      <c r="J166" s="172"/>
      <c r="K166" s="277"/>
      <c r="L166" s="278"/>
      <c r="M166" s="277"/>
      <c r="N166" s="278"/>
      <c r="O166" s="293"/>
      <c r="P166" s="294"/>
      <c r="Q166" s="295"/>
      <c r="R166" s="277"/>
      <c r="S166" s="298"/>
      <c r="T166" s="278"/>
      <c r="U166" s="280"/>
      <c r="V166" s="280"/>
      <c r="W166" s="280"/>
      <c r="X166" s="280"/>
      <c r="Y166" s="280"/>
      <c r="Z166" s="280"/>
      <c r="AA166" s="280"/>
      <c r="AB166" s="277"/>
      <c r="AC166" s="278"/>
    </row>
    <row r="167" spans="1:32" ht="24.9" customHeight="1" x14ac:dyDescent="0.3">
      <c r="A167" s="281" t="s">
        <v>39</v>
      </c>
      <c r="B167" s="282"/>
      <c r="C167" s="282"/>
      <c r="D167" s="282"/>
      <c r="E167" s="282"/>
      <c r="F167" s="282"/>
      <c r="G167" s="282"/>
      <c r="H167" s="282"/>
      <c r="I167" s="282"/>
      <c r="J167" s="283"/>
      <c r="K167" s="341">
        <v>421</v>
      </c>
      <c r="L167" s="342"/>
      <c r="M167" s="341">
        <v>6</v>
      </c>
      <c r="N167" s="342"/>
      <c r="O167" s="341">
        <v>3</v>
      </c>
      <c r="P167" s="343"/>
      <c r="Q167" s="342"/>
      <c r="R167" s="341">
        <v>430</v>
      </c>
      <c r="S167" s="343"/>
      <c r="T167" s="342"/>
      <c r="U167" s="341">
        <v>0</v>
      </c>
      <c r="V167" s="343"/>
      <c r="W167" s="342"/>
      <c r="X167" s="341">
        <v>0</v>
      </c>
      <c r="Y167" s="342"/>
      <c r="Z167" s="341">
        <v>1</v>
      </c>
      <c r="AA167" s="342"/>
      <c r="AB167" s="341">
        <v>431</v>
      </c>
      <c r="AC167" s="342"/>
    </row>
    <row r="168" spans="1:32" ht="24.9" customHeight="1" x14ac:dyDescent="0.3">
      <c r="A168" s="281" t="s">
        <v>40</v>
      </c>
      <c r="B168" s="282"/>
      <c r="C168" s="282"/>
      <c r="D168" s="282"/>
      <c r="E168" s="282"/>
      <c r="F168" s="282"/>
      <c r="G168" s="282"/>
      <c r="H168" s="282"/>
      <c r="I168" s="282"/>
      <c r="J168" s="283"/>
      <c r="K168" s="341">
        <v>3309</v>
      </c>
      <c r="L168" s="342"/>
      <c r="M168" s="341">
        <v>1</v>
      </c>
      <c r="N168" s="342"/>
      <c r="O168" s="341">
        <v>0</v>
      </c>
      <c r="P168" s="343"/>
      <c r="Q168" s="342"/>
      <c r="R168" s="341">
        <v>3310</v>
      </c>
      <c r="S168" s="343"/>
      <c r="T168" s="342"/>
      <c r="U168" s="341">
        <v>0</v>
      </c>
      <c r="V168" s="343"/>
      <c r="W168" s="342"/>
      <c r="X168" s="341">
        <v>0</v>
      </c>
      <c r="Y168" s="342"/>
      <c r="Z168" s="341">
        <v>1</v>
      </c>
      <c r="AA168" s="342"/>
      <c r="AB168" s="341">
        <v>3311</v>
      </c>
      <c r="AC168" s="342"/>
    </row>
    <row r="169" spans="1:32" ht="24.9" customHeight="1" x14ac:dyDescent="0.3">
      <c r="A169" s="281" t="s">
        <v>41</v>
      </c>
      <c r="B169" s="282"/>
      <c r="C169" s="282"/>
      <c r="D169" s="282"/>
      <c r="E169" s="282"/>
      <c r="F169" s="282"/>
      <c r="G169" s="282"/>
      <c r="H169" s="282"/>
      <c r="I169" s="282"/>
      <c r="J169" s="283"/>
      <c r="K169" s="341">
        <v>23</v>
      </c>
      <c r="L169" s="342"/>
      <c r="M169" s="341">
        <v>0</v>
      </c>
      <c r="N169" s="342"/>
      <c r="O169" s="341">
        <v>0</v>
      </c>
      <c r="P169" s="343"/>
      <c r="Q169" s="342"/>
      <c r="R169" s="341">
        <v>23</v>
      </c>
      <c r="S169" s="343"/>
      <c r="T169" s="342"/>
      <c r="U169" s="341">
        <v>0</v>
      </c>
      <c r="V169" s="343"/>
      <c r="W169" s="342"/>
      <c r="X169" s="341">
        <v>0</v>
      </c>
      <c r="Y169" s="342"/>
      <c r="Z169" s="341">
        <v>0</v>
      </c>
      <c r="AA169" s="342"/>
      <c r="AB169" s="341">
        <v>23</v>
      </c>
      <c r="AC169" s="342"/>
    </row>
    <row r="170" spans="1:32" ht="24.9" customHeight="1" x14ac:dyDescent="0.3">
      <c r="A170" s="281" t="s">
        <v>42</v>
      </c>
      <c r="B170" s="282"/>
      <c r="C170" s="282"/>
      <c r="D170" s="282"/>
      <c r="E170" s="282"/>
      <c r="F170" s="282"/>
      <c r="G170" s="282"/>
      <c r="H170" s="282"/>
      <c r="I170" s="282"/>
      <c r="J170" s="283"/>
      <c r="K170" s="341">
        <v>1050</v>
      </c>
      <c r="L170" s="342"/>
      <c r="M170" s="341">
        <v>0</v>
      </c>
      <c r="N170" s="342"/>
      <c r="O170" s="341">
        <v>0</v>
      </c>
      <c r="P170" s="343"/>
      <c r="Q170" s="342"/>
      <c r="R170" s="341">
        <v>1050</v>
      </c>
      <c r="S170" s="343"/>
      <c r="T170" s="342"/>
      <c r="U170" s="341">
        <v>0</v>
      </c>
      <c r="V170" s="343"/>
      <c r="W170" s="342"/>
      <c r="X170" s="341">
        <v>0</v>
      </c>
      <c r="Y170" s="342"/>
      <c r="Z170" s="341">
        <v>0</v>
      </c>
      <c r="AA170" s="342"/>
      <c r="AB170" s="341">
        <v>1050</v>
      </c>
      <c r="AC170" s="342"/>
    </row>
    <row r="171" spans="1:32" ht="24.9" customHeight="1" x14ac:dyDescent="0.3">
      <c r="A171" s="281" t="s">
        <v>7</v>
      </c>
      <c r="B171" s="282"/>
      <c r="C171" s="282"/>
      <c r="D171" s="282"/>
      <c r="E171" s="282"/>
      <c r="F171" s="282"/>
      <c r="G171" s="282"/>
      <c r="H171" s="282"/>
      <c r="I171" s="282"/>
      <c r="J171" s="283"/>
      <c r="K171" s="341">
        <v>4803</v>
      </c>
      <c r="L171" s="342"/>
      <c r="M171" s="341">
        <v>7</v>
      </c>
      <c r="N171" s="342"/>
      <c r="O171" s="341">
        <v>3</v>
      </c>
      <c r="P171" s="343"/>
      <c r="Q171" s="342"/>
      <c r="R171" s="341">
        <v>4813</v>
      </c>
      <c r="S171" s="343"/>
      <c r="T171" s="342"/>
      <c r="U171" s="341">
        <v>0</v>
      </c>
      <c r="V171" s="343"/>
      <c r="W171" s="342"/>
      <c r="X171" s="341">
        <v>0</v>
      </c>
      <c r="Y171" s="342"/>
      <c r="Z171" s="341">
        <v>2</v>
      </c>
      <c r="AA171" s="342"/>
      <c r="AB171" s="341">
        <v>4815</v>
      </c>
      <c r="AC171" s="342"/>
    </row>
    <row r="172" spans="1:32" ht="15.6" x14ac:dyDescent="0.3">
      <c r="A172" s="45" t="s">
        <v>43</v>
      </c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7"/>
      <c r="V172" s="47"/>
      <c r="W172" s="47"/>
      <c r="X172" s="47"/>
      <c r="Y172" s="47"/>
      <c r="Z172" s="47"/>
      <c r="AA172" s="47"/>
      <c r="AB172" s="47"/>
      <c r="AC172" s="4"/>
    </row>
    <row r="173" spans="1:32" ht="21.75" customHeight="1" x14ac:dyDescent="0.3">
      <c r="A173" s="205"/>
      <c r="B173" s="206"/>
      <c r="C173" s="206"/>
      <c r="D173" s="206"/>
      <c r="E173" s="206"/>
      <c r="F173" s="206"/>
      <c r="G173" s="206"/>
      <c r="H173" s="206"/>
      <c r="I173" s="206"/>
      <c r="J173" s="207"/>
      <c r="K173" s="224" t="s">
        <v>0</v>
      </c>
      <c r="L173" s="226"/>
      <c r="M173" s="305" t="s">
        <v>1</v>
      </c>
      <c r="N173" s="306"/>
      <c r="O173" s="301" t="s">
        <v>2</v>
      </c>
      <c r="P173" s="302"/>
      <c r="Q173" s="301" t="s">
        <v>3</v>
      </c>
      <c r="R173" s="302"/>
      <c r="S173" s="301" t="s">
        <v>4</v>
      </c>
      <c r="T173" s="302"/>
      <c r="U173" s="301" t="s">
        <v>5</v>
      </c>
      <c r="V173" s="302"/>
      <c r="W173" s="301" t="s">
        <v>6</v>
      </c>
      <c r="X173" s="302"/>
      <c r="Y173" s="301" t="s">
        <v>44</v>
      </c>
      <c r="Z173" s="302"/>
      <c r="AA173" s="301" t="s">
        <v>7</v>
      </c>
      <c r="AB173" s="302"/>
      <c r="AC173" s="303" t="s">
        <v>86</v>
      </c>
      <c r="AD173" s="5"/>
      <c r="AE173" s="6"/>
      <c r="AF173" s="6"/>
    </row>
    <row r="174" spans="1:32" x14ac:dyDescent="0.3">
      <c r="A174" s="208"/>
      <c r="B174" s="209"/>
      <c r="C174" s="209"/>
      <c r="D174" s="209"/>
      <c r="E174" s="209"/>
      <c r="F174" s="209"/>
      <c r="G174" s="209"/>
      <c r="H174" s="209"/>
      <c r="I174" s="209"/>
      <c r="J174" s="210"/>
      <c r="K174" s="7" t="s">
        <v>9</v>
      </c>
      <c r="L174" s="7" t="s">
        <v>10</v>
      </c>
      <c r="M174" s="7" t="s">
        <v>9</v>
      </c>
      <c r="N174" s="7" t="s">
        <v>10</v>
      </c>
      <c r="O174" s="7" t="s">
        <v>9</v>
      </c>
      <c r="P174" s="7" t="s">
        <v>10</v>
      </c>
      <c r="Q174" s="7" t="s">
        <v>9</v>
      </c>
      <c r="R174" s="7" t="s">
        <v>10</v>
      </c>
      <c r="S174" s="7" t="s">
        <v>9</v>
      </c>
      <c r="T174" s="7" t="s">
        <v>10</v>
      </c>
      <c r="U174" s="7" t="s">
        <v>9</v>
      </c>
      <c r="V174" s="7" t="s">
        <v>10</v>
      </c>
      <c r="W174" s="7" t="s">
        <v>9</v>
      </c>
      <c r="X174" s="7" t="s">
        <v>10</v>
      </c>
      <c r="Y174" s="7" t="s">
        <v>9</v>
      </c>
      <c r="Z174" s="7" t="s">
        <v>10</v>
      </c>
      <c r="AA174" s="7" t="s">
        <v>9</v>
      </c>
      <c r="AB174" s="7" t="s">
        <v>10</v>
      </c>
      <c r="AC174" s="304"/>
    </row>
    <row r="175" spans="1:32" ht="18" customHeight="1" x14ac:dyDescent="0.3">
      <c r="A175" s="281" t="s">
        <v>39</v>
      </c>
      <c r="B175" s="282"/>
      <c r="C175" s="282"/>
      <c r="D175" s="282"/>
      <c r="E175" s="282"/>
      <c r="F175" s="282"/>
      <c r="G175" s="282"/>
      <c r="H175" s="282"/>
      <c r="I175" s="282"/>
      <c r="J175" s="283"/>
      <c r="K175" s="71">
        <v>2</v>
      </c>
      <c r="L175" s="71">
        <v>0</v>
      </c>
      <c r="M175" s="71">
        <v>13</v>
      </c>
      <c r="N175" s="71">
        <v>16</v>
      </c>
      <c r="O175" s="71">
        <v>41</v>
      </c>
      <c r="P175" s="71">
        <v>70</v>
      </c>
      <c r="Q175" s="71">
        <v>42</v>
      </c>
      <c r="R175" s="71">
        <v>54</v>
      </c>
      <c r="S175" s="71">
        <v>14</v>
      </c>
      <c r="T175" s="71">
        <v>30</v>
      </c>
      <c r="U175" s="71">
        <v>14</v>
      </c>
      <c r="V175" s="71">
        <v>22</v>
      </c>
      <c r="W175" s="71">
        <v>15</v>
      </c>
      <c r="X175" s="71">
        <v>19</v>
      </c>
      <c r="Y175" s="71">
        <v>47</v>
      </c>
      <c r="Z175" s="71">
        <v>31</v>
      </c>
      <c r="AA175" s="71">
        <v>188</v>
      </c>
      <c r="AB175" s="71">
        <v>242</v>
      </c>
      <c r="AC175" s="71">
        <v>430</v>
      </c>
    </row>
    <row r="176" spans="1:32" ht="18" customHeight="1" x14ac:dyDescent="0.3">
      <c r="A176" s="281" t="s">
        <v>40</v>
      </c>
      <c r="B176" s="282"/>
      <c r="C176" s="282"/>
      <c r="D176" s="282"/>
      <c r="E176" s="282"/>
      <c r="F176" s="282"/>
      <c r="G176" s="282"/>
      <c r="H176" s="282"/>
      <c r="I176" s="282"/>
      <c r="J176" s="283"/>
      <c r="K176" s="71">
        <v>1126</v>
      </c>
      <c r="L176" s="71">
        <v>894</v>
      </c>
      <c r="M176" s="71">
        <v>289</v>
      </c>
      <c r="N176" s="71">
        <v>260</v>
      </c>
      <c r="O176" s="71">
        <v>104</v>
      </c>
      <c r="P176" s="71">
        <v>107</v>
      </c>
      <c r="Q176" s="71">
        <v>77</v>
      </c>
      <c r="R176" s="71">
        <v>90</v>
      </c>
      <c r="S176" s="71">
        <v>44</v>
      </c>
      <c r="T176" s="71">
        <v>65</v>
      </c>
      <c r="U176" s="71">
        <v>31</v>
      </c>
      <c r="V176" s="71">
        <v>43</v>
      </c>
      <c r="W176" s="71">
        <v>41</v>
      </c>
      <c r="X176" s="71">
        <v>28</v>
      </c>
      <c r="Y176" s="71">
        <v>70</v>
      </c>
      <c r="Z176" s="71">
        <v>41</v>
      </c>
      <c r="AA176" s="71">
        <v>1782</v>
      </c>
      <c r="AB176" s="71">
        <v>1528</v>
      </c>
      <c r="AC176" s="71">
        <v>3310</v>
      </c>
    </row>
    <row r="177" spans="1:29" ht="18" customHeight="1" x14ac:dyDescent="0.3">
      <c r="A177" s="281" t="s">
        <v>41</v>
      </c>
      <c r="B177" s="282"/>
      <c r="C177" s="282"/>
      <c r="D177" s="282"/>
      <c r="E177" s="282"/>
      <c r="F177" s="282"/>
      <c r="G177" s="282"/>
      <c r="H177" s="282"/>
      <c r="I177" s="282"/>
      <c r="J177" s="283"/>
      <c r="K177" s="71">
        <v>1</v>
      </c>
      <c r="L177" s="71">
        <v>0</v>
      </c>
      <c r="M177" s="71">
        <v>0</v>
      </c>
      <c r="N177" s="71">
        <v>0</v>
      </c>
      <c r="O177" s="71">
        <v>0</v>
      </c>
      <c r="P177" s="71">
        <v>1</v>
      </c>
      <c r="Q177" s="71">
        <v>1</v>
      </c>
      <c r="R177" s="71">
        <v>0</v>
      </c>
      <c r="S177" s="71">
        <v>0</v>
      </c>
      <c r="T177" s="71">
        <v>0</v>
      </c>
      <c r="U177" s="71">
        <v>0</v>
      </c>
      <c r="V177" s="71">
        <v>0</v>
      </c>
      <c r="W177" s="71">
        <v>0</v>
      </c>
      <c r="X177" s="71">
        <v>0</v>
      </c>
      <c r="Y177" s="71">
        <v>0</v>
      </c>
      <c r="Z177" s="71">
        <v>1</v>
      </c>
      <c r="AA177" s="71">
        <v>2</v>
      </c>
      <c r="AB177" s="71">
        <v>2</v>
      </c>
      <c r="AC177" s="71">
        <v>4</v>
      </c>
    </row>
    <row r="178" spans="1:29" ht="18" customHeight="1" x14ac:dyDescent="0.3">
      <c r="A178" s="281" t="s">
        <v>42</v>
      </c>
      <c r="B178" s="282"/>
      <c r="C178" s="282"/>
      <c r="D178" s="282"/>
      <c r="E178" s="282"/>
      <c r="F178" s="282"/>
      <c r="G178" s="282"/>
      <c r="H178" s="282"/>
      <c r="I178" s="282"/>
      <c r="J178" s="283"/>
      <c r="K178" s="71">
        <v>210</v>
      </c>
      <c r="L178" s="71">
        <v>148</v>
      </c>
      <c r="M178" s="71">
        <v>95</v>
      </c>
      <c r="N178" s="71">
        <v>59</v>
      </c>
      <c r="O178" s="71">
        <v>152</v>
      </c>
      <c r="P178" s="71">
        <v>71</v>
      </c>
      <c r="Q178" s="71">
        <v>57</v>
      </c>
      <c r="R178" s="71">
        <v>55</v>
      </c>
      <c r="S178" s="71">
        <v>42</v>
      </c>
      <c r="T178" s="71">
        <v>36</v>
      </c>
      <c r="U178" s="71">
        <v>39</v>
      </c>
      <c r="V178" s="71">
        <v>17</v>
      </c>
      <c r="W178" s="71">
        <v>19</v>
      </c>
      <c r="X178" s="71">
        <v>16</v>
      </c>
      <c r="Y178" s="71">
        <v>24</v>
      </c>
      <c r="Z178" s="71">
        <v>29</v>
      </c>
      <c r="AA178" s="71">
        <v>638</v>
      </c>
      <c r="AB178" s="71">
        <v>431</v>
      </c>
      <c r="AC178" s="71">
        <v>1069</v>
      </c>
    </row>
    <row r="179" spans="1:29" ht="18" customHeight="1" x14ac:dyDescent="0.3">
      <c r="A179" s="224" t="s">
        <v>7</v>
      </c>
      <c r="B179" s="225"/>
      <c r="C179" s="225"/>
      <c r="D179" s="225"/>
      <c r="E179" s="225"/>
      <c r="F179" s="225"/>
      <c r="G179" s="225"/>
      <c r="H179" s="225"/>
      <c r="I179" s="225"/>
      <c r="J179" s="226"/>
      <c r="K179" s="71">
        <v>1339</v>
      </c>
      <c r="L179" s="71">
        <v>1042</v>
      </c>
      <c r="M179" s="71">
        <v>397</v>
      </c>
      <c r="N179" s="71">
        <v>335</v>
      </c>
      <c r="O179" s="71">
        <v>297</v>
      </c>
      <c r="P179" s="71">
        <v>249</v>
      </c>
      <c r="Q179" s="71">
        <v>177</v>
      </c>
      <c r="R179" s="71">
        <v>199</v>
      </c>
      <c r="S179" s="71">
        <v>100</v>
      </c>
      <c r="T179" s="71">
        <v>131</v>
      </c>
      <c r="U179" s="71">
        <v>84</v>
      </c>
      <c r="V179" s="71">
        <v>82</v>
      </c>
      <c r="W179" s="71">
        <v>75</v>
      </c>
      <c r="X179" s="71">
        <v>63</v>
      </c>
      <c r="Y179" s="71">
        <v>141</v>
      </c>
      <c r="Z179" s="71">
        <v>102</v>
      </c>
      <c r="AA179" s="71">
        <v>2610</v>
      </c>
      <c r="AB179" s="71">
        <v>2203</v>
      </c>
      <c r="AC179" s="71">
        <v>4813</v>
      </c>
    </row>
    <row r="180" spans="1:29" ht="6.75" customHeight="1" x14ac:dyDescent="0.3">
      <c r="A180" s="8"/>
      <c r="B180" s="9"/>
      <c r="C180" s="9"/>
      <c r="D180" s="9"/>
      <c r="E180" s="9"/>
      <c r="F180" s="10"/>
      <c r="G180" s="11"/>
      <c r="H180" s="11"/>
      <c r="I180" s="11"/>
      <c r="J180" s="11"/>
      <c r="K180" s="11"/>
      <c r="L180" s="11"/>
      <c r="M180" s="50"/>
      <c r="N180" s="11"/>
      <c r="O180" s="42"/>
      <c r="P180" s="11"/>
      <c r="Q180" s="12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3"/>
    </row>
    <row r="181" spans="1:29" ht="18" customHeight="1" x14ac:dyDescent="0.3">
      <c r="A181" s="14" t="s">
        <v>45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6"/>
      <c r="M181" s="17"/>
      <c r="N181" s="14" t="s">
        <v>46</v>
      </c>
      <c r="O181" s="15"/>
      <c r="P181" s="15"/>
      <c r="Q181" s="15"/>
      <c r="R181" s="15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9"/>
    </row>
    <row r="182" spans="1:29" ht="45" customHeight="1" x14ac:dyDescent="0.3">
      <c r="A182" s="307" t="s">
        <v>47</v>
      </c>
      <c r="B182" s="312" t="s">
        <v>48</v>
      </c>
      <c r="C182" s="313"/>
      <c r="D182" s="314" t="s">
        <v>49</v>
      </c>
      <c r="E182" s="315"/>
      <c r="F182" s="316"/>
      <c r="G182" s="314" t="s">
        <v>50</v>
      </c>
      <c r="H182" s="315"/>
      <c r="I182" s="315"/>
      <c r="J182" s="316"/>
      <c r="K182" s="307" t="s">
        <v>51</v>
      </c>
      <c r="L182" s="307" t="s">
        <v>52</v>
      </c>
      <c r="M182" s="20"/>
      <c r="N182" s="309" t="s">
        <v>53</v>
      </c>
      <c r="O182" s="310"/>
      <c r="P182" s="311"/>
      <c r="Q182" s="309" t="s">
        <v>54</v>
      </c>
      <c r="R182" s="310"/>
      <c r="S182" s="311"/>
      <c r="T182" s="309" t="s">
        <v>55</v>
      </c>
      <c r="U182" s="310"/>
      <c r="V182" s="310"/>
      <c r="W182" s="310"/>
      <c r="X182" s="310"/>
      <c r="Y182" s="310"/>
      <c r="Z182" s="310"/>
      <c r="AA182" s="310"/>
      <c r="AB182" s="310"/>
      <c r="AC182" s="311"/>
    </row>
    <row r="183" spans="1:29" ht="48" customHeight="1" x14ac:dyDescent="0.3">
      <c r="A183" s="308"/>
      <c r="B183" s="21" t="s">
        <v>7</v>
      </c>
      <c r="C183" s="22" t="s">
        <v>87</v>
      </c>
      <c r="D183" s="22" t="s">
        <v>56</v>
      </c>
      <c r="E183" s="22" t="s">
        <v>88</v>
      </c>
      <c r="F183" s="22" t="s">
        <v>89</v>
      </c>
      <c r="G183" s="23" t="s">
        <v>56</v>
      </c>
      <c r="H183" s="22" t="s">
        <v>90</v>
      </c>
      <c r="I183" s="23" t="s">
        <v>57</v>
      </c>
      <c r="J183" s="23" t="s">
        <v>58</v>
      </c>
      <c r="K183" s="308"/>
      <c r="L183" s="308"/>
      <c r="M183" s="20"/>
      <c r="N183" s="309">
        <v>0</v>
      </c>
      <c r="O183" s="310"/>
      <c r="P183" s="311"/>
      <c r="Q183" s="287">
        <v>0</v>
      </c>
      <c r="R183" s="288"/>
      <c r="S183" s="289"/>
      <c r="T183" s="309">
        <v>0</v>
      </c>
      <c r="U183" s="310"/>
      <c r="V183" s="310"/>
      <c r="W183" s="310"/>
      <c r="X183" s="310"/>
      <c r="Y183" s="310"/>
      <c r="Z183" s="310"/>
      <c r="AA183" s="310"/>
      <c r="AB183" s="310"/>
      <c r="AC183" s="311"/>
    </row>
    <row r="184" spans="1:29" ht="38.25" customHeight="1" x14ac:dyDescent="0.3">
      <c r="A184" s="270">
        <v>870354</v>
      </c>
      <c r="B184" s="270">
        <v>10609</v>
      </c>
      <c r="C184" s="270">
        <v>1511</v>
      </c>
      <c r="D184" s="270">
        <v>2819</v>
      </c>
      <c r="E184" s="270">
        <v>1655</v>
      </c>
      <c r="F184" s="270">
        <v>4218</v>
      </c>
      <c r="G184" s="270">
        <v>220</v>
      </c>
      <c r="H184" s="270">
        <v>142</v>
      </c>
      <c r="I184" s="270">
        <v>266</v>
      </c>
      <c r="J184" s="270">
        <v>628</v>
      </c>
      <c r="K184" s="270">
        <v>390</v>
      </c>
      <c r="L184" s="270">
        <v>1842</v>
      </c>
      <c r="M184" s="20"/>
      <c r="N184" s="309" t="s">
        <v>59</v>
      </c>
      <c r="O184" s="310"/>
      <c r="P184" s="311"/>
      <c r="Q184" s="309" t="s">
        <v>60</v>
      </c>
      <c r="R184" s="310"/>
      <c r="S184" s="311"/>
      <c r="T184" s="293" t="s">
        <v>61</v>
      </c>
      <c r="U184" s="294"/>
      <c r="V184" s="294"/>
      <c r="W184" s="295"/>
      <c r="X184" s="293" t="s">
        <v>62</v>
      </c>
      <c r="Y184" s="294"/>
      <c r="Z184" s="294"/>
      <c r="AA184" s="294"/>
      <c r="AB184" s="294"/>
      <c r="AC184" s="295"/>
    </row>
    <row r="185" spans="1:29" ht="19.5" customHeight="1" x14ac:dyDescent="0.3">
      <c r="A185" s="271"/>
      <c r="B185" s="271"/>
      <c r="C185" s="271"/>
      <c r="D185" s="271"/>
      <c r="E185" s="271"/>
      <c r="F185" s="271"/>
      <c r="G185" s="271"/>
      <c r="H185" s="271"/>
      <c r="I185" s="271"/>
      <c r="J185" s="271"/>
      <c r="K185" s="271"/>
      <c r="L185" s="271"/>
      <c r="M185" s="54"/>
      <c r="N185" s="287">
        <v>0</v>
      </c>
      <c r="O185" s="288"/>
      <c r="P185" s="289"/>
      <c r="Q185" s="287">
        <v>0</v>
      </c>
      <c r="R185" s="288"/>
      <c r="S185" s="289"/>
      <c r="T185" s="287">
        <v>0</v>
      </c>
      <c r="U185" s="288"/>
      <c r="V185" s="288"/>
      <c r="W185" s="289"/>
      <c r="X185" s="24"/>
      <c r="Y185" s="309" t="s">
        <v>0</v>
      </c>
      <c r="Z185" s="311"/>
      <c r="AA185" s="25" t="s">
        <v>1</v>
      </c>
      <c r="AB185" s="309" t="s">
        <v>63</v>
      </c>
      <c r="AC185" s="311"/>
    </row>
    <row r="186" spans="1:29" ht="18" customHeight="1" x14ac:dyDescent="0.3">
      <c r="A186" s="271"/>
      <c r="B186" s="271"/>
      <c r="C186" s="271"/>
      <c r="D186" s="271"/>
      <c r="E186" s="271"/>
      <c r="F186" s="271"/>
      <c r="G186" s="271"/>
      <c r="H186" s="271"/>
      <c r="I186" s="271"/>
      <c r="J186" s="271"/>
      <c r="K186" s="271"/>
      <c r="L186" s="271"/>
      <c r="M186" s="54"/>
      <c r="N186" s="290"/>
      <c r="O186" s="291"/>
      <c r="P186" s="292"/>
      <c r="Q186" s="290"/>
      <c r="R186" s="291"/>
      <c r="S186" s="292"/>
      <c r="T186" s="290"/>
      <c r="U186" s="291"/>
      <c r="V186" s="291"/>
      <c r="W186" s="292"/>
      <c r="X186" s="26" t="s">
        <v>64</v>
      </c>
      <c r="Y186" s="317">
        <v>0</v>
      </c>
      <c r="Z186" s="317"/>
      <c r="AA186" s="25">
        <v>0</v>
      </c>
      <c r="AB186" s="317">
        <v>0</v>
      </c>
      <c r="AC186" s="317"/>
    </row>
    <row r="187" spans="1:29" ht="18" customHeight="1" x14ac:dyDescent="0.3">
      <c r="A187" s="271"/>
      <c r="B187" s="271"/>
      <c r="C187" s="271"/>
      <c r="D187" s="271"/>
      <c r="E187" s="271"/>
      <c r="F187" s="271"/>
      <c r="G187" s="271"/>
      <c r="H187" s="271"/>
      <c r="I187" s="271"/>
      <c r="J187" s="271"/>
      <c r="K187" s="271"/>
      <c r="L187" s="271"/>
      <c r="M187" s="54"/>
      <c r="N187" s="290"/>
      <c r="O187" s="291"/>
      <c r="P187" s="292"/>
      <c r="Q187" s="290"/>
      <c r="R187" s="291"/>
      <c r="S187" s="292"/>
      <c r="T187" s="290"/>
      <c r="U187" s="291"/>
      <c r="V187" s="291"/>
      <c r="W187" s="292"/>
      <c r="X187" s="26" t="s">
        <v>65</v>
      </c>
      <c r="Y187" s="317">
        <v>0</v>
      </c>
      <c r="Z187" s="317"/>
      <c r="AA187" s="25">
        <v>0</v>
      </c>
      <c r="AB187" s="317">
        <v>0</v>
      </c>
      <c r="AC187" s="317"/>
    </row>
    <row r="188" spans="1:29" ht="18" customHeight="1" x14ac:dyDescent="0.3">
      <c r="A188" s="272"/>
      <c r="B188" s="272"/>
      <c r="C188" s="272"/>
      <c r="D188" s="272"/>
      <c r="E188" s="272"/>
      <c r="F188" s="272"/>
      <c r="G188" s="272"/>
      <c r="H188" s="272"/>
      <c r="I188" s="272"/>
      <c r="J188" s="272"/>
      <c r="K188" s="272"/>
      <c r="L188" s="272"/>
      <c r="M188" s="54"/>
      <c r="N188" s="293"/>
      <c r="O188" s="294"/>
      <c r="P188" s="295"/>
      <c r="Q188" s="293"/>
      <c r="R188" s="294"/>
      <c r="S188" s="295"/>
      <c r="T188" s="293"/>
      <c r="U188" s="294"/>
      <c r="V188" s="294"/>
      <c r="W188" s="295"/>
      <c r="X188" s="26" t="s">
        <v>66</v>
      </c>
      <c r="Y188" s="317">
        <v>0</v>
      </c>
      <c r="Z188" s="317"/>
      <c r="AA188" s="25">
        <v>0</v>
      </c>
      <c r="AB188" s="317">
        <v>0</v>
      </c>
      <c r="AC188" s="317"/>
    </row>
    <row r="189" spans="1:29" ht="8.25" customHeight="1" x14ac:dyDescent="0.3">
      <c r="A189" s="27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59"/>
      <c r="N189" s="28"/>
      <c r="O189" s="28"/>
      <c r="P189" s="28"/>
      <c r="Q189" s="28"/>
      <c r="R189" s="28"/>
      <c r="S189" s="28"/>
      <c r="T189" s="28"/>
      <c r="U189" s="29"/>
      <c r="V189" s="29"/>
      <c r="W189" s="29"/>
      <c r="X189" s="29"/>
      <c r="Y189" s="29"/>
      <c r="Z189" s="29"/>
      <c r="AA189" s="28"/>
      <c r="AB189" s="28"/>
      <c r="AC189" s="4"/>
    </row>
    <row r="190" spans="1:29" ht="18" customHeight="1" x14ac:dyDescent="0.3">
      <c r="A190" s="14" t="s">
        <v>67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6"/>
      <c r="M190" s="30"/>
      <c r="N190" s="14" t="s">
        <v>68</v>
      </c>
      <c r="O190" s="16"/>
      <c r="P190" s="15"/>
      <c r="Q190" s="31"/>
      <c r="R190" s="15"/>
      <c r="S190" s="15"/>
      <c r="T190" s="15"/>
      <c r="U190" s="15"/>
      <c r="V190" s="15"/>
      <c r="W190" s="15"/>
      <c r="X190" s="15"/>
      <c r="Y190" s="15"/>
      <c r="Z190" s="15"/>
      <c r="AA190" s="18"/>
      <c r="AB190" s="18"/>
      <c r="AC190" s="32"/>
    </row>
    <row r="191" spans="1:29" ht="57" customHeight="1" x14ac:dyDescent="0.3">
      <c r="A191" s="205"/>
      <c r="B191" s="206"/>
      <c r="C191" s="206"/>
      <c r="D191" s="206"/>
      <c r="E191" s="206"/>
      <c r="F191" s="207"/>
      <c r="G191" s="224" t="s">
        <v>11</v>
      </c>
      <c r="H191" s="226"/>
      <c r="I191" s="224" t="s">
        <v>12</v>
      </c>
      <c r="J191" s="226"/>
      <c r="K191" s="33" t="s">
        <v>69</v>
      </c>
      <c r="L191" s="34"/>
      <c r="M191" s="62"/>
      <c r="N191" s="314" t="s">
        <v>70</v>
      </c>
      <c r="O191" s="315"/>
      <c r="P191" s="316"/>
      <c r="Q191" s="314" t="s">
        <v>71</v>
      </c>
      <c r="R191" s="315"/>
      <c r="S191" s="316"/>
      <c r="T191" s="314" t="s">
        <v>72</v>
      </c>
      <c r="U191" s="315"/>
      <c r="V191" s="316"/>
      <c r="W191" s="314" t="s">
        <v>73</v>
      </c>
      <c r="X191" s="315"/>
      <c r="Y191" s="315"/>
      <c r="Z191" s="316"/>
      <c r="AA191" s="314" t="s">
        <v>74</v>
      </c>
      <c r="AB191" s="315"/>
      <c r="AC191" s="316"/>
    </row>
    <row r="192" spans="1:29" ht="13.5" customHeight="1" x14ac:dyDescent="0.3">
      <c r="A192" s="208"/>
      <c r="B192" s="209"/>
      <c r="C192" s="209"/>
      <c r="D192" s="209"/>
      <c r="E192" s="209"/>
      <c r="F192" s="210"/>
      <c r="G192" s="7" t="s">
        <v>75</v>
      </c>
      <c r="H192" s="7" t="s">
        <v>13</v>
      </c>
      <c r="I192" s="7" t="s">
        <v>75</v>
      </c>
      <c r="J192" s="7" t="s">
        <v>13</v>
      </c>
      <c r="K192" s="7" t="s">
        <v>75</v>
      </c>
      <c r="L192" s="7" t="s">
        <v>13</v>
      </c>
      <c r="M192" s="63"/>
      <c r="N192" s="35" t="s">
        <v>0</v>
      </c>
      <c r="O192" s="36" t="s">
        <v>1</v>
      </c>
      <c r="P192" s="36" t="s">
        <v>91</v>
      </c>
      <c r="Q192" s="35" t="s">
        <v>0</v>
      </c>
      <c r="R192" s="36" t="s">
        <v>1</v>
      </c>
      <c r="S192" s="36" t="s">
        <v>91</v>
      </c>
      <c r="T192" s="35" t="s">
        <v>0</v>
      </c>
      <c r="U192" s="36" t="s">
        <v>1</v>
      </c>
      <c r="V192" s="36" t="s">
        <v>91</v>
      </c>
      <c r="W192" s="37"/>
      <c r="X192" s="35" t="s">
        <v>0</v>
      </c>
      <c r="Y192" s="38" t="s">
        <v>1</v>
      </c>
      <c r="Z192" s="39" t="s">
        <v>76</v>
      </c>
      <c r="AA192" s="35" t="s">
        <v>0</v>
      </c>
      <c r="AB192" s="38" t="s">
        <v>1</v>
      </c>
      <c r="AC192" s="39" t="s">
        <v>76</v>
      </c>
    </row>
    <row r="193" spans="1:29" ht="24.9" customHeight="1" x14ac:dyDescent="0.3">
      <c r="A193" s="299" t="s">
        <v>77</v>
      </c>
      <c r="B193" s="318"/>
      <c r="C193" s="318"/>
      <c r="D193" s="318"/>
      <c r="E193" s="318"/>
      <c r="F193" s="300"/>
      <c r="G193" s="7">
        <v>315</v>
      </c>
      <c r="H193" s="7">
        <v>0</v>
      </c>
      <c r="I193" s="7">
        <v>13</v>
      </c>
      <c r="J193" s="7">
        <v>0</v>
      </c>
      <c r="K193" s="7">
        <v>0</v>
      </c>
      <c r="L193" s="7">
        <v>0</v>
      </c>
      <c r="M193" s="63"/>
      <c r="N193" s="321">
        <v>38</v>
      </c>
      <c r="O193" s="321">
        <v>118</v>
      </c>
      <c r="P193" s="321">
        <v>524</v>
      </c>
      <c r="Q193" s="321">
        <v>32</v>
      </c>
      <c r="R193" s="321">
        <v>202</v>
      </c>
      <c r="S193" s="321">
        <v>681</v>
      </c>
      <c r="T193" s="321">
        <v>0</v>
      </c>
      <c r="U193" s="321">
        <v>0</v>
      </c>
      <c r="V193" s="321">
        <v>10</v>
      </c>
      <c r="W193" s="40" t="s">
        <v>64</v>
      </c>
      <c r="X193" s="7">
        <v>2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</row>
    <row r="194" spans="1:29" ht="24.9" customHeight="1" x14ac:dyDescent="0.3">
      <c r="A194" s="299" t="s">
        <v>8</v>
      </c>
      <c r="B194" s="318"/>
      <c r="C194" s="318"/>
      <c r="D194" s="318"/>
      <c r="E194" s="318"/>
      <c r="F194" s="300"/>
      <c r="G194" s="7">
        <v>1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63"/>
      <c r="N194" s="322"/>
      <c r="O194" s="322"/>
      <c r="P194" s="322"/>
      <c r="Q194" s="322"/>
      <c r="R194" s="322"/>
      <c r="S194" s="322"/>
      <c r="T194" s="322"/>
      <c r="U194" s="322"/>
      <c r="V194" s="322"/>
      <c r="W194" s="40" t="s">
        <v>65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</row>
    <row r="195" spans="1:29" ht="24.9" customHeight="1" x14ac:dyDescent="0.3">
      <c r="A195" s="309" t="s">
        <v>78</v>
      </c>
      <c r="B195" s="310"/>
      <c r="C195" s="310"/>
      <c r="D195" s="310"/>
      <c r="E195" s="310"/>
      <c r="F195" s="311"/>
      <c r="G195" s="7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63"/>
      <c r="N195" s="322"/>
      <c r="O195" s="322"/>
      <c r="P195" s="322"/>
      <c r="Q195" s="322"/>
      <c r="R195" s="322"/>
      <c r="S195" s="322"/>
      <c r="T195" s="322"/>
      <c r="U195" s="322"/>
      <c r="V195" s="322"/>
      <c r="W195" s="319" t="s">
        <v>66</v>
      </c>
      <c r="X195" s="321">
        <v>10</v>
      </c>
      <c r="Y195" s="321">
        <v>28</v>
      </c>
      <c r="Z195" s="321">
        <v>8</v>
      </c>
      <c r="AA195" s="321">
        <v>0</v>
      </c>
      <c r="AB195" s="321">
        <v>0</v>
      </c>
      <c r="AC195" s="321">
        <v>0</v>
      </c>
    </row>
    <row r="196" spans="1:29" ht="24.9" customHeight="1" x14ac:dyDescent="0.3">
      <c r="A196" s="224" t="s">
        <v>7</v>
      </c>
      <c r="B196" s="225"/>
      <c r="C196" s="225"/>
      <c r="D196" s="225"/>
      <c r="E196" s="225"/>
      <c r="F196" s="226"/>
      <c r="G196" s="7">
        <v>317</v>
      </c>
      <c r="H196" s="7">
        <v>0</v>
      </c>
      <c r="I196" s="7">
        <v>13</v>
      </c>
      <c r="J196" s="7">
        <v>0</v>
      </c>
      <c r="K196" s="7">
        <v>0</v>
      </c>
      <c r="L196" s="7">
        <v>0</v>
      </c>
      <c r="M196" s="63"/>
      <c r="N196" s="323"/>
      <c r="O196" s="323"/>
      <c r="P196" s="323"/>
      <c r="Q196" s="323"/>
      <c r="R196" s="323"/>
      <c r="S196" s="323"/>
      <c r="T196" s="323"/>
      <c r="U196" s="323"/>
      <c r="V196" s="323"/>
      <c r="W196" s="320"/>
      <c r="X196" s="323"/>
      <c r="Y196" s="323"/>
      <c r="Z196" s="323"/>
      <c r="AA196" s="323"/>
      <c r="AB196" s="323"/>
      <c r="AC196" s="323"/>
    </row>
  </sheetData>
  <mergeCells count="779">
    <mergeCell ref="A194:F194"/>
    <mergeCell ref="A195:F195"/>
    <mergeCell ref="W195:W196"/>
    <mergeCell ref="A196:F196"/>
    <mergeCell ref="T191:V191"/>
    <mergeCell ref="W191:Z191"/>
    <mergeCell ref="AA191:AC191"/>
    <mergeCell ref="A193:F193"/>
    <mergeCell ref="N193:N196"/>
    <mergeCell ref="O193:O196"/>
    <mergeCell ref="P193:P196"/>
    <mergeCell ref="Q193:Q196"/>
    <mergeCell ref="R193:R196"/>
    <mergeCell ref="S193:S196"/>
    <mergeCell ref="X195:X196"/>
    <mergeCell ref="Y195:Y196"/>
    <mergeCell ref="Z195:Z196"/>
    <mergeCell ref="AA195:AA196"/>
    <mergeCell ref="AB195:AB196"/>
    <mergeCell ref="AC195:AC196"/>
    <mergeCell ref="T193:T196"/>
    <mergeCell ref="U193:U196"/>
    <mergeCell ref="V193:V196"/>
    <mergeCell ref="A191:F192"/>
    <mergeCell ref="G191:H191"/>
    <mergeCell ref="I191:J191"/>
    <mergeCell ref="N191:P191"/>
    <mergeCell ref="Q191:S191"/>
    <mergeCell ref="G184:G188"/>
    <mergeCell ref="H184:H188"/>
    <mergeCell ref="I184:I188"/>
    <mergeCell ref="J184:J188"/>
    <mergeCell ref="K184:K188"/>
    <mergeCell ref="L184:L188"/>
    <mergeCell ref="A184:A188"/>
    <mergeCell ref="B184:B188"/>
    <mergeCell ref="C184:C188"/>
    <mergeCell ref="D184:D188"/>
    <mergeCell ref="E184:E188"/>
    <mergeCell ref="F184:F188"/>
    <mergeCell ref="N184:P184"/>
    <mergeCell ref="Q184:S184"/>
    <mergeCell ref="T184:W184"/>
    <mergeCell ref="X184:AC184"/>
    <mergeCell ref="N185:P188"/>
    <mergeCell ref="Q185:S188"/>
    <mergeCell ref="T185:W188"/>
    <mergeCell ref="Y185:Z185"/>
    <mergeCell ref="AB185:AC185"/>
    <mergeCell ref="Y186:Z186"/>
    <mergeCell ref="AB186:AC186"/>
    <mergeCell ref="Y187:Z187"/>
    <mergeCell ref="AB187:AC187"/>
    <mergeCell ref="Y188:Z188"/>
    <mergeCell ref="AB188:AC188"/>
    <mergeCell ref="K182:K183"/>
    <mergeCell ref="L182:L183"/>
    <mergeCell ref="N182:P182"/>
    <mergeCell ref="Q182:S182"/>
    <mergeCell ref="T182:AC182"/>
    <mergeCell ref="N183:P183"/>
    <mergeCell ref="Q183:S183"/>
    <mergeCell ref="T183:AC183"/>
    <mergeCell ref="A176:J176"/>
    <mergeCell ref="A177:J177"/>
    <mergeCell ref="A178:J178"/>
    <mergeCell ref="A179:J179"/>
    <mergeCell ref="A182:A183"/>
    <mergeCell ref="B182:C182"/>
    <mergeCell ref="D182:F182"/>
    <mergeCell ref="G182:J182"/>
    <mergeCell ref="U173:V173"/>
    <mergeCell ref="W173:X173"/>
    <mergeCell ref="Y173:Z173"/>
    <mergeCell ref="AA173:AB173"/>
    <mergeCell ref="AC173:AC174"/>
    <mergeCell ref="A175:J175"/>
    <mergeCell ref="A173:J174"/>
    <mergeCell ref="K173:L173"/>
    <mergeCell ref="M173:N173"/>
    <mergeCell ref="O173:P173"/>
    <mergeCell ref="Q173:R173"/>
    <mergeCell ref="S173:T173"/>
    <mergeCell ref="A171:J171"/>
    <mergeCell ref="K171:L171"/>
    <mergeCell ref="M171:N171"/>
    <mergeCell ref="O171:Q171"/>
    <mergeCell ref="R171:T171"/>
    <mergeCell ref="U171:W171"/>
    <mergeCell ref="X171:Y171"/>
    <mergeCell ref="Z171:AA171"/>
    <mergeCell ref="AB171:AC171"/>
    <mergeCell ref="A170:J170"/>
    <mergeCell ref="K170:L170"/>
    <mergeCell ref="M170:N170"/>
    <mergeCell ref="O170:Q170"/>
    <mergeCell ref="R170:T170"/>
    <mergeCell ref="U170:W170"/>
    <mergeCell ref="X170:Y170"/>
    <mergeCell ref="Z170:AA170"/>
    <mergeCell ref="AB170:AC170"/>
    <mergeCell ref="A169:J169"/>
    <mergeCell ref="K169:L169"/>
    <mergeCell ref="M169:N169"/>
    <mergeCell ref="O169:Q169"/>
    <mergeCell ref="R169:T169"/>
    <mergeCell ref="U169:W169"/>
    <mergeCell ref="X169:Y169"/>
    <mergeCell ref="Z169:AA169"/>
    <mergeCell ref="AB169:AC169"/>
    <mergeCell ref="A168:J168"/>
    <mergeCell ref="K168:L168"/>
    <mergeCell ref="M168:N168"/>
    <mergeCell ref="O168:Q168"/>
    <mergeCell ref="R168:T168"/>
    <mergeCell ref="U168:W168"/>
    <mergeCell ref="X168:Y168"/>
    <mergeCell ref="Z168:AA168"/>
    <mergeCell ref="AB168:AC168"/>
    <mergeCell ref="AB164:AC166"/>
    <mergeCell ref="A165:J166"/>
    <mergeCell ref="U165:W166"/>
    <mergeCell ref="X165:Y166"/>
    <mergeCell ref="Z165:AA166"/>
    <mergeCell ref="A167:J167"/>
    <mergeCell ref="K167:L167"/>
    <mergeCell ref="M167:N167"/>
    <mergeCell ref="O167:Q167"/>
    <mergeCell ref="R167:T167"/>
    <mergeCell ref="A164:J164"/>
    <mergeCell ref="K164:L166"/>
    <mergeCell ref="M164:N166"/>
    <mergeCell ref="O164:Q166"/>
    <mergeCell ref="R164:T166"/>
    <mergeCell ref="U164:AA164"/>
    <mergeCell ref="U167:W167"/>
    <mergeCell ref="X167:Y167"/>
    <mergeCell ref="Z167:AA167"/>
    <mergeCell ref="AB167:AC167"/>
    <mergeCell ref="Y160:AA161"/>
    <mergeCell ref="AB160:AC161"/>
    <mergeCell ref="A162:G162"/>
    <mergeCell ref="H162:N162"/>
    <mergeCell ref="T162:Y162"/>
    <mergeCell ref="Z162:AC162"/>
    <mergeCell ref="A158:AC158"/>
    <mergeCell ref="A159:W159"/>
    <mergeCell ref="Y159:Z159"/>
    <mergeCell ref="A160:D160"/>
    <mergeCell ref="E160:H160"/>
    <mergeCell ref="I160:J160"/>
    <mergeCell ref="K160:L160"/>
    <mergeCell ref="M160:N160"/>
    <mergeCell ref="O160:R160"/>
    <mergeCell ref="T160:X161"/>
    <mergeCell ref="A155:F155"/>
    <mergeCell ref="A156:F156"/>
    <mergeCell ref="W156:W157"/>
    <mergeCell ref="A157:F157"/>
    <mergeCell ref="T152:V152"/>
    <mergeCell ref="W152:Z152"/>
    <mergeCell ref="AA152:AC152"/>
    <mergeCell ref="A154:F154"/>
    <mergeCell ref="N154:N157"/>
    <mergeCell ref="O154:O157"/>
    <mergeCell ref="P154:P157"/>
    <mergeCell ref="Q154:Q157"/>
    <mergeCell ref="R154:R157"/>
    <mergeCell ref="S154:S157"/>
    <mergeCell ref="X156:X157"/>
    <mergeCell ref="Y156:Y157"/>
    <mergeCell ref="Z156:Z157"/>
    <mergeCell ref="AA156:AA157"/>
    <mergeCell ref="AB156:AB157"/>
    <mergeCell ref="AC156:AC157"/>
    <mergeCell ref="T154:T157"/>
    <mergeCell ref="U154:U157"/>
    <mergeCell ref="V154:V157"/>
    <mergeCell ref="A152:F153"/>
    <mergeCell ref="G152:H152"/>
    <mergeCell ref="I152:J152"/>
    <mergeCell ref="N152:P152"/>
    <mergeCell ref="Q152:S152"/>
    <mergeCell ref="G145:G149"/>
    <mergeCell ref="H145:H149"/>
    <mergeCell ref="I145:I149"/>
    <mergeCell ref="J145:J149"/>
    <mergeCell ref="K145:K149"/>
    <mergeCell ref="L145:L149"/>
    <mergeCell ref="A145:A149"/>
    <mergeCell ref="B145:B149"/>
    <mergeCell ref="C145:C149"/>
    <mergeCell ref="D145:D149"/>
    <mergeCell ref="E145:E149"/>
    <mergeCell ref="F145:F149"/>
    <mergeCell ref="N145:P145"/>
    <mergeCell ref="Q145:S145"/>
    <mergeCell ref="T145:W145"/>
    <mergeCell ref="X145:AC145"/>
    <mergeCell ref="N146:P149"/>
    <mergeCell ref="Q146:S149"/>
    <mergeCell ref="T146:W149"/>
    <mergeCell ref="Y146:Z146"/>
    <mergeCell ref="AB146:AC146"/>
    <mergeCell ref="Y147:Z147"/>
    <mergeCell ref="AB147:AC147"/>
    <mergeCell ref="Y148:Z148"/>
    <mergeCell ref="AB148:AC148"/>
    <mergeCell ref="Y149:Z149"/>
    <mergeCell ref="AB149:AC149"/>
    <mergeCell ref="L143:L144"/>
    <mergeCell ref="N143:P143"/>
    <mergeCell ref="Q143:S143"/>
    <mergeCell ref="T143:AC143"/>
    <mergeCell ref="N144:P144"/>
    <mergeCell ref="Q144:S144"/>
    <mergeCell ref="T144:AC144"/>
    <mergeCell ref="A137:J137"/>
    <mergeCell ref="A138:J138"/>
    <mergeCell ref="A139:J139"/>
    <mergeCell ref="A140:J140"/>
    <mergeCell ref="O141:P141"/>
    <mergeCell ref="A143:A144"/>
    <mergeCell ref="B143:C143"/>
    <mergeCell ref="D143:F143"/>
    <mergeCell ref="G143:J143"/>
    <mergeCell ref="K143:K144"/>
    <mergeCell ref="U134:V134"/>
    <mergeCell ref="W134:X134"/>
    <mergeCell ref="Y134:Z134"/>
    <mergeCell ref="AA134:AB134"/>
    <mergeCell ref="AC134:AC135"/>
    <mergeCell ref="A136:J136"/>
    <mergeCell ref="A134:J135"/>
    <mergeCell ref="K134:L134"/>
    <mergeCell ref="M134:N134"/>
    <mergeCell ref="O134:P134"/>
    <mergeCell ref="Q134:R134"/>
    <mergeCell ref="S134:T134"/>
    <mergeCell ref="A132:J132"/>
    <mergeCell ref="K132:L132"/>
    <mergeCell ref="M132:N132"/>
    <mergeCell ref="O132:Q132"/>
    <mergeCell ref="R132:T132"/>
    <mergeCell ref="U132:W132"/>
    <mergeCell ref="X132:Y132"/>
    <mergeCell ref="Z132:AA132"/>
    <mergeCell ref="AB132:AC132"/>
    <mergeCell ref="A131:J131"/>
    <mergeCell ref="K131:L131"/>
    <mergeCell ref="M131:N131"/>
    <mergeCell ref="O131:Q131"/>
    <mergeCell ref="R131:T131"/>
    <mergeCell ref="U131:W131"/>
    <mergeCell ref="X131:Y131"/>
    <mergeCell ref="Z131:AA131"/>
    <mergeCell ref="AB131:AC131"/>
    <mergeCell ref="A130:J130"/>
    <mergeCell ref="K130:L130"/>
    <mergeCell ref="M130:N130"/>
    <mergeCell ref="O130:Q130"/>
    <mergeCell ref="R130:T130"/>
    <mergeCell ref="U130:W130"/>
    <mergeCell ref="X130:Y130"/>
    <mergeCell ref="Z130:AA130"/>
    <mergeCell ref="AB130:AC130"/>
    <mergeCell ref="A129:J129"/>
    <mergeCell ref="K129:L129"/>
    <mergeCell ref="M129:N129"/>
    <mergeCell ref="O129:Q129"/>
    <mergeCell ref="R129:T129"/>
    <mergeCell ref="U129:W129"/>
    <mergeCell ref="X129:Y129"/>
    <mergeCell ref="Z129:AA129"/>
    <mergeCell ref="AB129:AC129"/>
    <mergeCell ref="AB125:AC127"/>
    <mergeCell ref="A126:J127"/>
    <mergeCell ref="U126:W127"/>
    <mergeCell ref="X126:Y127"/>
    <mergeCell ref="Z126:AA127"/>
    <mergeCell ref="A128:J128"/>
    <mergeCell ref="K128:L128"/>
    <mergeCell ref="M128:N128"/>
    <mergeCell ref="O128:Q128"/>
    <mergeCell ref="R128:T128"/>
    <mergeCell ref="A125:J125"/>
    <mergeCell ref="K125:L127"/>
    <mergeCell ref="M125:N127"/>
    <mergeCell ref="O125:Q127"/>
    <mergeCell ref="R125:T127"/>
    <mergeCell ref="U125:AA125"/>
    <mergeCell ref="U128:W128"/>
    <mergeCell ref="X128:Y128"/>
    <mergeCell ref="Z128:AA128"/>
    <mergeCell ref="AB128:AC128"/>
    <mergeCell ref="Y121:AA122"/>
    <mergeCell ref="AB121:AC122"/>
    <mergeCell ref="A123:G123"/>
    <mergeCell ref="H123:N123"/>
    <mergeCell ref="T123:Y123"/>
    <mergeCell ref="Z123:AC123"/>
    <mergeCell ref="A119:AC119"/>
    <mergeCell ref="A120:W120"/>
    <mergeCell ref="Y120:Z120"/>
    <mergeCell ref="A121:D121"/>
    <mergeCell ref="E121:H121"/>
    <mergeCell ref="I121:J121"/>
    <mergeCell ref="K121:L121"/>
    <mergeCell ref="M121:N121"/>
    <mergeCell ref="O121:R121"/>
    <mergeCell ref="T121:X122"/>
    <mergeCell ref="A116:F116"/>
    <mergeCell ref="A117:F117"/>
    <mergeCell ref="W117:W118"/>
    <mergeCell ref="A118:F118"/>
    <mergeCell ref="T113:V113"/>
    <mergeCell ref="W113:Z113"/>
    <mergeCell ref="AA113:AC113"/>
    <mergeCell ref="A115:F115"/>
    <mergeCell ref="N115:N118"/>
    <mergeCell ref="O115:O118"/>
    <mergeCell ref="P115:P118"/>
    <mergeCell ref="Q115:Q118"/>
    <mergeCell ref="R115:R118"/>
    <mergeCell ref="S115:S118"/>
    <mergeCell ref="X117:X118"/>
    <mergeCell ref="Y117:Y118"/>
    <mergeCell ref="Z117:Z118"/>
    <mergeCell ref="AA117:AA118"/>
    <mergeCell ref="AB117:AB118"/>
    <mergeCell ref="AC117:AC118"/>
    <mergeCell ref="T115:T118"/>
    <mergeCell ref="U115:U118"/>
    <mergeCell ref="V115:V118"/>
    <mergeCell ref="A113:F114"/>
    <mergeCell ref="G113:H113"/>
    <mergeCell ref="I113:J113"/>
    <mergeCell ref="N113:P113"/>
    <mergeCell ref="Q113:S113"/>
    <mergeCell ref="G106:G110"/>
    <mergeCell ref="H106:H110"/>
    <mergeCell ref="I106:I110"/>
    <mergeCell ref="J106:J110"/>
    <mergeCell ref="K106:K110"/>
    <mergeCell ref="L106:L110"/>
    <mergeCell ref="A106:A110"/>
    <mergeCell ref="B106:B110"/>
    <mergeCell ref="C106:C110"/>
    <mergeCell ref="D106:D110"/>
    <mergeCell ref="E106:E110"/>
    <mergeCell ref="F106:F110"/>
    <mergeCell ref="N106:P106"/>
    <mergeCell ref="Q106:S106"/>
    <mergeCell ref="T106:W106"/>
    <mergeCell ref="X106:AC106"/>
    <mergeCell ref="N107:P110"/>
    <mergeCell ref="Q107:S110"/>
    <mergeCell ref="T107:W110"/>
    <mergeCell ref="Y107:Z107"/>
    <mergeCell ref="AB107:AC107"/>
    <mergeCell ref="Y108:Z108"/>
    <mergeCell ref="AB108:AC108"/>
    <mergeCell ref="Y109:Z109"/>
    <mergeCell ref="AB109:AC109"/>
    <mergeCell ref="Y110:Z110"/>
    <mergeCell ref="AB110:AC110"/>
    <mergeCell ref="L104:L105"/>
    <mergeCell ref="N104:P104"/>
    <mergeCell ref="Q104:S104"/>
    <mergeCell ref="T104:AC104"/>
    <mergeCell ref="N105:P105"/>
    <mergeCell ref="Q105:S105"/>
    <mergeCell ref="T105:AC105"/>
    <mergeCell ref="A98:J98"/>
    <mergeCell ref="A99:J99"/>
    <mergeCell ref="A100:J100"/>
    <mergeCell ref="A101:J101"/>
    <mergeCell ref="O102:P102"/>
    <mergeCell ref="A104:A105"/>
    <mergeCell ref="B104:C104"/>
    <mergeCell ref="D104:F104"/>
    <mergeCell ref="G104:J104"/>
    <mergeCell ref="K104:K105"/>
    <mergeCell ref="U95:V95"/>
    <mergeCell ref="W95:X95"/>
    <mergeCell ref="Y95:Z95"/>
    <mergeCell ref="AA95:AB95"/>
    <mergeCell ref="AC95:AC96"/>
    <mergeCell ref="A97:J97"/>
    <mergeCell ref="A95:J96"/>
    <mergeCell ref="K95:L95"/>
    <mergeCell ref="M95:N95"/>
    <mergeCell ref="O95:P95"/>
    <mergeCell ref="Q95:R95"/>
    <mergeCell ref="S95:T95"/>
    <mergeCell ref="A93:J93"/>
    <mergeCell ref="K93:L93"/>
    <mergeCell ref="M93:N93"/>
    <mergeCell ref="O93:Q93"/>
    <mergeCell ref="R93:T93"/>
    <mergeCell ref="U93:W93"/>
    <mergeCell ref="X93:Y93"/>
    <mergeCell ref="Z93:AA93"/>
    <mergeCell ref="AB93:AC93"/>
    <mergeCell ref="A92:J92"/>
    <mergeCell ref="K92:L92"/>
    <mergeCell ref="M92:N92"/>
    <mergeCell ref="O92:Q92"/>
    <mergeCell ref="R92:T92"/>
    <mergeCell ref="U92:W92"/>
    <mergeCell ref="X92:Y92"/>
    <mergeCell ref="Z92:AA92"/>
    <mergeCell ref="AB92:AC92"/>
    <mergeCell ref="A91:J91"/>
    <mergeCell ref="K91:L91"/>
    <mergeCell ref="M91:N91"/>
    <mergeCell ref="O91:Q91"/>
    <mergeCell ref="R91:T91"/>
    <mergeCell ref="U91:W91"/>
    <mergeCell ref="X91:Y91"/>
    <mergeCell ref="Z91:AA91"/>
    <mergeCell ref="AB91:AC91"/>
    <mergeCell ref="A90:J90"/>
    <mergeCell ref="K90:L90"/>
    <mergeCell ref="M90:N90"/>
    <mergeCell ref="O90:Q90"/>
    <mergeCell ref="R90:T90"/>
    <mergeCell ref="U90:W90"/>
    <mergeCell ref="X90:Y90"/>
    <mergeCell ref="Z90:AA90"/>
    <mergeCell ref="AB90:AC90"/>
    <mergeCell ref="AB86:AC88"/>
    <mergeCell ref="A87:J88"/>
    <mergeCell ref="U87:W88"/>
    <mergeCell ref="X87:Y88"/>
    <mergeCell ref="Z87:AA88"/>
    <mergeCell ref="A89:J89"/>
    <mergeCell ref="K89:L89"/>
    <mergeCell ref="M89:N89"/>
    <mergeCell ref="O89:Q89"/>
    <mergeCell ref="R89:T89"/>
    <mergeCell ref="A86:J86"/>
    <mergeCell ref="K86:L88"/>
    <mergeCell ref="M86:N88"/>
    <mergeCell ref="O86:Q88"/>
    <mergeCell ref="R86:T88"/>
    <mergeCell ref="U86:AA86"/>
    <mergeCell ref="U89:W89"/>
    <mergeCell ref="X89:Y89"/>
    <mergeCell ref="Z89:AA89"/>
    <mergeCell ref="AB89:AC89"/>
    <mergeCell ref="Y82:AA83"/>
    <mergeCell ref="AB82:AC83"/>
    <mergeCell ref="A84:G84"/>
    <mergeCell ref="H84:N84"/>
    <mergeCell ref="T84:Y84"/>
    <mergeCell ref="Z84:AC84"/>
    <mergeCell ref="A80:AC80"/>
    <mergeCell ref="A81:W81"/>
    <mergeCell ref="Y81:Z81"/>
    <mergeCell ref="A82:D82"/>
    <mergeCell ref="E82:H82"/>
    <mergeCell ref="I82:J82"/>
    <mergeCell ref="K82:L82"/>
    <mergeCell ref="M82:N82"/>
    <mergeCell ref="O82:R82"/>
    <mergeCell ref="T82:X83"/>
    <mergeCell ref="A77:F77"/>
    <mergeCell ref="A78:F78"/>
    <mergeCell ref="W78:W79"/>
    <mergeCell ref="A79:F79"/>
    <mergeCell ref="T74:V74"/>
    <mergeCell ref="W74:Z74"/>
    <mergeCell ref="AA74:AC74"/>
    <mergeCell ref="A76:F76"/>
    <mergeCell ref="N76:N79"/>
    <mergeCell ref="O76:O79"/>
    <mergeCell ref="P76:P79"/>
    <mergeCell ref="Q76:Q79"/>
    <mergeCell ref="R76:R79"/>
    <mergeCell ref="S76:S79"/>
    <mergeCell ref="X78:X79"/>
    <mergeCell ref="Y78:Y79"/>
    <mergeCell ref="Z78:Z79"/>
    <mergeCell ref="AA78:AA79"/>
    <mergeCell ref="AB78:AB79"/>
    <mergeCell ref="AC78:AC79"/>
    <mergeCell ref="T76:T79"/>
    <mergeCell ref="U76:U79"/>
    <mergeCell ref="V76:V79"/>
    <mergeCell ref="A74:F75"/>
    <mergeCell ref="G74:H74"/>
    <mergeCell ref="I74:J74"/>
    <mergeCell ref="N74:P74"/>
    <mergeCell ref="Q74:S74"/>
    <mergeCell ref="G67:G71"/>
    <mergeCell ref="H67:H71"/>
    <mergeCell ref="I67:I71"/>
    <mergeCell ref="J67:J71"/>
    <mergeCell ref="K67:K71"/>
    <mergeCell ref="L67:L71"/>
    <mergeCell ref="A67:A71"/>
    <mergeCell ref="B67:B71"/>
    <mergeCell ref="C67:C71"/>
    <mergeCell ref="D67:D71"/>
    <mergeCell ref="E67:E71"/>
    <mergeCell ref="F67:F71"/>
    <mergeCell ref="N67:P67"/>
    <mergeCell ref="Q67:S67"/>
    <mergeCell ref="T67:W67"/>
    <mergeCell ref="X67:AC67"/>
    <mergeCell ref="N68:P71"/>
    <mergeCell ref="Q68:S71"/>
    <mergeCell ref="T68:W71"/>
    <mergeCell ref="Y68:Z68"/>
    <mergeCell ref="AB68:AC68"/>
    <mergeCell ref="Y69:Z69"/>
    <mergeCell ref="AB69:AC69"/>
    <mergeCell ref="Y70:Z70"/>
    <mergeCell ref="AB70:AC70"/>
    <mergeCell ref="Y71:Z71"/>
    <mergeCell ref="AB71:AC71"/>
    <mergeCell ref="L65:L66"/>
    <mergeCell ref="N65:P65"/>
    <mergeCell ref="Q65:S65"/>
    <mergeCell ref="T65:AC65"/>
    <mergeCell ref="N66:P66"/>
    <mergeCell ref="Q66:S66"/>
    <mergeCell ref="T66:AC66"/>
    <mergeCell ref="A59:J59"/>
    <mergeCell ref="A60:J60"/>
    <mergeCell ref="A61:J61"/>
    <mergeCell ref="A62:J62"/>
    <mergeCell ref="O63:P63"/>
    <mergeCell ref="A65:A66"/>
    <mergeCell ref="B65:C65"/>
    <mergeCell ref="D65:F65"/>
    <mergeCell ref="G65:J65"/>
    <mergeCell ref="K65:K66"/>
    <mergeCell ref="U56:V56"/>
    <mergeCell ref="W56:X56"/>
    <mergeCell ref="Y56:Z56"/>
    <mergeCell ref="AA56:AB56"/>
    <mergeCell ref="AC56:AC57"/>
    <mergeCell ref="A58:J58"/>
    <mergeCell ref="A56:J57"/>
    <mergeCell ref="K56:L56"/>
    <mergeCell ref="M56:N56"/>
    <mergeCell ref="O56:P56"/>
    <mergeCell ref="Q56:R56"/>
    <mergeCell ref="S56:T56"/>
    <mergeCell ref="A54:J54"/>
    <mergeCell ref="K54:L54"/>
    <mergeCell ref="M54:N54"/>
    <mergeCell ref="O54:Q54"/>
    <mergeCell ref="R54:T54"/>
    <mergeCell ref="U54:W54"/>
    <mergeCell ref="X54:Y54"/>
    <mergeCell ref="Z54:AA54"/>
    <mergeCell ref="AB54:AC54"/>
    <mergeCell ref="A53:J53"/>
    <mergeCell ref="K53:L53"/>
    <mergeCell ref="M53:N53"/>
    <mergeCell ref="O53:Q53"/>
    <mergeCell ref="R53:T53"/>
    <mergeCell ref="U53:W53"/>
    <mergeCell ref="X53:Y53"/>
    <mergeCell ref="Z53:AA53"/>
    <mergeCell ref="AB53:AC53"/>
    <mergeCell ref="A52:J52"/>
    <mergeCell ref="K52:L52"/>
    <mergeCell ref="M52:N52"/>
    <mergeCell ref="O52:Q52"/>
    <mergeCell ref="R52:T52"/>
    <mergeCell ref="U52:W52"/>
    <mergeCell ref="X52:Y52"/>
    <mergeCell ref="Z52:AA52"/>
    <mergeCell ref="AB52:AC52"/>
    <mergeCell ref="A51:J51"/>
    <mergeCell ref="K51:L51"/>
    <mergeCell ref="M51:N51"/>
    <mergeCell ref="O51:Q51"/>
    <mergeCell ref="R51:T51"/>
    <mergeCell ref="U51:W51"/>
    <mergeCell ref="X51:Y51"/>
    <mergeCell ref="Z51:AA51"/>
    <mergeCell ref="AB51:AC51"/>
    <mergeCell ref="AB47:AC49"/>
    <mergeCell ref="A48:J49"/>
    <mergeCell ref="U48:W49"/>
    <mergeCell ref="X48:Y49"/>
    <mergeCell ref="Z48:AA49"/>
    <mergeCell ref="A50:J50"/>
    <mergeCell ref="K50:L50"/>
    <mergeCell ref="M50:N50"/>
    <mergeCell ref="O50:Q50"/>
    <mergeCell ref="R50:T50"/>
    <mergeCell ref="A47:J47"/>
    <mergeCell ref="K47:L49"/>
    <mergeCell ref="M47:N49"/>
    <mergeCell ref="O47:Q49"/>
    <mergeCell ref="R47:T49"/>
    <mergeCell ref="U47:AA47"/>
    <mergeCell ref="U50:W50"/>
    <mergeCell ref="X50:Y50"/>
    <mergeCell ref="Z50:AA50"/>
    <mergeCell ref="AB50:AC50"/>
    <mergeCell ref="Y43:AA44"/>
    <mergeCell ref="AB43:AC44"/>
    <mergeCell ref="A45:G45"/>
    <mergeCell ref="H45:N45"/>
    <mergeCell ref="T45:Y45"/>
    <mergeCell ref="Z45:AC45"/>
    <mergeCell ref="A41:AC41"/>
    <mergeCell ref="A42:W42"/>
    <mergeCell ref="Y42:Z42"/>
    <mergeCell ref="A43:D43"/>
    <mergeCell ref="E43:H43"/>
    <mergeCell ref="I43:J43"/>
    <mergeCell ref="K43:L43"/>
    <mergeCell ref="M43:N43"/>
    <mergeCell ref="O43:R43"/>
    <mergeCell ref="T43:X44"/>
    <mergeCell ref="A38:F38"/>
    <mergeCell ref="A39:F39"/>
    <mergeCell ref="W39:W40"/>
    <mergeCell ref="A40:F40"/>
    <mergeCell ref="T35:V35"/>
    <mergeCell ref="W35:Z35"/>
    <mergeCell ref="AA35:AC35"/>
    <mergeCell ref="A37:F37"/>
    <mergeCell ref="N37:N40"/>
    <mergeCell ref="O37:O40"/>
    <mergeCell ref="P37:P40"/>
    <mergeCell ref="Q37:Q40"/>
    <mergeCell ref="R37:R40"/>
    <mergeCell ref="S37:S40"/>
    <mergeCell ref="X39:X40"/>
    <mergeCell ref="Y39:Y40"/>
    <mergeCell ref="Z39:Z40"/>
    <mergeCell ref="AA39:AA40"/>
    <mergeCell ref="AB39:AB40"/>
    <mergeCell ref="AC39:AC40"/>
    <mergeCell ref="T37:T40"/>
    <mergeCell ref="U37:U40"/>
    <mergeCell ref="V37:V40"/>
    <mergeCell ref="A35:F36"/>
    <mergeCell ref="G35:H35"/>
    <mergeCell ref="I35:J35"/>
    <mergeCell ref="N35:P35"/>
    <mergeCell ref="Q35:S35"/>
    <mergeCell ref="G28:G32"/>
    <mergeCell ref="H28:H32"/>
    <mergeCell ref="I28:I32"/>
    <mergeCell ref="J28:J32"/>
    <mergeCell ref="K28:K32"/>
    <mergeCell ref="L28:L32"/>
    <mergeCell ref="A28:A32"/>
    <mergeCell ref="B28:B32"/>
    <mergeCell ref="C28:C32"/>
    <mergeCell ref="D28:D32"/>
    <mergeCell ref="E28:E32"/>
    <mergeCell ref="F28:F32"/>
    <mergeCell ref="N28:P28"/>
    <mergeCell ref="Q28:S28"/>
    <mergeCell ref="T28:W28"/>
    <mergeCell ref="X28:AC28"/>
    <mergeCell ref="N29:P32"/>
    <mergeCell ref="Q29:S32"/>
    <mergeCell ref="T29:W32"/>
    <mergeCell ref="Y29:Z29"/>
    <mergeCell ref="AB29:AC29"/>
    <mergeCell ref="Y30:Z30"/>
    <mergeCell ref="AB30:AC30"/>
    <mergeCell ref="Y31:Z31"/>
    <mergeCell ref="AB31:AC31"/>
    <mergeCell ref="Y32:Z32"/>
    <mergeCell ref="AB32:AC32"/>
    <mergeCell ref="L26:L27"/>
    <mergeCell ref="N26:P26"/>
    <mergeCell ref="Q26:S26"/>
    <mergeCell ref="T26:AC26"/>
    <mergeCell ref="N27:P27"/>
    <mergeCell ref="Q27:S27"/>
    <mergeCell ref="T27:AC27"/>
    <mergeCell ref="A20:J20"/>
    <mergeCell ref="A21:J21"/>
    <mergeCell ref="A22:J22"/>
    <mergeCell ref="A23:J23"/>
    <mergeCell ref="O24:P24"/>
    <mergeCell ref="A26:A27"/>
    <mergeCell ref="B26:C26"/>
    <mergeCell ref="D26:F26"/>
    <mergeCell ref="G26:J26"/>
    <mergeCell ref="K26:K27"/>
    <mergeCell ref="U17:V17"/>
    <mergeCell ref="W17:X17"/>
    <mergeCell ref="Y17:Z17"/>
    <mergeCell ref="AA17:AB17"/>
    <mergeCell ref="AC17:AC18"/>
    <mergeCell ref="A19:J19"/>
    <mergeCell ref="A17:J18"/>
    <mergeCell ref="K17:L17"/>
    <mergeCell ref="M17:N17"/>
    <mergeCell ref="O17:P17"/>
    <mergeCell ref="Q17:R17"/>
    <mergeCell ref="S17:T17"/>
    <mergeCell ref="A15:J15"/>
    <mergeCell ref="K15:L15"/>
    <mergeCell ref="M15:N15"/>
    <mergeCell ref="O15:Q15"/>
    <mergeCell ref="R15:T15"/>
    <mergeCell ref="U15:W15"/>
    <mergeCell ref="X15:Y15"/>
    <mergeCell ref="Z15:AA15"/>
    <mergeCell ref="AB15:AC15"/>
    <mergeCell ref="A14:J14"/>
    <mergeCell ref="K14:L14"/>
    <mergeCell ref="M14:N14"/>
    <mergeCell ref="O14:Q14"/>
    <mergeCell ref="R14:T14"/>
    <mergeCell ref="U14:W14"/>
    <mergeCell ref="X14:Y14"/>
    <mergeCell ref="Z14:AA14"/>
    <mergeCell ref="AB14:AC14"/>
    <mergeCell ref="A13:J13"/>
    <mergeCell ref="K13:L13"/>
    <mergeCell ref="M13:N13"/>
    <mergeCell ref="O13:Q13"/>
    <mergeCell ref="R13:T13"/>
    <mergeCell ref="U13:W13"/>
    <mergeCell ref="X13:Y13"/>
    <mergeCell ref="Z13:AA13"/>
    <mergeCell ref="AB13:AC13"/>
    <mergeCell ref="A12:J12"/>
    <mergeCell ref="K12:L12"/>
    <mergeCell ref="M12:N12"/>
    <mergeCell ref="O12:Q12"/>
    <mergeCell ref="R12:T12"/>
    <mergeCell ref="U12:W12"/>
    <mergeCell ref="X12:Y12"/>
    <mergeCell ref="Z12:AA12"/>
    <mergeCell ref="AB12:AC12"/>
    <mergeCell ref="AB8:AC10"/>
    <mergeCell ref="A9:J10"/>
    <mergeCell ref="U9:W10"/>
    <mergeCell ref="X9:Y10"/>
    <mergeCell ref="Z9:AA10"/>
    <mergeCell ref="A11:J11"/>
    <mergeCell ref="K11:L11"/>
    <mergeCell ref="M11:N11"/>
    <mergeCell ref="O11:Q11"/>
    <mergeCell ref="R11:T11"/>
    <mergeCell ref="A8:J8"/>
    <mergeCell ref="K8:L10"/>
    <mergeCell ref="M8:N10"/>
    <mergeCell ref="O8:Q10"/>
    <mergeCell ref="R8:T10"/>
    <mergeCell ref="U8:AA8"/>
    <mergeCell ref="U11:W11"/>
    <mergeCell ref="X11:Y11"/>
    <mergeCell ref="Z11:AA11"/>
    <mergeCell ref="AB11:AC11"/>
    <mergeCell ref="Y4:AA5"/>
    <mergeCell ref="AB4:AC5"/>
    <mergeCell ref="A6:G6"/>
    <mergeCell ref="H6:N6"/>
    <mergeCell ref="T6:Y6"/>
    <mergeCell ref="Z6:AC6"/>
    <mergeCell ref="A2:AC2"/>
    <mergeCell ref="A3:W3"/>
    <mergeCell ref="Y3:Z3"/>
    <mergeCell ref="A4:D4"/>
    <mergeCell ref="E4:H4"/>
    <mergeCell ref="I4:J4"/>
    <mergeCell ref="K4:L4"/>
    <mergeCell ref="M4:N4"/>
    <mergeCell ref="O4:R4"/>
    <mergeCell ref="T4:X5"/>
  </mergeCells>
  <printOptions horizontalCentered="1"/>
  <pageMargins left="0.25" right="0.25" top="0.25" bottom="0.25" header="0.25" footer="0.25"/>
  <pageSetup paperSize="9" scale="63" orientation="landscape" r:id="rId1"/>
  <rowBreaks count="4" manualBreakCount="4">
    <brk id="40" max="24" man="1"/>
    <brk id="79" max="24" man="1"/>
    <brk id="118" max="24" man="1"/>
    <brk id="157" max="24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8000"/>
  </sheetPr>
  <dimension ref="A1:AC196"/>
  <sheetViews>
    <sheetView view="pageBreakPreview" topLeftCell="A25" zoomScale="85" zoomScaleNormal="85" zoomScaleSheetLayoutView="85" workbookViewId="0">
      <selection activeCell="N37" sqref="N37:P40"/>
    </sheetView>
  </sheetViews>
  <sheetFormatPr defaultColWidth="9.109375" defaultRowHeight="13.8" x14ac:dyDescent="0.25"/>
  <cols>
    <col min="1" max="1" width="9.44140625" style="102" customWidth="1"/>
    <col min="2" max="2" width="11.44140625" style="102" customWidth="1"/>
    <col min="3" max="3" width="11" style="102" customWidth="1"/>
    <col min="4" max="7" width="7.33203125" style="102" customWidth="1"/>
    <col min="8" max="8" width="7.6640625" style="102" customWidth="1"/>
    <col min="9" max="9" width="8.33203125" style="102" customWidth="1"/>
    <col min="10" max="10" width="7.33203125" style="102" customWidth="1"/>
    <col min="11" max="11" width="9.6640625" style="102" customWidth="1"/>
    <col min="12" max="12" width="8" style="102" customWidth="1"/>
    <col min="13" max="13" width="7.33203125" style="102" customWidth="1"/>
    <col min="14" max="14" width="6.33203125" style="102" customWidth="1"/>
    <col min="15" max="15" width="6" style="102" customWidth="1"/>
    <col min="16" max="16" width="6.44140625" style="102" customWidth="1"/>
    <col min="17" max="17" width="5.33203125" style="102" customWidth="1"/>
    <col min="18" max="18" width="7.33203125" style="102" customWidth="1"/>
    <col min="19" max="19" width="6.6640625" style="102" customWidth="1"/>
    <col min="20" max="20" width="6.33203125" style="102" customWidth="1"/>
    <col min="21" max="22" width="5.33203125" style="102" customWidth="1"/>
    <col min="23" max="29" width="7.33203125" style="102" customWidth="1"/>
    <col min="30" max="16384" width="9.109375" style="102"/>
  </cols>
  <sheetData>
    <row r="1" spans="1:29" ht="7.5" customHeight="1" x14ac:dyDescent="0.25"/>
    <row r="2" spans="1:29" ht="18" customHeight="1" x14ac:dyDescent="0.25">
      <c r="A2" s="354" t="s">
        <v>15</v>
      </c>
      <c r="B2" s="354"/>
      <c r="C2" s="354"/>
      <c r="D2" s="354"/>
      <c r="E2" s="354"/>
      <c r="F2" s="354"/>
      <c r="G2" s="354"/>
      <c r="H2" s="354"/>
      <c r="I2" s="354"/>
      <c r="J2" s="354"/>
      <c r="K2" s="354"/>
      <c r="L2" s="354"/>
      <c r="M2" s="354"/>
      <c r="N2" s="354"/>
      <c r="O2" s="354"/>
      <c r="P2" s="354"/>
      <c r="Q2" s="354"/>
      <c r="R2" s="354"/>
      <c r="S2" s="354"/>
      <c r="T2" s="354"/>
      <c r="U2" s="354"/>
      <c r="V2" s="354"/>
      <c r="W2" s="354"/>
      <c r="X2" s="354"/>
      <c r="Y2" s="354"/>
      <c r="Z2" s="354"/>
      <c r="AA2" s="354"/>
      <c r="AB2" s="354"/>
      <c r="AC2" s="354"/>
    </row>
    <row r="3" spans="1:29" ht="21" customHeight="1" x14ac:dyDescent="0.25">
      <c r="A3" s="354" t="s">
        <v>16</v>
      </c>
      <c r="B3" s="354"/>
      <c r="C3" s="354"/>
      <c r="D3" s="354"/>
      <c r="E3" s="354"/>
      <c r="F3" s="354"/>
      <c r="G3" s="354"/>
      <c r="H3" s="354"/>
      <c r="I3" s="354"/>
      <c r="J3" s="354"/>
      <c r="K3" s="354"/>
      <c r="L3" s="354"/>
      <c r="M3" s="354"/>
      <c r="N3" s="354"/>
      <c r="O3" s="354"/>
      <c r="P3" s="354"/>
      <c r="Q3" s="354"/>
      <c r="R3" s="354"/>
      <c r="S3" s="354"/>
      <c r="T3" s="354"/>
      <c r="U3" s="354"/>
      <c r="V3" s="354"/>
      <c r="W3" s="354"/>
      <c r="X3" s="103"/>
      <c r="Y3" s="355" t="s">
        <v>17</v>
      </c>
      <c r="Z3" s="355"/>
      <c r="AA3" s="103"/>
      <c r="AB3" s="103"/>
      <c r="AC3" s="103"/>
    </row>
    <row r="4" spans="1:29" ht="30.9" customHeight="1" x14ac:dyDescent="0.25">
      <c r="A4" s="356" t="s">
        <v>18</v>
      </c>
      <c r="B4" s="356"/>
      <c r="C4" s="356"/>
      <c r="D4" s="356"/>
      <c r="E4" s="357" t="s">
        <v>102</v>
      </c>
      <c r="F4" s="357"/>
      <c r="G4" s="357"/>
      <c r="H4" s="357"/>
      <c r="I4" s="358" t="s">
        <v>20</v>
      </c>
      <c r="J4" s="358"/>
      <c r="K4" s="359"/>
      <c r="L4" s="359"/>
      <c r="M4" s="358" t="s">
        <v>21</v>
      </c>
      <c r="N4" s="358"/>
      <c r="O4" s="360" t="s">
        <v>103</v>
      </c>
      <c r="P4" s="360"/>
      <c r="Q4" s="360"/>
      <c r="R4" s="360"/>
      <c r="S4" s="104"/>
      <c r="T4" s="361" t="s">
        <v>22</v>
      </c>
      <c r="U4" s="361"/>
      <c r="V4" s="361"/>
      <c r="W4" s="361"/>
      <c r="X4" s="361"/>
      <c r="Y4" s="348" t="s">
        <v>23</v>
      </c>
      <c r="Z4" s="348"/>
      <c r="AA4" s="348"/>
      <c r="AB4" s="349" t="s">
        <v>83</v>
      </c>
      <c r="AC4" s="349"/>
    </row>
    <row r="5" spans="1:29" ht="5.25" customHeight="1" x14ac:dyDescent="0.25">
      <c r="T5" s="361"/>
      <c r="U5" s="361"/>
      <c r="V5" s="361"/>
      <c r="W5" s="361"/>
      <c r="X5" s="361"/>
      <c r="Y5" s="348"/>
      <c r="Z5" s="348"/>
      <c r="AA5" s="348"/>
      <c r="AB5" s="349"/>
      <c r="AC5" s="349"/>
    </row>
    <row r="6" spans="1:29" ht="15.75" customHeight="1" x14ac:dyDescent="0.25">
      <c r="A6" s="350" t="s">
        <v>24</v>
      </c>
      <c r="B6" s="350"/>
      <c r="C6" s="350"/>
      <c r="D6" s="350"/>
      <c r="E6" s="350"/>
      <c r="F6" s="350"/>
      <c r="G6" s="350"/>
      <c r="H6" s="351" t="s">
        <v>25</v>
      </c>
      <c r="I6" s="351"/>
      <c r="J6" s="351"/>
      <c r="K6" s="351"/>
      <c r="L6" s="351"/>
      <c r="M6" s="351"/>
      <c r="N6" s="351"/>
      <c r="O6" s="105"/>
      <c r="P6" s="105"/>
      <c r="T6" s="352" t="s">
        <v>26</v>
      </c>
      <c r="U6" s="352"/>
      <c r="V6" s="352"/>
      <c r="W6" s="352"/>
      <c r="X6" s="352"/>
      <c r="Y6" s="352"/>
      <c r="Z6" s="353" t="s">
        <v>27</v>
      </c>
      <c r="AA6" s="353"/>
      <c r="AB6" s="353"/>
      <c r="AC6" s="353"/>
    </row>
    <row r="7" spans="1:29" ht="7.5" customHeight="1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</row>
    <row r="8" spans="1:29" ht="15" customHeight="1" x14ac:dyDescent="0.25">
      <c r="A8" s="382" t="s">
        <v>29</v>
      </c>
      <c r="B8" s="383"/>
      <c r="C8" s="383"/>
      <c r="D8" s="383"/>
      <c r="E8" s="383"/>
      <c r="F8" s="383"/>
      <c r="G8" s="383"/>
      <c r="H8" s="383"/>
      <c r="I8" s="383"/>
      <c r="J8" s="384"/>
      <c r="K8" s="362" t="s">
        <v>30</v>
      </c>
      <c r="L8" s="363"/>
      <c r="M8" s="362" t="s">
        <v>31</v>
      </c>
      <c r="N8" s="363"/>
      <c r="O8" s="385" t="s">
        <v>32</v>
      </c>
      <c r="P8" s="386"/>
      <c r="Q8" s="387"/>
      <c r="R8" s="362" t="s">
        <v>33</v>
      </c>
      <c r="S8" s="394"/>
      <c r="T8" s="363"/>
      <c r="U8" s="397" t="s">
        <v>34</v>
      </c>
      <c r="V8" s="398"/>
      <c r="W8" s="398"/>
      <c r="X8" s="398"/>
      <c r="Y8" s="398"/>
      <c r="Z8" s="398"/>
      <c r="AA8" s="399"/>
      <c r="AB8" s="362" t="s">
        <v>7</v>
      </c>
      <c r="AC8" s="363"/>
    </row>
    <row r="9" spans="1:29" ht="23.25" customHeight="1" x14ac:dyDescent="0.25">
      <c r="A9" s="368" t="s">
        <v>35</v>
      </c>
      <c r="B9" s="369"/>
      <c r="C9" s="369"/>
      <c r="D9" s="369"/>
      <c r="E9" s="369"/>
      <c r="F9" s="369"/>
      <c r="G9" s="369"/>
      <c r="H9" s="369"/>
      <c r="I9" s="369"/>
      <c r="J9" s="370"/>
      <c r="K9" s="364"/>
      <c r="L9" s="365"/>
      <c r="M9" s="364"/>
      <c r="N9" s="365"/>
      <c r="O9" s="388"/>
      <c r="P9" s="389"/>
      <c r="Q9" s="390"/>
      <c r="R9" s="364"/>
      <c r="S9" s="395"/>
      <c r="T9" s="365"/>
      <c r="U9" s="374" t="s">
        <v>36</v>
      </c>
      <c r="V9" s="374"/>
      <c r="W9" s="374"/>
      <c r="X9" s="374" t="s">
        <v>37</v>
      </c>
      <c r="Y9" s="374"/>
      <c r="Z9" s="374" t="s">
        <v>38</v>
      </c>
      <c r="AA9" s="374"/>
      <c r="AB9" s="364"/>
      <c r="AC9" s="365"/>
    </row>
    <row r="10" spans="1:29" x14ac:dyDescent="0.25">
      <c r="A10" s="371"/>
      <c r="B10" s="372"/>
      <c r="C10" s="372"/>
      <c r="D10" s="372"/>
      <c r="E10" s="372"/>
      <c r="F10" s="372"/>
      <c r="G10" s="372"/>
      <c r="H10" s="372"/>
      <c r="I10" s="372"/>
      <c r="J10" s="373"/>
      <c r="K10" s="366"/>
      <c r="L10" s="367"/>
      <c r="M10" s="366"/>
      <c r="N10" s="367"/>
      <c r="O10" s="391"/>
      <c r="P10" s="392"/>
      <c r="Q10" s="393"/>
      <c r="R10" s="366"/>
      <c r="S10" s="396"/>
      <c r="T10" s="367"/>
      <c r="U10" s="375"/>
      <c r="V10" s="375"/>
      <c r="W10" s="375"/>
      <c r="X10" s="375"/>
      <c r="Y10" s="375"/>
      <c r="Z10" s="375"/>
      <c r="AA10" s="375"/>
      <c r="AB10" s="366"/>
      <c r="AC10" s="367"/>
    </row>
    <row r="11" spans="1:29" ht="24.9" customHeight="1" x14ac:dyDescent="0.25">
      <c r="A11" s="376" t="s">
        <v>39</v>
      </c>
      <c r="B11" s="377"/>
      <c r="C11" s="377"/>
      <c r="D11" s="377"/>
      <c r="E11" s="377"/>
      <c r="F11" s="377"/>
      <c r="G11" s="377"/>
      <c r="H11" s="377"/>
      <c r="I11" s="377"/>
      <c r="J11" s="378"/>
      <c r="K11" s="379">
        <v>681</v>
      </c>
      <c r="L11" s="380"/>
      <c r="M11" s="379">
        <v>52</v>
      </c>
      <c r="N11" s="380"/>
      <c r="O11" s="379">
        <v>1</v>
      </c>
      <c r="P11" s="381"/>
      <c r="Q11" s="380"/>
      <c r="R11" s="379">
        <v>734</v>
      </c>
      <c r="S11" s="381"/>
      <c r="T11" s="380"/>
      <c r="U11" s="379">
        <v>1</v>
      </c>
      <c r="V11" s="381"/>
      <c r="W11" s="380"/>
      <c r="X11" s="379">
        <v>0</v>
      </c>
      <c r="Y11" s="380"/>
      <c r="Z11" s="379">
        <v>1</v>
      </c>
      <c r="AA11" s="380"/>
      <c r="AB11" s="379">
        <v>736</v>
      </c>
      <c r="AC11" s="380"/>
    </row>
    <row r="12" spans="1:29" ht="24.9" customHeight="1" x14ac:dyDescent="0.25">
      <c r="A12" s="376" t="s">
        <v>40</v>
      </c>
      <c r="B12" s="377"/>
      <c r="C12" s="377"/>
      <c r="D12" s="377"/>
      <c r="E12" s="377"/>
      <c r="F12" s="377"/>
      <c r="G12" s="377"/>
      <c r="H12" s="377"/>
      <c r="I12" s="377"/>
      <c r="J12" s="378"/>
      <c r="K12" s="379">
        <v>438</v>
      </c>
      <c r="L12" s="380"/>
      <c r="M12" s="379">
        <v>9</v>
      </c>
      <c r="N12" s="380"/>
      <c r="O12" s="379">
        <v>4</v>
      </c>
      <c r="P12" s="381"/>
      <c r="Q12" s="380"/>
      <c r="R12" s="379">
        <v>451</v>
      </c>
      <c r="S12" s="381"/>
      <c r="T12" s="380"/>
      <c r="U12" s="379">
        <v>0</v>
      </c>
      <c r="V12" s="381"/>
      <c r="W12" s="380"/>
      <c r="X12" s="379">
        <v>1</v>
      </c>
      <c r="Y12" s="380"/>
      <c r="Z12" s="379">
        <v>4</v>
      </c>
      <c r="AA12" s="380"/>
      <c r="AB12" s="379">
        <v>456</v>
      </c>
      <c r="AC12" s="380"/>
    </row>
    <row r="13" spans="1:29" ht="24.9" customHeight="1" x14ac:dyDescent="0.25">
      <c r="A13" s="376" t="s">
        <v>41</v>
      </c>
      <c r="B13" s="377"/>
      <c r="C13" s="377"/>
      <c r="D13" s="377"/>
      <c r="E13" s="377"/>
      <c r="F13" s="377"/>
      <c r="G13" s="377"/>
      <c r="H13" s="377"/>
      <c r="I13" s="377"/>
      <c r="J13" s="378"/>
      <c r="K13" s="379">
        <v>0</v>
      </c>
      <c r="L13" s="380"/>
      <c r="M13" s="379">
        <v>0</v>
      </c>
      <c r="N13" s="380"/>
      <c r="O13" s="379">
        <v>0</v>
      </c>
      <c r="P13" s="381"/>
      <c r="Q13" s="380"/>
      <c r="R13" s="379">
        <v>0</v>
      </c>
      <c r="S13" s="381"/>
      <c r="T13" s="380"/>
      <c r="U13" s="379">
        <v>0</v>
      </c>
      <c r="V13" s="381"/>
      <c r="W13" s="380"/>
      <c r="X13" s="379">
        <v>0</v>
      </c>
      <c r="Y13" s="380"/>
      <c r="Z13" s="379">
        <v>0</v>
      </c>
      <c r="AA13" s="380"/>
      <c r="AB13" s="379">
        <v>0</v>
      </c>
      <c r="AC13" s="380"/>
    </row>
    <row r="14" spans="1:29" ht="24.9" customHeight="1" x14ac:dyDescent="0.25">
      <c r="A14" s="376" t="s">
        <v>42</v>
      </c>
      <c r="B14" s="377"/>
      <c r="C14" s="377"/>
      <c r="D14" s="377"/>
      <c r="E14" s="377"/>
      <c r="F14" s="377"/>
      <c r="G14" s="377"/>
      <c r="H14" s="377"/>
      <c r="I14" s="377"/>
      <c r="J14" s="378"/>
      <c r="K14" s="379">
        <v>323</v>
      </c>
      <c r="L14" s="380"/>
      <c r="M14" s="379">
        <v>3</v>
      </c>
      <c r="N14" s="380"/>
      <c r="O14" s="379">
        <v>0</v>
      </c>
      <c r="P14" s="381"/>
      <c r="Q14" s="380"/>
      <c r="R14" s="379">
        <v>326</v>
      </c>
      <c r="S14" s="381"/>
      <c r="T14" s="380"/>
      <c r="U14" s="379">
        <v>0</v>
      </c>
      <c r="V14" s="381"/>
      <c r="W14" s="380"/>
      <c r="X14" s="379">
        <v>0</v>
      </c>
      <c r="Y14" s="380"/>
      <c r="Z14" s="379">
        <v>3</v>
      </c>
      <c r="AA14" s="380"/>
      <c r="AB14" s="379">
        <v>329</v>
      </c>
      <c r="AC14" s="380"/>
    </row>
    <row r="15" spans="1:29" ht="24.9" customHeight="1" x14ac:dyDescent="0.25">
      <c r="A15" s="376" t="s">
        <v>7</v>
      </c>
      <c r="B15" s="377"/>
      <c r="C15" s="377"/>
      <c r="D15" s="377"/>
      <c r="E15" s="377"/>
      <c r="F15" s="377"/>
      <c r="G15" s="377"/>
      <c r="H15" s="377"/>
      <c r="I15" s="377"/>
      <c r="J15" s="378"/>
      <c r="K15" s="379">
        <v>1442</v>
      </c>
      <c r="L15" s="380"/>
      <c r="M15" s="379">
        <v>64</v>
      </c>
      <c r="N15" s="380"/>
      <c r="O15" s="379">
        <v>5</v>
      </c>
      <c r="P15" s="381"/>
      <c r="Q15" s="380"/>
      <c r="R15" s="379">
        <v>1511</v>
      </c>
      <c r="S15" s="381"/>
      <c r="T15" s="380"/>
      <c r="U15" s="379">
        <v>1</v>
      </c>
      <c r="V15" s="381"/>
      <c r="W15" s="380"/>
      <c r="X15" s="379">
        <v>1</v>
      </c>
      <c r="Y15" s="380"/>
      <c r="Z15" s="379">
        <v>8</v>
      </c>
      <c r="AA15" s="380"/>
      <c r="AB15" s="379">
        <v>1521</v>
      </c>
      <c r="AC15" s="380"/>
    </row>
    <row r="16" spans="1:29" ht="15.6" x14ac:dyDescent="0.25">
      <c r="A16" s="107" t="s">
        <v>43</v>
      </c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9"/>
      <c r="V16" s="109"/>
      <c r="W16" s="109"/>
      <c r="X16" s="109"/>
      <c r="Y16" s="109"/>
      <c r="Z16" s="109"/>
      <c r="AA16" s="109"/>
      <c r="AB16" s="109"/>
      <c r="AC16" s="110"/>
    </row>
    <row r="17" spans="1:29" ht="21.75" customHeight="1" x14ac:dyDescent="0.25">
      <c r="A17" s="404"/>
      <c r="B17" s="405"/>
      <c r="C17" s="405"/>
      <c r="D17" s="405"/>
      <c r="E17" s="405"/>
      <c r="F17" s="405"/>
      <c r="G17" s="405"/>
      <c r="H17" s="405"/>
      <c r="I17" s="405"/>
      <c r="J17" s="406"/>
      <c r="K17" s="397" t="s">
        <v>0</v>
      </c>
      <c r="L17" s="399"/>
      <c r="M17" s="410" t="s">
        <v>1</v>
      </c>
      <c r="N17" s="411"/>
      <c r="O17" s="400" t="s">
        <v>2</v>
      </c>
      <c r="P17" s="401"/>
      <c r="Q17" s="400" t="s">
        <v>3</v>
      </c>
      <c r="R17" s="401"/>
      <c r="S17" s="400" t="s">
        <v>4</v>
      </c>
      <c r="T17" s="401"/>
      <c r="U17" s="400" t="s">
        <v>5</v>
      </c>
      <c r="V17" s="401"/>
      <c r="W17" s="400" t="s">
        <v>6</v>
      </c>
      <c r="X17" s="401"/>
      <c r="Y17" s="400" t="s">
        <v>44</v>
      </c>
      <c r="Z17" s="401"/>
      <c r="AA17" s="400" t="s">
        <v>7</v>
      </c>
      <c r="AB17" s="401"/>
      <c r="AC17" s="402" t="s">
        <v>86</v>
      </c>
    </row>
    <row r="18" spans="1:29" x14ac:dyDescent="0.25">
      <c r="A18" s="407"/>
      <c r="B18" s="408"/>
      <c r="C18" s="408"/>
      <c r="D18" s="408"/>
      <c r="E18" s="408"/>
      <c r="F18" s="408"/>
      <c r="G18" s="408"/>
      <c r="H18" s="408"/>
      <c r="I18" s="408"/>
      <c r="J18" s="409"/>
      <c r="K18" s="111" t="s">
        <v>9</v>
      </c>
      <c r="L18" s="111" t="s">
        <v>10</v>
      </c>
      <c r="M18" s="111" t="s">
        <v>9</v>
      </c>
      <c r="N18" s="111" t="s">
        <v>10</v>
      </c>
      <c r="O18" s="111" t="s">
        <v>9</v>
      </c>
      <c r="P18" s="111" t="s">
        <v>10</v>
      </c>
      <c r="Q18" s="111" t="s">
        <v>9</v>
      </c>
      <c r="R18" s="111" t="s">
        <v>10</v>
      </c>
      <c r="S18" s="111" t="s">
        <v>9</v>
      </c>
      <c r="T18" s="111" t="s">
        <v>10</v>
      </c>
      <c r="U18" s="111" t="s">
        <v>9</v>
      </c>
      <c r="V18" s="111" t="s">
        <v>10</v>
      </c>
      <c r="W18" s="111" t="s">
        <v>9</v>
      </c>
      <c r="X18" s="111" t="s">
        <v>10</v>
      </c>
      <c r="Y18" s="111" t="s">
        <v>9</v>
      </c>
      <c r="Z18" s="111" t="s">
        <v>10</v>
      </c>
      <c r="AA18" s="111" t="s">
        <v>9</v>
      </c>
      <c r="AB18" s="111" t="s">
        <v>10</v>
      </c>
      <c r="AC18" s="403"/>
    </row>
    <row r="19" spans="1:29" ht="24.9" customHeight="1" x14ac:dyDescent="0.25">
      <c r="A19" s="376" t="s">
        <v>39</v>
      </c>
      <c r="B19" s="377"/>
      <c r="C19" s="377"/>
      <c r="D19" s="377"/>
      <c r="E19" s="377"/>
      <c r="F19" s="377"/>
      <c r="G19" s="377"/>
      <c r="H19" s="377"/>
      <c r="I19" s="377"/>
      <c r="J19" s="378"/>
      <c r="K19" s="112">
        <v>5</v>
      </c>
      <c r="L19" s="112">
        <v>2</v>
      </c>
      <c r="M19" s="112">
        <v>5</v>
      </c>
      <c r="N19" s="112">
        <v>15</v>
      </c>
      <c r="O19" s="112">
        <v>51</v>
      </c>
      <c r="P19" s="112">
        <v>75</v>
      </c>
      <c r="Q19" s="112">
        <v>55</v>
      </c>
      <c r="R19" s="112">
        <v>29</v>
      </c>
      <c r="S19" s="112">
        <v>46</v>
      </c>
      <c r="T19" s="112">
        <v>40</v>
      </c>
      <c r="U19" s="112">
        <v>52</v>
      </c>
      <c r="V19" s="112">
        <v>45</v>
      </c>
      <c r="W19" s="112">
        <v>75</v>
      </c>
      <c r="X19" s="112">
        <v>57</v>
      </c>
      <c r="Y19" s="112">
        <v>99</v>
      </c>
      <c r="Z19" s="112">
        <v>83</v>
      </c>
      <c r="AA19" s="112">
        <v>388</v>
      </c>
      <c r="AB19" s="112">
        <v>346</v>
      </c>
      <c r="AC19" s="112">
        <v>734</v>
      </c>
    </row>
    <row r="20" spans="1:29" ht="24.9" customHeight="1" x14ac:dyDescent="0.25">
      <c r="A20" s="376" t="s">
        <v>40</v>
      </c>
      <c r="B20" s="377"/>
      <c r="C20" s="377"/>
      <c r="D20" s="377"/>
      <c r="E20" s="377"/>
      <c r="F20" s="377"/>
      <c r="G20" s="377"/>
      <c r="H20" s="377"/>
      <c r="I20" s="377"/>
      <c r="J20" s="378"/>
      <c r="K20" s="112">
        <v>8</v>
      </c>
      <c r="L20" s="112">
        <v>4</v>
      </c>
      <c r="M20" s="112">
        <v>8</v>
      </c>
      <c r="N20" s="112">
        <v>16</v>
      </c>
      <c r="O20" s="112">
        <v>27</v>
      </c>
      <c r="P20" s="112">
        <v>27</v>
      </c>
      <c r="Q20" s="112">
        <v>30</v>
      </c>
      <c r="R20" s="112">
        <v>29</v>
      </c>
      <c r="S20" s="112">
        <v>25</v>
      </c>
      <c r="T20" s="112">
        <v>22</v>
      </c>
      <c r="U20" s="112">
        <v>27</v>
      </c>
      <c r="V20" s="112">
        <v>26</v>
      </c>
      <c r="W20" s="112">
        <v>31</v>
      </c>
      <c r="X20" s="112">
        <v>47</v>
      </c>
      <c r="Y20" s="112">
        <v>71</v>
      </c>
      <c r="Z20" s="112">
        <v>53</v>
      </c>
      <c r="AA20" s="112">
        <v>227</v>
      </c>
      <c r="AB20" s="112">
        <v>224</v>
      </c>
      <c r="AC20" s="112">
        <v>451</v>
      </c>
    </row>
    <row r="21" spans="1:29" ht="24.9" customHeight="1" x14ac:dyDescent="0.25">
      <c r="A21" s="376" t="s">
        <v>41</v>
      </c>
      <c r="B21" s="377"/>
      <c r="C21" s="377"/>
      <c r="D21" s="377"/>
      <c r="E21" s="377"/>
      <c r="F21" s="377"/>
      <c r="G21" s="377"/>
      <c r="H21" s="377"/>
      <c r="I21" s="377"/>
      <c r="J21" s="378"/>
      <c r="K21" s="112">
        <v>0</v>
      </c>
      <c r="L21" s="112">
        <v>0</v>
      </c>
      <c r="M21" s="112">
        <v>0</v>
      </c>
      <c r="N21" s="112">
        <v>0</v>
      </c>
      <c r="O21" s="112">
        <v>0</v>
      </c>
      <c r="P21" s="112">
        <v>0</v>
      </c>
      <c r="Q21" s="112">
        <v>0</v>
      </c>
      <c r="R21" s="112">
        <v>0</v>
      </c>
      <c r="S21" s="112">
        <v>0</v>
      </c>
      <c r="T21" s="112">
        <v>0</v>
      </c>
      <c r="U21" s="112">
        <v>0</v>
      </c>
      <c r="V21" s="112">
        <v>0</v>
      </c>
      <c r="W21" s="112">
        <v>0</v>
      </c>
      <c r="X21" s="112">
        <v>0</v>
      </c>
      <c r="Y21" s="112">
        <v>0</v>
      </c>
      <c r="Z21" s="112">
        <v>0</v>
      </c>
      <c r="AA21" s="112">
        <v>0</v>
      </c>
      <c r="AB21" s="112">
        <v>0</v>
      </c>
      <c r="AC21" s="112">
        <v>0</v>
      </c>
    </row>
    <row r="22" spans="1:29" ht="24.9" customHeight="1" x14ac:dyDescent="0.25">
      <c r="A22" s="376" t="s">
        <v>42</v>
      </c>
      <c r="B22" s="377"/>
      <c r="C22" s="377"/>
      <c r="D22" s="377"/>
      <c r="E22" s="377"/>
      <c r="F22" s="377"/>
      <c r="G22" s="377"/>
      <c r="H22" s="377"/>
      <c r="I22" s="377"/>
      <c r="J22" s="378"/>
      <c r="K22" s="112">
        <v>4</v>
      </c>
      <c r="L22" s="112">
        <v>2</v>
      </c>
      <c r="M22" s="112">
        <v>8</v>
      </c>
      <c r="N22" s="112">
        <v>8</v>
      </c>
      <c r="O22" s="112">
        <v>25</v>
      </c>
      <c r="P22" s="112">
        <v>34</v>
      </c>
      <c r="Q22" s="112">
        <v>35</v>
      </c>
      <c r="R22" s="112">
        <v>21</v>
      </c>
      <c r="S22" s="112">
        <v>20</v>
      </c>
      <c r="T22" s="112">
        <v>21</v>
      </c>
      <c r="U22" s="112">
        <v>26</v>
      </c>
      <c r="V22" s="112">
        <v>17</v>
      </c>
      <c r="W22" s="112">
        <v>24</v>
      </c>
      <c r="X22" s="112">
        <v>16</v>
      </c>
      <c r="Y22" s="112">
        <v>42</v>
      </c>
      <c r="Z22" s="112">
        <v>23</v>
      </c>
      <c r="AA22" s="112">
        <v>184</v>
      </c>
      <c r="AB22" s="112">
        <v>142</v>
      </c>
      <c r="AC22" s="112">
        <v>326</v>
      </c>
    </row>
    <row r="23" spans="1:29" ht="24.9" customHeight="1" x14ac:dyDescent="0.25">
      <c r="A23" s="397" t="s">
        <v>7</v>
      </c>
      <c r="B23" s="398"/>
      <c r="C23" s="398"/>
      <c r="D23" s="398"/>
      <c r="E23" s="398"/>
      <c r="F23" s="398"/>
      <c r="G23" s="398"/>
      <c r="H23" s="398"/>
      <c r="I23" s="398"/>
      <c r="J23" s="399"/>
      <c r="K23" s="112">
        <v>17</v>
      </c>
      <c r="L23" s="112">
        <v>8</v>
      </c>
      <c r="M23" s="112">
        <v>21</v>
      </c>
      <c r="N23" s="112">
        <v>39</v>
      </c>
      <c r="O23" s="112">
        <v>103</v>
      </c>
      <c r="P23" s="112">
        <v>136</v>
      </c>
      <c r="Q23" s="112">
        <v>120</v>
      </c>
      <c r="R23" s="112">
        <v>79</v>
      </c>
      <c r="S23" s="112">
        <v>91</v>
      </c>
      <c r="T23" s="112">
        <v>83</v>
      </c>
      <c r="U23" s="112">
        <v>105</v>
      </c>
      <c r="V23" s="112">
        <v>88</v>
      </c>
      <c r="W23" s="112">
        <v>130</v>
      </c>
      <c r="X23" s="112">
        <v>120</v>
      </c>
      <c r="Y23" s="112">
        <v>212</v>
      </c>
      <c r="Z23" s="112">
        <v>159</v>
      </c>
      <c r="AA23" s="112">
        <v>799</v>
      </c>
      <c r="AB23" s="112">
        <v>712</v>
      </c>
      <c r="AC23" s="112">
        <v>1511</v>
      </c>
    </row>
    <row r="24" spans="1:29" ht="6.75" customHeight="1" x14ac:dyDescent="0.25">
      <c r="A24" s="113"/>
      <c r="B24" s="114"/>
      <c r="C24" s="114"/>
      <c r="D24" s="114"/>
      <c r="E24" s="114"/>
      <c r="F24" s="115"/>
      <c r="G24" s="116"/>
      <c r="H24" s="116"/>
      <c r="I24" s="116"/>
      <c r="J24" s="116"/>
      <c r="K24" s="116"/>
      <c r="L24" s="116"/>
      <c r="M24" s="117"/>
      <c r="N24" s="116"/>
      <c r="O24" s="417"/>
      <c r="P24" s="418"/>
      <c r="Q24" s="118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9"/>
    </row>
    <row r="25" spans="1:29" ht="18" customHeight="1" x14ac:dyDescent="0.25">
      <c r="A25" s="120" t="s">
        <v>45</v>
      </c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2"/>
      <c r="M25" s="123"/>
      <c r="N25" s="120" t="s">
        <v>46</v>
      </c>
      <c r="O25" s="121"/>
      <c r="P25" s="121"/>
      <c r="Q25" s="121"/>
      <c r="R25" s="121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5"/>
    </row>
    <row r="26" spans="1:29" ht="42.75" customHeight="1" x14ac:dyDescent="0.25">
      <c r="A26" s="412" t="s">
        <v>47</v>
      </c>
      <c r="B26" s="419" t="s">
        <v>48</v>
      </c>
      <c r="C26" s="420"/>
      <c r="D26" s="421" t="s">
        <v>49</v>
      </c>
      <c r="E26" s="422"/>
      <c r="F26" s="423"/>
      <c r="G26" s="421" t="s">
        <v>50</v>
      </c>
      <c r="H26" s="422"/>
      <c r="I26" s="422"/>
      <c r="J26" s="423"/>
      <c r="K26" s="412" t="s">
        <v>51</v>
      </c>
      <c r="L26" s="412" t="s">
        <v>52</v>
      </c>
      <c r="M26" s="126"/>
      <c r="N26" s="414" t="s">
        <v>53</v>
      </c>
      <c r="O26" s="415"/>
      <c r="P26" s="416"/>
      <c r="Q26" s="414" t="s">
        <v>54</v>
      </c>
      <c r="R26" s="415"/>
      <c r="S26" s="416"/>
      <c r="T26" s="414" t="s">
        <v>55</v>
      </c>
      <c r="U26" s="415"/>
      <c r="V26" s="415"/>
      <c r="W26" s="415"/>
      <c r="X26" s="415"/>
      <c r="Y26" s="415"/>
      <c r="Z26" s="415"/>
      <c r="AA26" s="415"/>
      <c r="AB26" s="415"/>
      <c r="AC26" s="416"/>
    </row>
    <row r="27" spans="1:29" ht="48" customHeight="1" x14ac:dyDescent="0.25">
      <c r="A27" s="413"/>
      <c r="B27" s="127" t="s">
        <v>7</v>
      </c>
      <c r="C27" s="128" t="s">
        <v>87</v>
      </c>
      <c r="D27" s="128" t="s">
        <v>56</v>
      </c>
      <c r="E27" s="128" t="s">
        <v>88</v>
      </c>
      <c r="F27" s="128" t="s">
        <v>89</v>
      </c>
      <c r="G27" s="129" t="s">
        <v>56</v>
      </c>
      <c r="H27" s="128" t="s">
        <v>90</v>
      </c>
      <c r="I27" s="129" t="s">
        <v>57</v>
      </c>
      <c r="J27" s="129" t="s">
        <v>58</v>
      </c>
      <c r="K27" s="413"/>
      <c r="L27" s="413"/>
      <c r="M27" s="126"/>
      <c r="N27" s="414">
        <v>0</v>
      </c>
      <c r="O27" s="415"/>
      <c r="P27" s="416"/>
      <c r="Q27" s="414">
        <v>0</v>
      </c>
      <c r="R27" s="415"/>
      <c r="S27" s="416"/>
      <c r="T27" s="414">
        <v>0</v>
      </c>
      <c r="U27" s="415"/>
      <c r="V27" s="415"/>
      <c r="W27" s="415"/>
      <c r="X27" s="415"/>
      <c r="Y27" s="415"/>
      <c r="Z27" s="415"/>
      <c r="AA27" s="415"/>
      <c r="AB27" s="415"/>
      <c r="AC27" s="416"/>
    </row>
    <row r="28" spans="1:29" ht="38.25" customHeight="1" x14ac:dyDescent="0.25">
      <c r="A28" s="424">
        <v>259129</v>
      </c>
      <c r="B28" s="424">
        <v>10854</v>
      </c>
      <c r="C28" s="424">
        <v>1438</v>
      </c>
      <c r="D28" s="424">
        <v>5715</v>
      </c>
      <c r="E28" s="424">
        <v>0</v>
      </c>
      <c r="F28" s="424">
        <v>6116</v>
      </c>
      <c r="G28" s="424">
        <v>716</v>
      </c>
      <c r="H28" s="424">
        <v>0</v>
      </c>
      <c r="I28" s="424">
        <v>0</v>
      </c>
      <c r="J28" s="424">
        <v>716</v>
      </c>
      <c r="K28" s="424">
        <v>736</v>
      </c>
      <c r="L28" s="424">
        <v>1123</v>
      </c>
      <c r="M28" s="126"/>
      <c r="N28" s="414" t="s">
        <v>59</v>
      </c>
      <c r="O28" s="415"/>
      <c r="P28" s="416"/>
      <c r="Q28" s="414" t="s">
        <v>60</v>
      </c>
      <c r="R28" s="415"/>
      <c r="S28" s="416"/>
      <c r="T28" s="391" t="s">
        <v>61</v>
      </c>
      <c r="U28" s="392"/>
      <c r="V28" s="392"/>
      <c r="W28" s="393"/>
      <c r="X28" s="391" t="s">
        <v>62</v>
      </c>
      <c r="Y28" s="392"/>
      <c r="Z28" s="392"/>
      <c r="AA28" s="392"/>
      <c r="AB28" s="392"/>
      <c r="AC28" s="393"/>
    </row>
    <row r="29" spans="1:29" ht="19.5" customHeight="1" x14ac:dyDescent="0.25">
      <c r="A29" s="425"/>
      <c r="B29" s="425"/>
      <c r="C29" s="425"/>
      <c r="D29" s="425"/>
      <c r="E29" s="425"/>
      <c r="F29" s="425"/>
      <c r="G29" s="425"/>
      <c r="H29" s="425"/>
      <c r="I29" s="425"/>
      <c r="J29" s="425"/>
      <c r="K29" s="425"/>
      <c r="L29" s="425"/>
      <c r="M29" s="126"/>
      <c r="N29" s="385">
        <v>0</v>
      </c>
      <c r="O29" s="386"/>
      <c r="P29" s="387"/>
      <c r="Q29" s="385">
        <v>0</v>
      </c>
      <c r="R29" s="386"/>
      <c r="S29" s="387"/>
      <c r="T29" s="385">
        <v>0</v>
      </c>
      <c r="U29" s="386"/>
      <c r="V29" s="386"/>
      <c r="W29" s="387"/>
      <c r="X29" s="130"/>
      <c r="Y29" s="414" t="s">
        <v>0</v>
      </c>
      <c r="Z29" s="416"/>
      <c r="AA29" s="131" t="s">
        <v>1</v>
      </c>
      <c r="AB29" s="414" t="s">
        <v>63</v>
      </c>
      <c r="AC29" s="416"/>
    </row>
    <row r="30" spans="1:29" ht="18" customHeight="1" x14ac:dyDescent="0.25">
      <c r="A30" s="425"/>
      <c r="B30" s="425"/>
      <c r="C30" s="425"/>
      <c r="D30" s="425"/>
      <c r="E30" s="425"/>
      <c r="F30" s="425"/>
      <c r="G30" s="425"/>
      <c r="H30" s="425"/>
      <c r="I30" s="425"/>
      <c r="J30" s="425"/>
      <c r="K30" s="425"/>
      <c r="L30" s="425"/>
      <c r="M30" s="126"/>
      <c r="N30" s="388"/>
      <c r="O30" s="389"/>
      <c r="P30" s="390"/>
      <c r="Q30" s="388"/>
      <c r="R30" s="389"/>
      <c r="S30" s="390"/>
      <c r="T30" s="388"/>
      <c r="U30" s="389"/>
      <c r="V30" s="389"/>
      <c r="W30" s="390"/>
      <c r="X30" s="132" t="s">
        <v>64</v>
      </c>
      <c r="Y30" s="397">
        <v>0</v>
      </c>
      <c r="Z30" s="399"/>
      <c r="AA30" s="112">
        <v>0</v>
      </c>
      <c r="AB30" s="397">
        <v>0</v>
      </c>
      <c r="AC30" s="399"/>
    </row>
    <row r="31" spans="1:29" ht="18" customHeight="1" x14ac:dyDescent="0.25">
      <c r="A31" s="425"/>
      <c r="B31" s="425"/>
      <c r="C31" s="425"/>
      <c r="D31" s="425"/>
      <c r="E31" s="425"/>
      <c r="F31" s="425"/>
      <c r="G31" s="425"/>
      <c r="H31" s="425"/>
      <c r="I31" s="425"/>
      <c r="J31" s="425"/>
      <c r="K31" s="425"/>
      <c r="L31" s="425"/>
      <c r="M31" s="126"/>
      <c r="N31" s="388"/>
      <c r="O31" s="389"/>
      <c r="P31" s="390"/>
      <c r="Q31" s="388"/>
      <c r="R31" s="389"/>
      <c r="S31" s="390"/>
      <c r="T31" s="388"/>
      <c r="U31" s="389"/>
      <c r="V31" s="389"/>
      <c r="W31" s="390"/>
      <c r="X31" s="132" t="s">
        <v>65</v>
      </c>
      <c r="Y31" s="397">
        <v>0</v>
      </c>
      <c r="Z31" s="399"/>
      <c r="AA31" s="112">
        <v>0</v>
      </c>
      <c r="AB31" s="397">
        <v>0</v>
      </c>
      <c r="AC31" s="399"/>
    </row>
    <row r="32" spans="1:29" ht="18" customHeight="1" x14ac:dyDescent="0.25">
      <c r="A32" s="426"/>
      <c r="B32" s="426"/>
      <c r="C32" s="426"/>
      <c r="D32" s="426"/>
      <c r="E32" s="426"/>
      <c r="F32" s="426"/>
      <c r="G32" s="426"/>
      <c r="H32" s="426"/>
      <c r="I32" s="426"/>
      <c r="J32" s="426"/>
      <c r="K32" s="426"/>
      <c r="L32" s="426"/>
      <c r="M32" s="126"/>
      <c r="N32" s="391"/>
      <c r="O32" s="392"/>
      <c r="P32" s="393"/>
      <c r="Q32" s="391"/>
      <c r="R32" s="392"/>
      <c r="S32" s="393"/>
      <c r="T32" s="391"/>
      <c r="U32" s="392"/>
      <c r="V32" s="392"/>
      <c r="W32" s="393"/>
      <c r="X32" s="132" t="s">
        <v>66</v>
      </c>
      <c r="Y32" s="397">
        <v>0</v>
      </c>
      <c r="Z32" s="399"/>
      <c r="AA32" s="112">
        <v>0</v>
      </c>
      <c r="AB32" s="397">
        <v>0</v>
      </c>
      <c r="AC32" s="399"/>
    </row>
    <row r="33" spans="1:29" ht="8.25" customHeight="1" x14ac:dyDescent="0.25">
      <c r="A33" s="133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5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10"/>
    </row>
    <row r="34" spans="1:29" ht="18" customHeight="1" x14ac:dyDescent="0.25">
      <c r="A34" s="120" t="s">
        <v>67</v>
      </c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2"/>
      <c r="M34" s="136"/>
      <c r="N34" s="120" t="s">
        <v>68</v>
      </c>
      <c r="O34" s="122"/>
      <c r="P34" s="121"/>
      <c r="Q34" s="137"/>
      <c r="R34" s="121"/>
      <c r="S34" s="121"/>
      <c r="T34" s="121"/>
      <c r="U34" s="121"/>
      <c r="V34" s="121"/>
      <c r="W34" s="121"/>
      <c r="X34" s="121"/>
      <c r="Y34" s="121"/>
      <c r="Z34" s="121"/>
      <c r="AA34" s="124"/>
      <c r="AB34" s="124"/>
      <c r="AC34" s="138"/>
    </row>
    <row r="35" spans="1:29" ht="57" customHeight="1" x14ac:dyDescent="0.25">
      <c r="A35" s="404"/>
      <c r="B35" s="405"/>
      <c r="C35" s="405"/>
      <c r="D35" s="405"/>
      <c r="E35" s="405"/>
      <c r="F35" s="406"/>
      <c r="G35" s="397" t="s">
        <v>11</v>
      </c>
      <c r="H35" s="399"/>
      <c r="I35" s="397" t="s">
        <v>12</v>
      </c>
      <c r="J35" s="399"/>
      <c r="K35" s="139" t="s">
        <v>69</v>
      </c>
      <c r="L35" s="140"/>
      <c r="M35" s="141"/>
      <c r="N35" s="421" t="s">
        <v>70</v>
      </c>
      <c r="O35" s="422"/>
      <c r="P35" s="423"/>
      <c r="Q35" s="421" t="s">
        <v>71</v>
      </c>
      <c r="R35" s="422"/>
      <c r="S35" s="423"/>
      <c r="T35" s="421" t="s">
        <v>72</v>
      </c>
      <c r="U35" s="422"/>
      <c r="V35" s="423"/>
      <c r="W35" s="421" t="s">
        <v>73</v>
      </c>
      <c r="X35" s="422"/>
      <c r="Y35" s="422"/>
      <c r="Z35" s="423"/>
      <c r="AA35" s="421" t="s">
        <v>74</v>
      </c>
      <c r="AB35" s="422"/>
      <c r="AC35" s="423"/>
    </row>
    <row r="36" spans="1:29" ht="13.5" customHeight="1" x14ac:dyDescent="0.25">
      <c r="A36" s="407"/>
      <c r="B36" s="408"/>
      <c r="C36" s="408"/>
      <c r="D36" s="408"/>
      <c r="E36" s="408"/>
      <c r="F36" s="409"/>
      <c r="G36" s="111" t="s">
        <v>75</v>
      </c>
      <c r="H36" s="111" t="s">
        <v>13</v>
      </c>
      <c r="I36" s="111" t="s">
        <v>75</v>
      </c>
      <c r="J36" s="111" t="s">
        <v>13</v>
      </c>
      <c r="K36" s="111" t="s">
        <v>75</v>
      </c>
      <c r="L36" s="111" t="s">
        <v>13</v>
      </c>
      <c r="M36" s="142"/>
      <c r="N36" s="143" t="s">
        <v>0</v>
      </c>
      <c r="O36" s="144" t="s">
        <v>1</v>
      </c>
      <c r="P36" s="144" t="s">
        <v>91</v>
      </c>
      <c r="Q36" s="143" t="s">
        <v>0</v>
      </c>
      <c r="R36" s="144" t="s">
        <v>1</v>
      </c>
      <c r="S36" s="144" t="s">
        <v>91</v>
      </c>
      <c r="T36" s="143" t="s">
        <v>0</v>
      </c>
      <c r="U36" s="144" t="s">
        <v>1</v>
      </c>
      <c r="V36" s="144" t="s">
        <v>91</v>
      </c>
      <c r="W36" s="143"/>
      <c r="X36" s="143" t="s">
        <v>0</v>
      </c>
      <c r="Y36" s="145" t="s">
        <v>1</v>
      </c>
      <c r="Z36" s="146" t="s">
        <v>76</v>
      </c>
      <c r="AA36" s="143" t="s">
        <v>0</v>
      </c>
      <c r="AB36" s="145" t="s">
        <v>1</v>
      </c>
      <c r="AC36" s="146" t="s">
        <v>76</v>
      </c>
    </row>
    <row r="37" spans="1:29" ht="24.9" customHeight="1" x14ac:dyDescent="0.25">
      <c r="A37" s="397" t="s">
        <v>77</v>
      </c>
      <c r="B37" s="398"/>
      <c r="C37" s="398"/>
      <c r="D37" s="398"/>
      <c r="E37" s="398"/>
      <c r="F37" s="399"/>
      <c r="G37" s="112">
        <v>688</v>
      </c>
      <c r="H37" s="112">
        <v>1</v>
      </c>
      <c r="I37" s="112">
        <v>0</v>
      </c>
      <c r="J37" s="112">
        <v>0</v>
      </c>
      <c r="K37" s="112">
        <v>0</v>
      </c>
      <c r="L37" s="112">
        <v>0</v>
      </c>
      <c r="M37" s="142"/>
      <c r="N37" s="429">
        <v>0</v>
      </c>
      <c r="O37" s="429">
        <v>670</v>
      </c>
      <c r="P37" s="429">
        <v>4015</v>
      </c>
      <c r="Q37" s="429">
        <v>0</v>
      </c>
      <c r="R37" s="429">
        <v>592</v>
      </c>
      <c r="S37" s="429">
        <v>3560</v>
      </c>
      <c r="T37" s="429">
        <v>0</v>
      </c>
      <c r="U37" s="429">
        <v>30</v>
      </c>
      <c r="V37" s="429">
        <v>129</v>
      </c>
      <c r="W37" s="147" t="s">
        <v>64</v>
      </c>
      <c r="X37" s="112">
        <v>1</v>
      </c>
      <c r="Y37" s="112">
        <v>0</v>
      </c>
      <c r="Z37" s="112">
        <v>0</v>
      </c>
      <c r="AA37" s="112">
        <v>0</v>
      </c>
      <c r="AB37" s="112">
        <v>0</v>
      </c>
      <c r="AC37" s="112">
        <v>0</v>
      </c>
    </row>
    <row r="38" spans="1:29" ht="24.9" customHeight="1" x14ac:dyDescent="0.25">
      <c r="A38" s="397" t="s">
        <v>8</v>
      </c>
      <c r="B38" s="398"/>
      <c r="C38" s="398"/>
      <c r="D38" s="398"/>
      <c r="E38" s="398"/>
      <c r="F38" s="399"/>
      <c r="G38" s="112">
        <v>0</v>
      </c>
      <c r="H38" s="112">
        <v>0</v>
      </c>
      <c r="I38" s="112">
        <v>0</v>
      </c>
      <c r="J38" s="112">
        <v>0</v>
      </c>
      <c r="K38" s="112">
        <v>0</v>
      </c>
      <c r="L38" s="112">
        <v>0</v>
      </c>
      <c r="M38" s="142"/>
      <c r="N38" s="430"/>
      <c r="O38" s="430"/>
      <c r="P38" s="430"/>
      <c r="Q38" s="430"/>
      <c r="R38" s="430"/>
      <c r="S38" s="430"/>
      <c r="T38" s="430"/>
      <c r="U38" s="430"/>
      <c r="V38" s="430"/>
      <c r="W38" s="147" t="s">
        <v>65</v>
      </c>
      <c r="X38" s="112">
        <v>0</v>
      </c>
      <c r="Y38" s="112">
        <v>0</v>
      </c>
      <c r="Z38" s="112">
        <v>0</v>
      </c>
      <c r="AA38" s="112">
        <v>0</v>
      </c>
      <c r="AB38" s="112">
        <v>0</v>
      </c>
      <c r="AC38" s="112">
        <v>0</v>
      </c>
    </row>
    <row r="39" spans="1:29" ht="24.9" customHeight="1" x14ac:dyDescent="0.25">
      <c r="A39" s="414" t="s">
        <v>78</v>
      </c>
      <c r="B39" s="415"/>
      <c r="C39" s="415"/>
      <c r="D39" s="415"/>
      <c r="E39" s="415"/>
      <c r="F39" s="416"/>
      <c r="G39" s="112">
        <v>1</v>
      </c>
      <c r="H39" s="112">
        <v>0</v>
      </c>
      <c r="I39" s="112">
        <v>0</v>
      </c>
      <c r="J39" s="112">
        <v>0</v>
      </c>
      <c r="K39" s="112">
        <v>0</v>
      </c>
      <c r="L39" s="112">
        <v>0</v>
      </c>
      <c r="M39" s="142"/>
      <c r="N39" s="430"/>
      <c r="O39" s="430"/>
      <c r="P39" s="430"/>
      <c r="Q39" s="430"/>
      <c r="R39" s="430"/>
      <c r="S39" s="430"/>
      <c r="T39" s="430"/>
      <c r="U39" s="430"/>
      <c r="V39" s="430"/>
      <c r="W39" s="427" t="s">
        <v>66</v>
      </c>
      <c r="X39" s="429">
        <v>0</v>
      </c>
      <c r="Y39" s="429">
        <v>0</v>
      </c>
      <c r="Z39" s="429">
        <v>0</v>
      </c>
      <c r="AA39" s="429">
        <v>0</v>
      </c>
      <c r="AB39" s="429">
        <v>0</v>
      </c>
      <c r="AC39" s="429">
        <v>0</v>
      </c>
    </row>
    <row r="40" spans="1:29" ht="24.9" customHeight="1" x14ac:dyDescent="0.25">
      <c r="A40" s="397" t="s">
        <v>7</v>
      </c>
      <c r="B40" s="398"/>
      <c r="C40" s="398"/>
      <c r="D40" s="398"/>
      <c r="E40" s="398"/>
      <c r="F40" s="399"/>
      <c r="G40" s="111">
        <v>689</v>
      </c>
      <c r="H40" s="111">
        <v>1</v>
      </c>
      <c r="I40" s="111">
        <v>0</v>
      </c>
      <c r="J40" s="111">
        <v>0</v>
      </c>
      <c r="K40" s="111">
        <v>0</v>
      </c>
      <c r="L40" s="111">
        <v>0</v>
      </c>
      <c r="M40" s="142"/>
      <c r="N40" s="431"/>
      <c r="O40" s="431"/>
      <c r="P40" s="431"/>
      <c r="Q40" s="431"/>
      <c r="R40" s="431"/>
      <c r="S40" s="431"/>
      <c r="T40" s="431"/>
      <c r="U40" s="431"/>
      <c r="V40" s="431"/>
      <c r="W40" s="428"/>
      <c r="X40" s="432"/>
      <c r="Y40" s="432"/>
      <c r="Z40" s="432"/>
      <c r="AA40" s="432"/>
      <c r="AB40" s="432"/>
      <c r="AC40" s="432"/>
    </row>
    <row r="41" spans="1:29" ht="23.4" x14ac:dyDescent="0.25">
      <c r="A41" s="354" t="s">
        <v>15</v>
      </c>
      <c r="B41" s="354"/>
      <c r="C41" s="354"/>
      <c r="D41" s="354"/>
      <c r="E41" s="354"/>
      <c r="F41" s="354"/>
      <c r="G41" s="354"/>
      <c r="H41" s="354"/>
      <c r="I41" s="354"/>
      <c r="J41" s="354"/>
      <c r="K41" s="354"/>
      <c r="L41" s="354"/>
      <c r="M41" s="354"/>
      <c r="N41" s="354"/>
      <c r="O41" s="354"/>
      <c r="P41" s="354"/>
      <c r="Q41" s="354"/>
      <c r="R41" s="354"/>
      <c r="S41" s="354"/>
      <c r="T41" s="354"/>
      <c r="U41" s="354"/>
      <c r="V41" s="354"/>
      <c r="W41" s="354"/>
      <c r="X41" s="354"/>
      <c r="Y41" s="354"/>
      <c r="Z41" s="354"/>
      <c r="AA41" s="354"/>
      <c r="AB41" s="354"/>
      <c r="AC41" s="354"/>
    </row>
    <row r="42" spans="1:29" ht="23.4" x14ac:dyDescent="0.25">
      <c r="A42" s="354" t="s">
        <v>16</v>
      </c>
      <c r="B42" s="354"/>
      <c r="C42" s="354"/>
      <c r="D42" s="354"/>
      <c r="E42" s="354"/>
      <c r="F42" s="354"/>
      <c r="G42" s="354"/>
      <c r="H42" s="354"/>
      <c r="I42" s="354"/>
      <c r="J42" s="354"/>
      <c r="K42" s="354"/>
      <c r="L42" s="354"/>
      <c r="M42" s="354"/>
      <c r="N42" s="354"/>
      <c r="O42" s="354"/>
      <c r="P42" s="354"/>
      <c r="Q42" s="354"/>
      <c r="R42" s="354"/>
      <c r="S42" s="354"/>
      <c r="T42" s="354"/>
      <c r="U42" s="354"/>
      <c r="V42" s="354"/>
      <c r="W42" s="354"/>
      <c r="X42" s="103"/>
      <c r="Y42" s="355" t="s">
        <v>17</v>
      </c>
      <c r="Z42" s="355"/>
      <c r="AA42" s="103"/>
      <c r="AB42" s="103"/>
      <c r="AC42" s="103"/>
    </row>
    <row r="43" spans="1:29" ht="30.9" customHeight="1" x14ac:dyDescent="0.25">
      <c r="A43" s="356" t="s">
        <v>18</v>
      </c>
      <c r="B43" s="356"/>
      <c r="C43" s="356"/>
      <c r="D43" s="356"/>
      <c r="E43" s="357" t="s">
        <v>102</v>
      </c>
      <c r="F43" s="357"/>
      <c r="G43" s="357"/>
      <c r="H43" s="357"/>
      <c r="I43" s="358" t="s">
        <v>20</v>
      </c>
      <c r="J43" s="358"/>
      <c r="K43" s="359">
        <v>0</v>
      </c>
      <c r="L43" s="359"/>
      <c r="M43" s="358" t="s">
        <v>21</v>
      </c>
      <c r="N43" s="358"/>
      <c r="O43" s="360" t="s">
        <v>103</v>
      </c>
      <c r="P43" s="360"/>
      <c r="Q43" s="360"/>
      <c r="R43" s="360"/>
      <c r="S43" s="104"/>
      <c r="T43" s="361" t="s">
        <v>22</v>
      </c>
      <c r="U43" s="361"/>
      <c r="V43" s="361"/>
      <c r="W43" s="361"/>
      <c r="X43" s="361"/>
      <c r="Y43" s="348" t="s">
        <v>79</v>
      </c>
      <c r="Z43" s="348"/>
      <c r="AA43" s="348"/>
      <c r="AB43" s="349" t="s">
        <v>83</v>
      </c>
      <c r="AC43" s="349"/>
    </row>
    <row r="44" spans="1:29" x14ac:dyDescent="0.25">
      <c r="T44" s="361"/>
      <c r="U44" s="361"/>
      <c r="V44" s="361"/>
      <c r="W44" s="361"/>
      <c r="X44" s="361"/>
      <c r="Y44" s="348"/>
      <c r="Z44" s="348"/>
      <c r="AA44" s="348"/>
      <c r="AB44" s="349"/>
      <c r="AC44" s="349"/>
    </row>
    <row r="45" spans="1:29" ht="15.6" x14ac:dyDescent="0.25">
      <c r="A45" s="350" t="s">
        <v>24</v>
      </c>
      <c r="B45" s="350"/>
      <c r="C45" s="350"/>
      <c r="D45" s="350"/>
      <c r="E45" s="350"/>
      <c r="F45" s="350"/>
      <c r="G45" s="350"/>
      <c r="H45" s="351" t="s">
        <v>25</v>
      </c>
      <c r="I45" s="351"/>
      <c r="J45" s="351"/>
      <c r="K45" s="351"/>
      <c r="L45" s="351"/>
      <c r="M45" s="351"/>
      <c r="N45" s="351"/>
      <c r="O45" s="105"/>
      <c r="P45" s="105"/>
      <c r="T45" s="352" t="s">
        <v>26</v>
      </c>
      <c r="U45" s="352"/>
      <c r="V45" s="352"/>
      <c r="W45" s="352"/>
      <c r="X45" s="352"/>
      <c r="Y45" s="352"/>
      <c r="Z45" s="353" t="s">
        <v>27</v>
      </c>
      <c r="AA45" s="353"/>
      <c r="AB45" s="353"/>
      <c r="AC45" s="353"/>
    </row>
    <row r="46" spans="1:29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</row>
    <row r="47" spans="1:29" ht="15" customHeight="1" x14ac:dyDescent="0.25">
      <c r="A47" s="382" t="s">
        <v>29</v>
      </c>
      <c r="B47" s="383"/>
      <c r="C47" s="383"/>
      <c r="D47" s="383"/>
      <c r="E47" s="383"/>
      <c r="F47" s="383"/>
      <c r="G47" s="383"/>
      <c r="H47" s="383"/>
      <c r="I47" s="383"/>
      <c r="J47" s="384"/>
      <c r="K47" s="362" t="s">
        <v>30</v>
      </c>
      <c r="L47" s="363"/>
      <c r="M47" s="362" t="s">
        <v>31</v>
      </c>
      <c r="N47" s="363"/>
      <c r="O47" s="385" t="s">
        <v>32</v>
      </c>
      <c r="P47" s="386"/>
      <c r="Q47" s="387"/>
      <c r="R47" s="362" t="s">
        <v>33</v>
      </c>
      <c r="S47" s="394"/>
      <c r="T47" s="363"/>
      <c r="U47" s="397" t="s">
        <v>34</v>
      </c>
      <c r="V47" s="398"/>
      <c r="W47" s="398"/>
      <c r="X47" s="398"/>
      <c r="Y47" s="398"/>
      <c r="Z47" s="398"/>
      <c r="AA47" s="399"/>
      <c r="AB47" s="362" t="s">
        <v>7</v>
      </c>
      <c r="AC47" s="363"/>
    </row>
    <row r="48" spans="1:29" ht="23.25" customHeight="1" x14ac:dyDescent="0.25">
      <c r="A48" s="368" t="s">
        <v>35</v>
      </c>
      <c r="B48" s="369"/>
      <c r="C48" s="369"/>
      <c r="D48" s="369"/>
      <c r="E48" s="369"/>
      <c r="F48" s="369"/>
      <c r="G48" s="369"/>
      <c r="H48" s="369"/>
      <c r="I48" s="369"/>
      <c r="J48" s="370"/>
      <c r="K48" s="364"/>
      <c r="L48" s="365"/>
      <c r="M48" s="364"/>
      <c r="N48" s="365"/>
      <c r="O48" s="388"/>
      <c r="P48" s="389"/>
      <c r="Q48" s="390"/>
      <c r="R48" s="364"/>
      <c r="S48" s="395"/>
      <c r="T48" s="365"/>
      <c r="U48" s="374" t="s">
        <v>36</v>
      </c>
      <c r="V48" s="374"/>
      <c r="W48" s="374"/>
      <c r="X48" s="374" t="s">
        <v>37</v>
      </c>
      <c r="Y48" s="374"/>
      <c r="Z48" s="374" t="s">
        <v>38</v>
      </c>
      <c r="AA48" s="374"/>
      <c r="AB48" s="364"/>
      <c r="AC48" s="365"/>
    </row>
    <row r="49" spans="1:29" x14ac:dyDescent="0.25">
      <c r="A49" s="371"/>
      <c r="B49" s="372"/>
      <c r="C49" s="372"/>
      <c r="D49" s="372"/>
      <c r="E49" s="372"/>
      <c r="F49" s="372"/>
      <c r="G49" s="372"/>
      <c r="H49" s="372"/>
      <c r="I49" s="372"/>
      <c r="J49" s="373"/>
      <c r="K49" s="366"/>
      <c r="L49" s="367"/>
      <c r="M49" s="366"/>
      <c r="N49" s="367"/>
      <c r="O49" s="391"/>
      <c r="P49" s="392"/>
      <c r="Q49" s="393"/>
      <c r="R49" s="366"/>
      <c r="S49" s="396"/>
      <c r="T49" s="367"/>
      <c r="U49" s="375"/>
      <c r="V49" s="375"/>
      <c r="W49" s="375"/>
      <c r="X49" s="375"/>
      <c r="Y49" s="375"/>
      <c r="Z49" s="375"/>
      <c r="AA49" s="375"/>
      <c r="AB49" s="366"/>
      <c r="AC49" s="367"/>
    </row>
    <row r="50" spans="1:29" ht="24.9" customHeight="1" x14ac:dyDescent="0.25">
      <c r="A50" s="376" t="s">
        <v>39</v>
      </c>
      <c r="B50" s="377"/>
      <c r="C50" s="377"/>
      <c r="D50" s="377"/>
      <c r="E50" s="377"/>
      <c r="F50" s="377"/>
      <c r="G50" s="377"/>
      <c r="H50" s="377"/>
      <c r="I50" s="377"/>
      <c r="J50" s="378"/>
      <c r="K50" s="379">
        <v>733</v>
      </c>
      <c r="L50" s="380"/>
      <c r="M50" s="379">
        <v>41</v>
      </c>
      <c r="N50" s="380"/>
      <c r="O50" s="379">
        <v>0</v>
      </c>
      <c r="P50" s="381"/>
      <c r="Q50" s="380"/>
      <c r="R50" s="379">
        <v>774</v>
      </c>
      <c r="S50" s="381"/>
      <c r="T50" s="380"/>
      <c r="U50" s="379">
        <v>0</v>
      </c>
      <c r="V50" s="381"/>
      <c r="W50" s="380"/>
      <c r="X50" s="379">
        <v>0</v>
      </c>
      <c r="Y50" s="380"/>
      <c r="Z50" s="379">
        <v>0</v>
      </c>
      <c r="AA50" s="380"/>
      <c r="AB50" s="379">
        <v>774</v>
      </c>
      <c r="AC50" s="380"/>
    </row>
    <row r="51" spans="1:29" ht="24.9" customHeight="1" x14ac:dyDescent="0.25">
      <c r="A51" s="376" t="s">
        <v>40</v>
      </c>
      <c r="B51" s="377"/>
      <c r="C51" s="377"/>
      <c r="D51" s="377"/>
      <c r="E51" s="377"/>
      <c r="F51" s="377"/>
      <c r="G51" s="377"/>
      <c r="H51" s="377"/>
      <c r="I51" s="377"/>
      <c r="J51" s="378"/>
      <c r="K51" s="379">
        <v>446</v>
      </c>
      <c r="L51" s="380"/>
      <c r="M51" s="379">
        <v>6</v>
      </c>
      <c r="N51" s="380"/>
      <c r="O51" s="379">
        <v>1</v>
      </c>
      <c r="P51" s="381"/>
      <c r="Q51" s="380"/>
      <c r="R51" s="379">
        <v>453</v>
      </c>
      <c r="S51" s="381"/>
      <c r="T51" s="380"/>
      <c r="U51" s="379">
        <v>0</v>
      </c>
      <c r="V51" s="381"/>
      <c r="W51" s="380"/>
      <c r="X51" s="379">
        <v>0</v>
      </c>
      <c r="Y51" s="380"/>
      <c r="Z51" s="379">
        <v>0</v>
      </c>
      <c r="AA51" s="380"/>
      <c r="AB51" s="379">
        <v>453</v>
      </c>
      <c r="AC51" s="380"/>
    </row>
    <row r="52" spans="1:29" ht="24.9" customHeight="1" x14ac:dyDescent="0.25">
      <c r="A52" s="376" t="s">
        <v>41</v>
      </c>
      <c r="B52" s="377"/>
      <c r="C52" s="377"/>
      <c r="D52" s="377"/>
      <c r="E52" s="377"/>
      <c r="F52" s="377"/>
      <c r="G52" s="377"/>
      <c r="H52" s="377"/>
      <c r="I52" s="377"/>
      <c r="J52" s="378"/>
      <c r="K52" s="379">
        <v>0</v>
      </c>
      <c r="L52" s="380"/>
      <c r="M52" s="379">
        <v>0</v>
      </c>
      <c r="N52" s="380"/>
      <c r="O52" s="379">
        <v>0</v>
      </c>
      <c r="P52" s="381"/>
      <c r="Q52" s="380"/>
      <c r="R52" s="379">
        <v>0</v>
      </c>
      <c r="S52" s="381"/>
      <c r="T52" s="380"/>
      <c r="U52" s="379">
        <v>0</v>
      </c>
      <c r="V52" s="381"/>
      <c r="W52" s="380"/>
      <c r="X52" s="379">
        <v>0</v>
      </c>
      <c r="Y52" s="380"/>
      <c r="Z52" s="379">
        <v>0</v>
      </c>
      <c r="AA52" s="380"/>
      <c r="AB52" s="379">
        <v>0</v>
      </c>
      <c r="AC52" s="380"/>
    </row>
    <row r="53" spans="1:29" ht="24.9" customHeight="1" x14ac:dyDescent="0.25">
      <c r="A53" s="376" t="s">
        <v>42</v>
      </c>
      <c r="B53" s="377"/>
      <c r="C53" s="377"/>
      <c r="D53" s="377"/>
      <c r="E53" s="377"/>
      <c r="F53" s="377"/>
      <c r="G53" s="377"/>
      <c r="H53" s="377"/>
      <c r="I53" s="377"/>
      <c r="J53" s="378"/>
      <c r="K53" s="379">
        <v>341</v>
      </c>
      <c r="L53" s="380"/>
      <c r="M53" s="379">
        <v>3</v>
      </c>
      <c r="N53" s="380"/>
      <c r="O53" s="379">
        <v>0</v>
      </c>
      <c r="P53" s="381"/>
      <c r="Q53" s="380"/>
      <c r="R53" s="379">
        <v>344</v>
      </c>
      <c r="S53" s="381"/>
      <c r="T53" s="380"/>
      <c r="U53" s="379">
        <v>0</v>
      </c>
      <c r="V53" s="381"/>
      <c r="W53" s="380"/>
      <c r="X53" s="379">
        <v>0</v>
      </c>
      <c r="Y53" s="380"/>
      <c r="Z53" s="379">
        <v>2</v>
      </c>
      <c r="AA53" s="380"/>
      <c r="AB53" s="379">
        <v>346</v>
      </c>
      <c r="AC53" s="380"/>
    </row>
    <row r="54" spans="1:29" ht="24.9" customHeight="1" x14ac:dyDescent="0.25">
      <c r="A54" s="376" t="s">
        <v>7</v>
      </c>
      <c r="B54" s="377"/>
      <c r="C54" s="377"/>
      <c r="D54" s="377"/>
      <c r="E54" s="377"/>
      <c r="F54" s="377"/>
      <c r="G54" s="377"/>
      <c r="H54" s="377"/>
      <c r="I54" s="377"/>
      <c r="J54" s="378"/>
      <c r="K54" s="379">
        <v>1520</v>
      </c>
      <c r="L54" s="380"/>
      <c r="M54" s="379">
        <v>50</v>
      </c>
      <c r="N54" s="380"/>
      <c r="O54" s="379">
        <v>1</v>
      </c>
      <c r="P54" s="381"/>
      <c r="Q54" s="380"/>
      <c r="R54" s="379">
        <v>1571</v>
      </c>
      <c r="S54" s="381"/>
      <c r="T54" s="380"/>
      <c r="U54" s="379">
        <v>0</v>
      </c>
      <c r="V54" s="381"/>
      <c r="W54" s="380"/>
      <c r="X54" s="379">
        <v>0</v>
      </c>
      <c r="Y54" s="380"/>
      <c r="Z54" s="379">
        <v>2</v>
      </c>
      <c r="AA54" s="380"/>
      <c r="AB54" s="379">
        <v>1573</v>
      </c>
      <c r="AC54" s="380"/>
    </row>
    <row r="55" spans="1:29" ht="15.6" x14ac:dyDescent="0.25">
      <c r="A55" s="107" t="s">
        <v>43</v>
      </c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9"/>
      <c r="V55" s="109"/>
      <c r="W55" s="109"/>
      <c r="X55" s="109"/>
      <c r="Y55" s="109"/>
      <c r="Z55" s="109"/>
      <c r="AA55" s="109"/>
      <c r="AB55" s="109"/>
      <c r="AC55" s="110"/>
    </row>
    <row r="56" spans="1:29" ht="21.75" customHeight="1" x14ac:dyDescent="0.25">
      <c r="A56" s="404"/>
      <c r="B56" s="405"/>
      <c r="C56" s="405"/>
      <c r="D56" s="405"/>
      <c r="E56" s="405"/>
      <c r="F56" s="405"/>
      <c r="G56" s="405"/>
      <c r="H56" s="405"/>
      <c r="I56" s="405"/>
      <c r="J56" s="406"/>
      <c r="K56" s="397" t="s">
        <v>0</v>
      </c>
      <c r="L56" s="399"/>
      <c r="M56" s="410" t="s">
        <v>1</v>
      </c>
      <c r="N56" s="411"/>
      <c r="O56" s="400" t="s">
        <v>2</v>
      </c>
      <c r="P56" s="401"/>
      <c r="Q56" s="400" t="s">
        <v>3</v>
      </c>
      <c r="R56" s="401"/>
      <c r="S56" s="400" t="s">
        <v>4</v>
      </c>
      <c r="T56" s="401"/>
      <c r="U56" s="400" t="s">
        <v>5</v>
      </c>
      <c r="V56" s="401"/>
      <c r="W56" s="400" t="s">
        <v>6</v>
      </c>
      <c r="X56" s="401"/>
      <c r="Y56" s="400" t="s">
        <v>44</v>
      </c>
      <c r="Z56" s="401"/>
      <c r="AA56" s="400" t="s">
        <v>7</v>
      </c>
      <c r="AB56" s="401"/>
      <c r="AC56" s="402" t="s">
        <v>86</v>
      </c>
    </row>
    <row r="57" spans="1:29" x14ac:dyDescent="0.25">
      <c r="A57" s="407"/>
      <c r="B57" s="408"/>
      <c r="C57" s="408"/>
      <c r="D57" s="408"/>
      <c r="E57" s="408"/>
      <c r="F57" s="408"/>
      <c r="G57" s="408"/>
      <c r="H57" s="408"/>
      <c r="I57" s="408"/>
      <c r="J57" s="409"/>
      <c r="K57" s="111" t="s">
        <v>9</v>
      </c>
      <c r="L57" s="111" t="s">
        <v>10</v>
      </c>
      <c r="M57" s="111" t="s">
        <v>9</v>
      </c>
      <c r="N57" s="111" t="s">
        <v>10</v>
      </c>
      <c r="O57" s="111" t="s">
        <v>9</v>
      </c>
      <c r="P57" s="111" t="s">
        <v>10</v>
      </c>
      <c r="Q57" s="111" t="s">
        <v>9</v>
      </c>
      <c r="R57" s="111" t="s">
        <v>10</v>
      </c>
      <c r="S57" s="111" t="s">
        <v>9</v>
      </c>
      <c r="T57" s="111" t="s">
        <v>10</v>
      </c>
      <c r="U57" s="111" t="s">
        <v>9</v>
      </c>
      <c r="V57" s="111" t="s">
        <v>10</v>
      </c>
      <c r="W57" s="111" t="s">
        <v>9</v>
      </c>
      <c r="X57" s="111" t="s">
        <v>10</v>
      </c>
      <c r="Y57" s="111" t="s">
        <v>9</v>
      </c>
      <c r="Z57" s="111" t="s">
        <v>10</v>
      </c>
      <c r="AA57" s="111" t="s">
        <v>9</v>
      </c>
      <c r="AB57" s="111" t="s">
        <v>10</v>
      </c>
      <c r="AC57" s="403"/>
    </row>
    <row r="58" spans="1:29" ht="24.9" customHeight="1" x14ac:dyDescent="0.25">
      <c r="A58" s="376" t="s">
        <v>39</v>
      </c>
      <c r="B58" s="377"/>
      <c r="C58" s="377"/>
      <c r="D58" s="377"/>
      <c r="E58" s="377"/>
      <c r="F58" s="377"/>
      <c r="G58" s="377"/>
      <c r="H58" s="377"/>
      <c r="I58" s="377"/>
      <c r="J58" s="378"/>
      <c r="K58" s="112">
        <v>2</v>
      </c>
      <c r="L58" s="112">
        <v>1</v>
      </c>
      <c r="M58" s="112">
        <v>11</v>
      </c>
      <c r="N58" s="112">
        <v>20</v>
      </c>
      <c r="O58" s="112">
        <v>58</v>
      </c>
      <c r="P58" s="112">
        <v>84</v>
      </c>
      <c r="Q58" s="112">
        <v>59</v>
      </c>
      <c r="R58" s="112">
        <v>55</v>
      </c>
      <c r="S58" s="112">
        <v>54</v>
      </c>
      <c r="T58" s="112">
        <v>34</v>
      </c>
      <c r="U58" s="112">
        <v>40</v>
      </c>
      <c r="V58" s="112">
        <v>55</v>
      </c>
      <c r="W58" s="112">
        <v>60</v>
      </c>
      <c r="X58" s="112">
        <v>54</v>
      </c>
      <c r="Y58" s="112">
        <v>95</v>
      </c>
      <c r="Z58" s="112">
        <v>92</v>
      </c>
      <c r="AA58" s="112">
        <v>379</v>
      </c>
      <c r="AB58" s="112">
        <v>395</v>
      </c>
      <c r="AC58" s="112">
        <v>774</v>
      </c>
    </row>
    <row r="59" spans="1:29" ht="24.9" customHeight="1" x14ac:dyDescent="0.25">
      <c r="A59" s="376" t="s">
        <v>40</v>
      </c>
      <c r="B59" s="377"/>
      <c r="C59" s="377"/>
      <c r="D59" s="377"/>
      <c r="E59" s="377"/>
      <c r="F59" s="377"/>
      <c r="G59" s="377"/>
      <c r="H59" s="377"/>
      <c r="I59" s="377"/>
      <c r="J59" s="378"/>
      <c r="K59" s="112">
        <v>5</v>
      </c>
      <c r="L59" s="112">
        <v>6</v>
      </c>
      <c r="M59" s="112">
        <v>9</v>
      </c>
      <c r="N59" s="112">
        <v>13</v>
      </c>
      <c r="O59" s="112">
        <v>32</v>
      </c>
      <c r="P59" s="112">
        <v>34</v>
      </c>
      <c r="Q59" s="112">
        <v>25</v>
      </c>
      <c r="R59" s="112">
        <v>41</v>
      </c>
      <c r="S59" s="112">
        <v>24</v>
      </c>
      <c r="T59" s="112">
        <v>16</v>
      </c>
      <c r="U59" s="112">
        <v>24</v>
      </c>
      <c r="V59" s="112">
        <v>26</v>
      </c>
      <c r="W59" s="112">
        <v>36</v>
      </c>
      <c r="X59" s="112">
        <v>33</v>
      </c>
      <c r="Y59" s="112">
        <v>71</v>
      </c>
      <c r="Z59" s="112">
        <v>58</v>
      </c>
      <c r="AA59" s="112">
        <v>226</v>
      </c>
      <c r="AB59" s="112">
        <v>227</v>
      </c>
      <c r="AC59" s="112">
        <v>453</v>
      </c>
    </row>
    <row r="60" spans="1:29" ht="24.9" customHeight="1" x14ac:dyDescent="0.25">
      <c r="A60" s="376" t="s">
        <v>41</v>
      </c>
      <c r="B60" s="377"/>
      <c r="C60" s="377"/>
      <c r="D60" s="377"/>
      <c r="E60" s="377"/>
      <c r="F60" s="377"/>
      <c r="G60" s="377"/>
      <c r="H60" s="377"/>
      <c r="I60" s="377"/>
      <c r="J60" s="378"/>
      <c r="K60" s="112">
        <v>0</v>
      </c>
      <c r="L60" s="112">
        <v>0</v>
      </c>
      <c r="M60" s="112">
        <v>0</v>
      </c>
      <c r="N60" s="112">
        <v>0</v>
      </c>
      <c r="O60" s="112">
        <v>0</v>
      </c>
      <c r="P60" s="112">
        <v>0</v>
      </c>
      <c r="Q60" s="112">
        <v>0</v>
      </c>
      <c r="R60" s="112">
        <v>0</v>
      </c>
      <c r="S60" s="112">
        <v>0</v>
      </c>
      <c r="T60" s="112">
        <v>0</v>
      </c>
      <c r="U60" s="112">
        <v>0</v>
      </c>
      <c r="V60" s="112">
        <v>0</v>
      </c>
      <c r="W60" s="112">
        <v>0</v>
      </c>
      <c r="X60" s="112">
        <v>0</v>
      </c>
      <c r="Y60" s="112">
        <v>0</v>
      </c>
      <c r="Z60" s="112">
        <v>0</v>
      </c>
      <c r="AA60" s="112">
        <v>0</v>
      </c>
      <c r="AB60" s="112">
        <v>0</v>
      </c>
      <c r="AC60" s="112">
        <v>0</v>
      </c>
    </row>
    <row r="61" spans="1:29" ht="24.9" customHeight="1" x14ac:dyDescent="0.25">
      <c r="A61" s="376" t="s">
        <v>42</v>
      </c>
      <c r="B61" s="377"/>
      <c r="C61" s="377"/>
      <c r="D61" s="377"/>
      <c r="E61" s="377"/>
      <c r="F61" s="377"/>
      <c r="G61" s="377"/>
      <c r="H61" s="377"/>
      <c r="I61" s="377"/>
      <c r="J61" s="378"/>
      <c r="K61" s="112">
        <v>3</v>
      </c>
      <c r="L61" s="112">
        <v>1</v>
      </c>
      <c r="M61" s="112">
        <v>13</v>
      </c>
      <c r="N61" s="112">
        <v>13</v>
      </c>
      <c r="O61" s="112">
        <v>39</v>
      </c>
      <c r="P61" s="112">
        <v>20</v>
      </c>
      <c r="Q61" s="112">
        <v>28</v>
      </c>
      <c r="R61" s="112">
        <v>32</v>
      </c>
      <c r="S61" s="112">
        <v>24</v>
      </c>
      <c r="T61" s="112">
        <v>25</v>
      </c>
      <c r="U61" s="112">
        <v>19</v>
      </c>
      <c r="V61" s="112">
        <v>21</v>
      </c>
      <c r="W61" s="112">
        <v>26</v>
      </c>
      <c r="X61" s="112">
        <v>21</v>
      </c>
      <c r="Y61" s="112">
        <v>38</v>
      </c>
      <c r="Z61" s="112">
        <v>21</v>
      </c>
      <c r="AA61" s="112">
        <v>190</v>
      </c>
      <c r="AB61" s="112">
        <v>154</v>
      </c>
      <c r="AC61" s="112">
        <v>344</v>
      </c>
    </row>
    <row r="62" spans="1:29" ht="24.9" customHeight="1" x14ac:dyDescent="0.25">
      <c r="A62" s="397" t="s">
        <v>7</v>
      </c>
      <c r="B62" s="398"/>
      <c r="C62" s="398"/>
      <c r="D62" s="398"/>
      <c r="E62" s="398"/>
      <c r="F62" s="398"/>
      <c r="G62" s="398"/>
      <c r="H62" s="398"/>
      <c r="I62" s="398"/>
      <c r="J62" s="399"/>
      <c r="K62" s="112">
        <v>10</v>
      </c>
      <c r="L62" s="112">
        <v>8</v>
      </c>
      <c r="M62" s="112">
        <v>33</v>
      </c>
      <c r="N62" s="112">
        <v>46</v>
      </c>
      <c r="O62" s="112">
        <v>129</v>
      </c>
      <c r="P62" s="112">
        <v>138</v>
      </c>
      <c r="Q62" s="112">
        <v>112</v>
      </c>
      <c r="R62" s="112">
        <v>128</v>
      </c>
      <c r="S62" s="112">
        <v>102</v>
      </c>
      <c r="T62" s="112">
        <v>75</v>
      </c>
      <c r="U62" s="112">
        <v>83</v>
      </c>
      <c r="V62" s="112">
        <v>102</v>
      </c>
      <c r="W62" s="112">
        <v>122</v>
      </c>
      <c r="X62" s="112">
        <v>108</v>
      </c>
      <c r="Y62" s="112">
        <v>204</v>
      </c>
      <c r="Z62" s="112">
        <v>171</v>
      </c>
      <c r="AA62" s="112">
        <v>795</v>
      </c>
      <c r="AB62" s="112">
        <v>776</v>
      </c>
      <c r="AC62" s="112">
        <v>1571</v>
      </c>
    </row>
    <row r="63" spans="1:29" ht="6.75" customHeight="1" x14ac:dyDescent="0.25">
      <c r="A63" s="113"/>
      <c r="B63" s="114"/>
      <c r="C63" s="114"/>
      <c r="D63" s="114"/>
      <c r="E63" s="114"/>
      <c r="F63" s="115"/>
      <c r="G63" s="116"/>
      <c r="H63" s="116"/>
      <c r="I63" s="116"/>
      <c r="J63" s="116"/>
      <c r="K63" s="116"/>
      <c r="L63" s="116"/>
      <c r="M63" s="117"/>
      <c r="N63" s="116"/>
      <c r="O63" s="417"/>
      <c r="P63" s="418"/>
      <c r="Q63" s="118"/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9"/>
    </row>
    <row r="64" spans="1:29" ht="18" customHeight="1" x14ac:dyDescent="0.25">
      <c r="A64" s="120" t="s">
        <v>45</v>
      </c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2"/>
      <c r="M64" s="123"/>
      <c r="N64" s="120" t="s">
        <v>46</v>
      </c>
      <c r="O64" s="121"/>
      <c r="P64" s="121"/>
      <c r="Q64" s="121"/>
      <c r="R64" s="121"/>
      <c r="S64" s="124"/>
      <c r="T64" s="124"/>
      <c r="U64" s="124"/>
      <c r="V64" s="124"/>
      <c r="W64" s="124"/>
      <c r="X64" s="124"/>
      <c r="Y64" s="124"/>
      <c r="Z64" s="124"/>
      <c r="AA64" s="124"/>
      <c r="AB64" s="124"/>
      <c r="AC64" s="125"/>
    </row>
    <row r="65" spans="1:29" ht="42.75" customHeight="1" x14ac:dyDescent="0.25">
      <c r="A65" s="412" t="s">
        <v>47</v>
      </c>
      <c r="B65" s="419" t="s">
        <v>48</v>
      </c>
      <c r="C65" s="420"/>
      <c r="D65" s="421" t="s">
        <v>49</v>
      </c>
      <c r="E65" s="422"/>
      <c r="F65" s="423"/>
      <c r="G65" s="421" t="s">
        <v>50</v>
      </c>
      <c r="H65" s="422"/>
      <c r="I65" s="422"/>
      <c r="J65" s="423"/>
      <c r="K65" s="412" t="s">
        <v>51</v>
      </c>
      <c r="L65" s="412" t="s">
        <v>52</v>
      </c>
      <c r="M65" s="126"/>
      <c r="N65" s="414" t="s">
        <v>53</v>
      </c>
      <c r="O65" s="415"/>
      <c r="P65" s="416"/>
      <c r="Q65" s="414" t="s">
        <v>54</v>
      </c>
      <c r="R65" s="415"/>
      <c r="S65" s="416"/>
      <c r="T65" s="414" t="s">
        <v>55</v>
      </c>
      <c r="U65" s="415"/>
      <c r="V65" s="415"/>
      <c r="W65" s="415"/>
      <c r="X65" s="415"/>
      <c r="Y65" s="415"/>
      <c r="Z65" s="415"/>
      <c r="AA65" s="415"/>
      <c r="AB65" s="415"/>
      <c r="AC65" s="416"/>
    </row>
    <row r="66" spans="1:29" ht="48" customHeight="1" x14ac:dyDescent="0.25">
      <c r="A66" s="413"/>
      <c r="B66" s="127" t="s">
        <v>7</v>
      </c>
      <c r="C66" s="128" t="s">
        <v>87</v>
      </c>
      <c r="D66" s="128" t="s">
        <v>56</v>
      </c>
      <c r="E66" s="128" t="s">
        <v>88</v>
      </c>
      <c r="F66" s="128" t="s">
        <v>89</v>
      </c>
      <c r="G66" s="129" t="s">
        <v>56</v>
      </c>
      <c r="H66" s="128" t="s">
        <v>90</v>
      </c>
      <c r="I66" s="129" t="s">
        <v>57</v>
      </c>
      <c r="J66" s="129" t="s">
        <v>58</v>
      </c>
      <c r="K66" s="413"/>
      <c r="L66" s="413"/>
      <c r="M66" s="126"/>
      <c r="N66" s="414">
        <v>0</v>
      </c>
      <c r="O66" s="415"/>
      <c r="P66" s="416"/>
      <c r="Q66" s="414">
        <v>0</v>
      </c>
      <c r="R66" s="415"/>
      <c r="S66" s="416"/>
      <c r="T66" s="414">
        <v>0</v>
      </c>
      <c r="U66" s="415"/>
      <c r="V66" s="415"/>
      <c r="W66" s="415"/>
      <c r="X66" s="415"/>
      <c r="Y66" s="415"/>
      <c r="Z66" s="415"/>
      <c r="AA66" s="415"/>
      <c r="AB66" s="415"/>
      <c r="AC66" s="416"/>
    </row>
    <row r="67" spans="1:29" ht="38.25" customHeight="1" x14ac:dyDescent="0.25">
      <c r="A67" s="424">
        <v>267310</v>
      </c>
      <c r="B67" s="424">
        <v>10282</v>
      </c>
      <c r="C67" s="424">
        <v>1603</v>
      </c>
      <c r="D67" s="424">
        <v>5342</v>
      </c>
      <c r="E67" s="424">
        <v>0</v>
      </c>
      <c r="F67" s="424">
        <v>6318</v>
      </c>
      <c r="G67" s="424">
        <v>748</v>
      </c>
      <c r="H67" s="424">
        <v>0</v>
      </c>
      <c r="I67" s="424">
        <v>0</v>
      </c>
      <c r="J67" s="424">
        <v>748</v>
      </c>
      <c r="K67" s="424">
        <v>774</v>
      </c>
      <c r="L67" s="424">
        <v>1028</v>
      </c>
      <c r="M67" s="126"/>
      <c r="N67" s="414" t="s">
        <v>59</v>
      </c>
      <c r="O67" s="415"/>
      <c r="P67" s="416"/>
      <c r="Q67" s="414" t="s">
        <v>60</v>
      </c>
      <c r="R67" s="415"/>
      <c r="S67" s="416"/>
      <c r="T67" s="391" t="s">
        <v>61</v>
      </c>
      <c r="U67" s="392"/>
      <c r="V67" s="392"/>
      <c r="W67" s="393"/>
      <c r="X67" s="391" t="s">
        <v>62</v>
      </c>
      <c r="Y67" s="392"/>
      <c r="Z67" s="392"/>
      <c r="AA67" s="392"/>
      <c r="AB67" s="392"/>
      <c r="AC67" s="393"/>
    </row>
    <row r="68" spans="1:29" ht="19.5" customHeight="1" x14ac:dyDescent="0.25">
      <c r="A68" s="425"/>
      <c r="B68" s="425"/>
      <c r="C68" s="425"/>
      <c r="D68" s="425"/>
      <c r="E68" s="425"/>
      <c r="F68" s="425"/>
      <c r="G68" s="425"/>
      <c r="H68" s="425"/>
      <c r="I68" s="425"/>
      <c r="J68" s="425"/>
      <c r="K68" s="425"/>
      <c r="L68" s="425"/>
      <c r="M68" s="126"/>
      <c r="N68" s="385">
        <v>0</v>
      </c>
      <c r="O68" s="386"/>
      <c r="P68" s="387"/>
      <c r="Q68" s="385">
        <v>0</v>
      </c>
      <c r="R68" s="386"/>
      <c r="S68" s="387"/>
      <c r="T68" s="385">
        <v>0</v>
      </c>
      <c r="U68" s="386"/>
      <c r="V68" s="386"/>
      <c r="W68" s="387"/>
      <c r="X68" s="130"/>
      <c r="Y68" s="414" t="s">
        <v>0</v>
      </c>
      <c r="Z68" s="416"/>
      <c r="AA68" s="131" t="s">
        <v>1</v>
      </c>
      <c r="AB68" s="414" t="s">
        <v>63</v>
      </c>
      <c r="AC68" s="416"/>
    </row>
    <row r="69" spans="1:29" ht="18" customHeight="1" x14ac:dyDescent="0.25">
      <c r="A69" s="425"/>
      <c r="B69" s="425"/>
      <c r="C69" s="425"/>
      <c r="D69" s="425"/>
      <c r="E69" s="425"/>
      <c r="F69" s="425"/>
      <c r="G69" s="425"/>
      <c r="H69" s="425"/>
      <c r="I69" s="425"/>
      <c r="J69" s="425"/>
      <c r="K69" s="425"/>
      <c r="L69" s="425"/>
      <c r="M69" s="126"/>
      <c r="N69" s="388"/>
      <c r="O69" s="389"/>
      <c r="P69" s="390"/>
      <c r="Q69" s="388"/>
      <c r="R69" s="389"/>
      <c r="S69" s="390"/>
      <c r="T69" s="388"/>
      <c r="U69" s="389"/>
      <c r="V69" s="389"/>
      <c r="W69" s="390"/>
      <c r="X69" s="132" t="s">
        <v>64</v>
      </c>
      <c r="Y69" s="397">
        <v>0</v>
      </c>
      <c r="Z69" s="399"/>
      <c r="AA69" s="112">
        <v>0</v>
      </c>
      <c r="AB69" s="397">
        <v>0</v>
      </c>
      <c r="AC69" s="399"/>
    </row>
    <row r="70" spans="1:29" ht="18" customHeight="1" x14ac:dyDescent="0.25">
      <c r="A70" s="425"/>
      <c r="B70" s="425"/>
      <c r="C70" s="425"/>
      <c r="D70" s="425"/>
      <c r="E70" s="425"/>
      <c r="F70" s="425"/>
      <c r="G70" s="425"/>
      <c r="H70" s="425"/>
      <c r="I70" s="425"/>
      <c r="J70" s="425"/>
      <c r="K70" s="425"/>
      <c r="L70" s="425"/>
      <c r="M70" s="126"/>
      <c r="N70" s="388"/>
      <c r="O70" s="389"/>
      <c r="P70" s="390"/>
      <c r="Q70" s="388"/>
      <c r="R70" s="389"/>
      <c r="S70" s="390"/>
      <c r="T70" s="388"/>
      <c r="U70" s="389"/>
      <c r="V70" s="389"/>
      <c r="W70" s="390"/>
      <c r="X70" s="132" t="s">
        <v>65</v>
      </c>
      <c r="Y70" s="397">
        <v>0</v>
      </c>
      <c r="Z70" s="399"/>
      <c r="AA70" s="112">
        <v>0</v>
      </c>
      <c r="AB70" s="397">
        <v>0</v>
      </c>
      <c r="AC70" s="399"/>
    </row>
    <row r="71" spans="1:29" ht="18" customHeight="1" x14ac:dyDescent="0.25">
      <c r="A71" s="426"/>
      <c r="B71" s="426"/>
      <c r="C71" s="426"/>
      <c r="D71" s="426"/>
      <c r="E71" s="426"/>
      <c r="F71" s="426"/>
      <c r="G71" s="426"/>
      <c r="H71" s="426"/>
      <c r="I71" s="426"/>
      <c r="J71" s="426"/>
      <c r="K71" s="426"/>
      <c r="L71" s="426"/>
      <c r="M71" s="126"/>
      <c r="N71" s="391"/>
      <c r="O71" s="392"/>
      <c r="P71" s="393"/>
      <c r="Q71" s="391"/>
      <c r="R71" s="392"/>
      <c r="S71" s="393"/>
      <c r="T71" s="391"/>
      <c r="U71" s="392"/>
      <c r="V71" s="392"/>
      <c r="W71" s="393"/>
      <c r="X71" s="132" t="s">
        <v>66</v>
      </c>
      <c r="Y71" s="397">
        <v>0</v>
      </c>
      <c r="Z71" s="399"/>
      <c r="AA71" s="112">
        <v>0</v>
      </c>
      <c r="AB71" s="397">
        <v>0</v>
      </c>
      <c r="AC71" s="399"/>
    </row>
    <row r="72" spans="1:29" ht="8.25" customHeight="1" x14ac:dyDescent="0.25">
      <c r="A72" s="133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5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10"/>
    </row>
    <row r="73" spans="1:29" ht="18" customHeight="1" x14ac:dyDescent="0.25">
      <c r="A73" s="120" t="s">
        <v>67</v>
      </c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2"/>
      <c r="M73" s="136"/>
      <c r="N73" s="120" t="s">
        <v>68</v>
      </c>
      <c r="O73" s="122"/>
      <c r="P73" s="121"/>
      <c r="Q73" s="137"/>
      <c r="R73" s="121"/>
      <c r="S73" s="121"/>
      <c r="T73" s="121"/>
      <c r="U73" s="121"/>
      <c r="V73" s="121"/>
      <c r="W73" s="121"/>
      <c r="X73" s="121"/>
      <c r="Y73" s="121"/>
      <c r="Z73" s="121"/>
      <c r="AA73" s="124"/>
      <c r="AB73" s="124"/>
      <c r="AC73" s="138"/>
    </row>
    <row r="74" spans="1:29" ht="57" customHeight="1" x14ac:dyDescent="0.25">
      <c r="A74" s="404"/>
      <c r="B74" s="405"/>
      <c r="C74" s="405"/>
      <c r="D74" s="405"/>
      <c r="E74" s="405"/>
      <c r="F74" s="406"/>
      <c r="G74" s="397" t="s">
        <v>11</v>
      </c>
      <c r="H74" s="399"/>
      <c r="I74" s="397" t="s">
        <v>12</v>
      </c>
      <c r="J74" s="399"/>
      <c r="K74" s="139" t="s">
        <v>69</v>
      </c>
      <c r="L74" s="140"/>
      <c r="M74" s="141"/>
      <c r="N74" s="421" t="s">
        <v>70</v>
      </c>
      <c r="O74" s="422"/>
      <c r="P74" s="423"/>
      <c r="Q74" s="421" t="s">
        <v>71</v>
      </c>
      <c r="R74" s="422"/>
      <c r="S74" s="423"/>
      <c r="T74" s="421" t="s">
        <v>72</v>
      </c>
      <c r="U74" s="422"/>
      <c r="V74" s="423"/>
      <c r="W74" s="421" t="s">
        <v>73</v>
      </c>
      <c r="X74" s="422"/>
      <c r="Y74" s="422"/>
      <c r="Z74" s="423"/>
      <c r="AA74" s="421" t="s">
        <v>74</v>
      </c>
      <c r="AB74" s="422"/>
      <c r="AC74" s="423"/>
    </row>
    <row r="75" spans="1:29" ht="13.5" customHeight="1" x14ac:dyDescent="0.25">
      <c r="A75" s="407"/>
      <c r="B75" s="408"/>
      <c r="C75" s="408"/>
      <c r="D75" s="408"/>
      <c r="E75" s="408"/>
      <c r="F75" s="409"/>
      <c r="G75" s="111" t="s">
        <v>75</v>
      </c>
      <c r="H75" s="111" t="s">
        <v>13</v>
      </c>
      <c r="I75" s="111" t="s">
        <v>75</v>
      </c>
      <c r="J75" s="111" t="s">
        <v>13</v>
      </c>
      <c r="K75" s="111" t="s">
        <v>75</v>
      </c>
      <c r="L75" s="111" t="s">
        <v>13</v>
      </c>
      <c r="M75" s="142"/>
      <c r="N75" s="143" t="s">
        <v>0</v>
      </c>
      <c r="O75" s="144" t="s">
        <v>1</v>
      </c>
      <c r="P75" s="144" t="s">
        <v>91</v>
      </c>
      <c r="Q75" s="143" t="s">
        <v>0</v>
      </c>
      <c r="R75" s="144" t="s">
        <v>1</v>
      </c>
      <c r="S75" s="144" t="s">
        <v>91</v>
      </c>
      <c r="T75" s="143" t="s">
        <v>0</v>
      </c>
      <c r="U75" s="144" t="s">
        <v>1</v>
      </c>
      <c r="V75" s="144" t="s">
        <v>91</v>
      </c>
      <c r="W75" s="143"/>
      <c r="X75" s="143" t="s">
        <v>0</v>
      </c>
      <c r="Y75" s="145" t="s">
        <v>1</v>
      </c>
      <c r="Z75" s="146" t="s">
        <v>76</v>
      </c>
      <c r="AA75" s="143" t="s">
        <v>0</v>
      </c>
      <c r="AB75" s="145" t="s">
        <v>1</v>
      </c>
      <c r="AC75" s="146" t="s">
        <v>76</v>
      </c>
    </row>
    <row r="76" spans="1:29" ht="24.9" customHeight="1" x14ac:dyDescent="0.25">
      <c r="A76" s="397" t="s">
        <v>77</v>
      </c>
      <c r="B76" s="398"/>
      <c r="C76" s="398"/>
      <c r="D76" s="398"/>
      <c r="E76" s="398"/>
      <c r="F76" s="399"/>
      <c r="G76" s="112">
        <v>719</v>
      </c>
      <c r="H76" s="112">
        <v>2</v>
      </c>
      <c r="I76" s="112">
        <v>0</v>
      </c>
      <c r="J76" s="112">
        <v>0</v>
      </c>
      <c r="K76" s="112">
        <v>0</v>
      </c>
      <c r="L76" s="112">
        <v>0</v>
      </c>
      <c r="M76" s="142"/>
      <c r="N76" s="429">
        <v>0</v>
      </c>
      <c r="O76" s="429">
        <v>1380</v>
      </c>
      <c r="P76" s="429">
        <v>3473</v>
      </c>
      <c r="Q76" s="429">
        <v>0</v>
      </c>
      <c r="R76" s="429">
        <v>1137</v>
      </c>
      <c r="S76" s="429">
        <v>2908</v>
      </c>
      <c r="T76" s="429">
        <v>0</v>
      </c>
      <c r="U76" s="429">
        <v>3</v>
      </c>
      <c r="V76" s="429">
        <v>164</v>
      </c>
      <c r="W76" s="147" t="s">
        <v>64</v>
      </c>
      <c r="X76" s="112">
        <v>0</v>
      </c>
      <c r="Y76" s="112">
        <v>17</v>
      </c>
      <c r="Z76" s="112">
        <v>0</v>
      </c>
      <c r="AA76" s="112">
        <v>0</v>
      </c>
      <c r="AB76" s="112">
        <v>0</v>
      </c>
      <c r="AC76" s="112">
        <v>0</v>
      </c>
    </row>
    <row r="77" spans="1:29" ht="24.9" customHeight="1" x14ac:dyDescent="0.25">
      <c r="A77" s="397" t="s">
        <v>8</v>
      </c>
      <c r="B77" s="398"/>
      <c r="C77" s="398"/>
      <c r="D77" s="398"/>
      <c r="E77" s="398"/>
      <c r="F77" s="399"/>
      <c r="G77" s="112">
        <v>0</v>
      </c>
      <c r="H77" s="112">
        <v>0</v>
      </c>
      <c r="I77" s="112">
        <v>0</v>
      </c>
      <c r="J77" s="112">
        <v>0</v>
      </c>
      <c r="K77" s="112">
        <v>0</v>
      </c>
      <c r="L77" s="112">
        <v>0</v>
      </c>
      <c r="M77" s="142"/>
      <c r="N77" s="430"/>
      <c r="O77" s="430"/>
      <c r="P77" s="430"/>
      <c r="Q77" s="430"/>
      <c r="R77" s="430"/>
      <c r="S77" s="430"/>
      <c r="T77" s="430"/>
      <c r="U77" s="430"/>
      <c r="V77" s="430"/>
      <c r="W77" s="147" t="s">
        <v>65</v>
      </c>
      <c r="X77" s="112">
        <v>0</v>
      </c>
      <c r="Y77" s="112">
        <v>5</v>
      </c>
      <c r="Z77" s="112">
        <v>12</v>
      </c>
      <c r="AA77" s="112">
        <v>0</v>
      </c>
      <c r="AB77" s="112">
        <v>0</v>
      </c>
      <c r="AC77" s="112">
        <v>0</v>
      </c>
    </row>
    <row r="78" spans="1:29" ht="24.9" customHeight="1" x14ac:dyDescent="0.25">
      <c r="A78" s="414" t="s">
        <v>78</v>
      </c>
      <c r="B78" s="415"/>
      <c r="C78" s="415"/>
      <c r="D78" s="415"/>
      <c r="E78" s="415"/>
      <c r="F78" s="416"/>
      <c r="G78" s="112">
        <v>0</v>
      </c>
      <c r="H78" s="112">
        <v>0</v>
      </c>
      <c r="I78" s="112">
        <v>0</v>
      </c>
      <c r="J78" s="112">
        <v>0</v>
      </c>
      <c r="K78" s="112">
        <v>0</v>
      </c>
      <c r="L78" s="112">
        <v>0</v>
      </c>
      <c r="M78" s="142"/>
      <c r="N78" s="430"/>
      <c r="O78" s="430"/>
      <c r="P78" s="430"/>
      <c r="Q78" s="430"/>
      <c r="R78" s="430"/>
      <c r="S78" s="430"/>
      <c r="T78" s="430"/>
      <c r="U78" s="430"/>
      <c r="V78" s="430"/>
      <c r="W78" s="427" t="s">
        <v>66</v>
      </c>
      <c r="X78" s="429">
        <v>0</v>
      </c>
      <c r="Y78" s="429">
        <v>0</v>
      </c>
      <c r="Z78" s="429">
        <v>0</v>
      </c>
      <c r="AA78" s="429">
        <v>0</v>
      </c>
      <c r="AB78" s="429">
        <v>0</v>
      </c>
      <c r="AC78" s="429">
        <v>0</v>
      </c>
    </row>
    <row r="79" spans="1:29" ht="24.9" customHeight="1" x14ac:dyDescent="0.25">
      <c r="A79" s="397" t="s">
        <v>7</v>
      </c>
      <c r="B79" s="398"/>
      <c r="C79" s="398"/>
      <c r="D79" s="398"/>
      <c r="E79" s="398"/>
      <c r="F79" s="399"/>
      <c r="G79" s="111">
        <v>719</v>
      </c>
      <c r="H79" s="111">
        <v>2</v>
      </c>
      <c r="I79" s="111">
        <v>0</v>
      </c>
      <c r="J79" s="111">
        <v>0</v>
      </c>
      <c r="K79" s="111">
        <v>0</v>
      </c>
      <c r="L79" s="111">
        <v>0</v>
      </c>
      <c r="M79" s="142"/>
      <c r="N79" s="431"/>
      <c r="O79" s="431"/>
      <c r="P79" s="431"/>
      <c r="Q79" s="431"/>
      <c r="R79" s="431"/>
      <c r="S79" s="431"/>
      <c r="T79" s="431"/>
      <c r="U79" s="431"/>
      <c r="V79" s="431"/>
      <c r="W79" s="428"/>
      <c r="X79" s="432"/>
      <c r="Y79" s="432"/>
      <c r="Z79" s="432"/>
      <c r="AA79" s="432"/>
      <c r="AB79" s="432"/>
      <c r="AC79" s="432"/>
    </row>
    <row r="80" spans="1:29" ht="23.4" x14ac:dyDescent="0.25">
      <c r="A80" s="354" t="s">
        <v>15</v>
      </c>
      <c r="B80" s="354"/>
      <c r="C80" s="354"/>
      <c r="D80" s="354"/>
      <c r="E80" s="354"/>
      <c r="F80" s="354"/>
      <c r="G80" s="354"/>
      <c r="H80" s="354"/>
      <c r="I80" s="354"/>
      <c r="J80" s="354"/>
      <c r="K80" s="354"/>
      <c r="L80" s="354"/>
      <c r="M80" s="354"/>
      <c r="N80" s="354"/>
      <c r="O80" s="354"/>
      <c r="P80" s="354"/>
      <c r="Q80" s="354"/>
      <c r="R80" s="354"/>
      <c r="S80" s="354"/>
      <c r="T80" s="354"/>
      <c r="U80" s="354"/>
      <c r="V80" s="354"/>
      <c r="W80" s="354"/>
      <c r="X80" s="354"/>
      <c r="Y80" s="354"/>
      <c r="Z80" s="354"/>
      <c r="AA80" s="354"/>
      <c r="AB80" s="354"/>
      <c r="AC80" s="354"/>
    </row>
    <row r="81" spans="1:29" ht="23.4" x14ac:dyDescent="0.25">
      <c r="A81" s="354" t="s">
        <v>16</v>
      </c>
      <c r="B81" s="354"/>
      <c r="C81" s="354"/>
      <c r="D81" s="354"/>
      <c r="E81" s="354"/>
      <c r="F81" s="354"/>
      <c r="G81" s="354"/>
      <c r="H81" s="354"/>
      <c r="I81" s="354"/>
      <c r="J81" s="354"/>
      <c r="K81" s="354"/>
      <c r="L81" s="354"/>
      <c r="M81" s="354"/>
      <c r="N81" s="354"/>
      <c r="O81" s="354"/>
      <c r="P81" s="354"/>
      <c r="Q81" s="354"/>
      <c r="R81" s="354"/>
      <c r="S81" s="354"/>
      <c r="T81" s="354"/>
      <c r="U81" s="354"/>
      <c r="V81" s="354"/>
      <c r="W81" s="354"/>
      <c r="X81" s="103"/>
      <c r="Y81" s="355" t="s">
        <v>17</v>
      </c>
      <c r="Z81" s="355"/>
      <c r="AA81" s="103"/>
      <c r="AB81" s="103"/>
      <c r="AC81" s="103"/>
    </row>
    <row r="82" spans="1:29" ht="30.9" customHeight="1" x14ac:dyDescent="0.25">
      <c r="A82" s="356" t="s">
        <v>18</v>
      </c>
      <c r="B82" s="356"/>
      <c r="C82" s="356"/>
      <c r="D82" s="356"/>
      <c r="E82" s="357" t="s">
        <v>102</v>
      </c>
      <c r="F82" s="357"/>
      <c r="G82" s="357"/>
      <c r="H82" s="357"/>
      <c r="I82" s="358" t="s">
        <v>20</v>
      </c>
      <c r="J82" s="358"/>
      <c r="K82" s="359">
        <v>0</v>
      </c>
      <c r="L82" s="359"/>
      <c r="M82" s="358" t="s">
        <v>21</v>
      </c>
      <c r="N82" s="358"/>
      <c r="O82" s="360" t="s">
        <v>103</v>
      </c>
      <c r="P82" s="360"/>
      <c r="Q82" s="360"/>
      <c r="R82" s="360"/>
      <c r="S82" s="104"/>
      <c r="T82" s="361" t="s">
        <v>22</v>
      </c>
      <c r="U82" s="361"/>
      <c r="V82" s="361"/>
      <c r="W82" s="361"/>
      <c r="X82" s="361"/>
      <c r="Y82" s="348" t="s">
        <v>80</v>
      </c>
      <c r="Z82" s="348"/>
      <c r="AA82" s="348"/>
      <c r="AB82" s="349" t="s">
        <v>83</v>
      </c>
      <c r="AC82" s="349"/>
    </row>
    <row r="83" spans="1:29" ht="15" customHeight="1" x14ac:dyDescent="0.25">
      <c r="T83" s="361"/>
      <c r="U83" s="361"/>
      <c r="V83" s="361"/>
      <c r="W83" s="361"/>
      <c r="X83" s="361"/>
      <c r="Y83" s="348"/>
      <c r="Z83" s="348"/>
      <c r="AA83" s="348"/>
      <c r="AB83" s="349"/>
      <c r="AC83" s="349"/>
    </row>
    <row r="84" spans="1:29" ht="15.6" x14ac:dyDescent="0.25">
      <c r="A84" s="350" t="s">
        <v>24</v>
      </c>
      <c r="B84" s="350"/>
      <c r="C84" s="350"/>
      <c r="D84" s="350"/>
      <c r="E84" s="350"/>
      <c r="F84" s="350"/>
      <c r="G84" s="350"/>
      <c r="H84" s="351" t="s">
        <v>25</v>
      </c>
      <c r="I84" s="351"/>
      <c r="J84" s="351"/>
      <c r="K84" s="351"/>
      <c r="L84" s="351"/>
      <c r="M84" s="351"/>
      <c r="N84" s="351"/>
      <c r="O84" s="105"/>
      <c r="P84" s="105"/>
      <c r="T84" s="352" t="s">
        <v>26</v>
      </c>
      <c r="U84" s="352"/>
      <c r="V84" s="352"/>
      <c r="W84" s="352"/>
      <c r="X84" s="352"/>
      <c r="Y84" s="352"/>
      <c r="Z84" s="353" t="s">
        <v>27</v>
      </c>
      <c r="AA84" s="353"/>
      <c r="AB84" s="353"/>
      <c r="AC84" s="353"/>
    </row>
    <row r="85" spans="1:29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</row>
    <row r="86" spans="1:29" ht="15" customHeight="1" x14ac:dyDescent="0.25">
      <c r="A86" s="382" t="s">
        <v>29</v>
      </c>
      <c r="B86" s="383"/>
      <c r="C86" s="383"/>
      <c r="D86" s="383"/>
      <c r="E86" s="383"/>
      <c r="F86" s="383"/>
      <c r="G86" s="383"/>
      <c r="H86" s="383"/>
      <c r="I86" s="383"/>
      <c r="J86" s="384"/>
      <c r="K86" s="362" t="s">
        <v>30</v>
      </c>
      <c r="L86" s="363"/>
      <c r="M86" s="362" t="s">
        <v>31</v>
      </c>
      <c r="N86" s="363"/>
      <c r="O86" s="385" t="s">
        <v>32</v>
      </c>
      <c r="P86" s="386"/>
      <c r="Q86" s="387"/>
      <c r="R86" s="362" t="s">
        <v>33</v>
      </c>
      <c r="S86" s="394"/>
      <c r="T86" s="363"/>
      <c r="U86" s="397" t="s">
        <v>34</v>
      </c>
      <c r="V86" s="398"/>
      <c r="W86" s="398"/>
      <c r="X86" s="398"/>
      <c r="Y86" s="398"/>
      <c r="Z86" s="398"/>
      <c r="AA86" s="399"/>
      <c r="AB86" s="362" t="s">
        <v>7</v>
      </c>
      <c r="AC86" s="363"/>
    </row>
    <row r="87" spans="1:29" ht="23.25" customHeight="1" x14ac:dyDescent="0.25">
      <c r="A87" s="368" t="s">
        <v>35</v>
      </c>
      <c r="B87" s="369"/>
      <c r="C87" s="369"/>
      <c r="D87" s="369"/>
      <c r="E87" s="369"/>
      <c r="F87" s="369"/>
      <c r="G87" s="369"/>
      <c r="H87" s="369"/>
      <c r="I87" s="369"/>
      <c r="J87" s="370"/>
      <c r="K87" s="364"/>
      <c r="L87" s="365"/>
      <c r="M87" s="364"/>
      <c r="N87" s="365"/>
      <c r="O87" s="388"/>
      <c r="P87" s="389"/>
      <c r="Q87" s="390"/>
      <c r="R87" s="364"/>
      <c r="S87" s="395"/>
      <c r="T87" s="365"/>
      <c r="U87" s="374" t="s">
        <v>36</v>
      </c>
      <c r="V87" s="374"/>
      <c r="W87" s="374"/>
      <c r="X87" s="374" t="s">
        <v>37</v>
      </c>
      <c r="Y87" s="374"/>
      <c r="Z87" s="374" t="s">
        <v>38</v>
      </c>
      <c r="AA87" s="374"/>
      <c r="AB87" s="364"/>
      <c r="AC87" s="365"/>
    </row>
    <row r="88" spans="1:29" x14ac:dyDescent="0.25">
      <c r="A88" s="371"/>
      <c r="B88" s="372"/>
      <c r="C88" s="372"/>
      <c r="D88" s="372"/>
      <c r="E88" s="372"/>
      <c r="F88" s="372"/>
      <c r="G88" s="372"/>
      <c r="H88" s="372"/>
      <c r="I88" s="372"/>
      <c r="J88" s="373"/>
      <c r="K88" s="366"/>
      <c r="L88" s="367"/>
      <c r="M88" s="366"/>
      <c r="N88" s="367"/>
      <c r="O88" s="391"/>
      <c r="P88" s="392"/>
      <c r="Q88" s="393"/>
      <c r="R88" s="366"/>
      <c r="S88" s="396"/>
      <c r="T88" s="367"/>
      <c r="U88" s="375"/>
      <c r="V88" s="375"/>
      <c r="W88" s="375"/>
      <c r="X88" s="375"/>
      <c r="Y88" s="375"/>
      <c r="Z88" s="375"/>
      <c r="AA88" s="375"/>
      <c r="AB88" s="366"/>
      <c r="AC88" s="367"/>
    </row>
    <row r="89" spans="1:29" ht="24.9" customHeight="1" x14ac:dyDescent="0.25">
      <c r="A89" s="376" t="s">
        <v>39</v>
      </c>
      <c r="B89" s="377"/>
      <c r="C89" s="377"/>
      <c r="D89" s="377"/>
      <c r="E89" s="377"/>
      <c r="F89" s="377"/>
      <c r="G89" s="377"/>
      <c r="H89" s="377"/>
      <c r="I89" s="377"/>
      <c r="J89" s="378"/>
      <c r="K89" s="379">
        <v>644</v>
      </c>
      <c r="L89" s="380"/>
      <c r="M89" s="379">
        <v>52</v>
      </c>
      <c r="N89" s="380"/>
      <c r="O89" s="379">
        <v>0</v>
      </c>
      <c r="P89" s="381"/>
      <c r="Q89" s="380"/>
      <c r="R89" s="379">
        <v>696</v>
      </c>
      <c r="S89" s="381"/>
      <c r="T89" s="380"/>
      <c r="U89" s="379">
        <v>0</v>
      </c>
      <c r="V89" s="381"/>
      <c r="W89" s="380"/>
      <c r="X89" s="379">
        <v>0</v>
      </c>
      <c r="Y89" s="380"/>
      <c r="Z89" s="379">
        <v>0</v>
      </c>
      <c r="AA89" s="380"/>
      <c r="AB89" s="379">
        <v>696</v>
      </c>
      <c r="AC89" s="380"/>
    </row>
    <row r="90" spans="1:29" ht="24.9" customHeight="1" x14ac:dyDescent="0.25">
      <c r="A90" s="376" t="s">
        <v>40</v>
      </c>
      <c r="B90" s="377"/>
      <c r="C90" s="377"/>
      <c r="D90" s="377"/>
      <c r="E90" s="377"/>
      <c r="F90" s="377"/>
      <c r="G90" s="377"/>
      <c r="H90" s="377"/>
      <c r="I90" s="377"/>
      <c r="J90" s="378"/>
      <c r="K90" s="379">
        <v>489</v>
      </c>
      <c r="L90" s="380"/>
      <c r="M90" s="379">
        <v>11</v>
      </c>
      <c r="N90" s="380"/>
      <c r="O90" s="379">
        <v>0</v>
      </c>
      <c r="P90" s="381"/>
      <c r="Q90" s="380"/>
      <c r="R90" s="379">
        <v>500</v>
      </c>
      <c r="S90" s="381"/>
      <c r="T90" s="380"/>
      <c r="U90" s="379">
        <v>0</v>
      </c>
      <c r="V90" s="381"/>
      <c r="W90" s="380"/>
      <c r="X90" s="379">
        <v>0</v>
      </c>
      <c r="Y90" s="380"/>
      <c r="Z90" s="379">
        <v>1</v>
      </c>
      <c r="AA90" s="380"/>
      <c r="AB90" s="379">
        <v>501</v>
      </c>
      <c r="AC90" s="380"/>
    </row>
    <row r="91" spans="1:29" ht="24.9" customHeight="1" x14ac:dyDescent="0.25">
      <c r="A91" s="376" t="s">
        <v>41</v>
      </c>
      <c r="B91" s="377"/>
      <c r="C91" s="377"/>
      <c r="D91" s="377"/>
      <c r="E91" s="377"/>
      <c r="F91" s="377"/>
      <c r="G91" s="377"/>
      <c r="H91" s="377"/>
      <c r="I91" s="377"/>
      <c r="J91" s="378"/>
      <c r="K91" s="379">
        <v>0</v>
      </c>
      <c r="L91" s="380"/>
      <c r="M91" s="379">
        <v>0</v>
      </c>
      <c r="N91" s="380"/>
      <c r="O91" s="379">
        <v>0</v>
      </c>
      <c r="P91" s="381"/>
      <c r="Q91" s="380"/>
      <c r="R91" s="379">
        <v>0</v>
      </c>
      <c r="S91" s="381"/>
      <c r="T91" s="380"/>
      <c r="U91" s="379">
        <v>0</v>
      </c>
      <c r="V91" s="381"/>
      <c r="W91" s="380"/>
      <c r="X91" s="379">
        <v>0</v>
      </c>
      <c r="Y91" s="380"/>
      <c r="Z91" s="379">
        <v>0</v>
      </c>
      <c r="AA91" s="380"/>
      <c r="AB91" s="379">
        <v>0</v>
      </c>
      <c r="AC91" s="380"/>
    </row>
    <row r="92" spans="1:29" ht="24.9" customHeight="1" x14ac:dyDescent="0.25">
      <c r="A92" s="376" t="s">
        <v>42</v>
      </c>
      <c r="B92" s="377"/>
      <c r="C92" s="377"/>
      <c r="D92" s="377"/>
      <c r="E92" s="377"/>
      <c r="F92" s="377"/>
      <c r="G92" s="377"/>
      <c r="H92" s="377"/>
      <c r="I92" s="377"/>
      <c r="J92" s="378"/>
      <c r="K92" s="379">
        <v>424</v>
      </c>
      <c r="L92" s="380"/>
      <c r="M92" s="379">
        <v>5</v>
      </c>
      <c r="N92" s="380"/>
      <c r="O92" s="379">
        <v>3</v>
      </c>
      <c r="P92" s="381"/>
      <c r="Q92" s="380"/>
      <c r="R92" s="379">
        <v>432</v>
      </c>
      <c r="S92" s="381"/>
      <c r="T92" s="380"/>
      <c r="U92" s="379">
        <v>0</v>
      </c>
      <c r="V92" s="381"/>
      <c r="W92" s="380"/>
      <c r="X92" s="379">
        <v>0</v>
      </c>
      <c r="Y92" s="380"/>
      <c r="Z92" s="379">
        <v>0</v>
      </c>
      <c r="AA92" s="380"/>
      <c r="AB92" s="379">
        <v>432</v>
      </c>
      <c r="AC92" s="380"/>
    </row>
    <row r="93" spans="1:29" ht="24.9" customHeight="1" x14ac:dyDescent="0.25">
      <c r="A93" s="376" t="s">
        <v>7</v>
      </c>
      <c r="B93" s="377"/>
      <c r="C93" s="377"/>
      <c r="D93" s="377"/>
      <c r="E93" s="377"/>
      <c r="F93" s="377"/>
      <c r="G93" s="377"/>
      <c r="H93" s="377"/>
      <c r="I93" s="377"/>
      <c r="J93" s="378"/>
      <c r="K93" s="379">
        <v>1557</v>
      </c>
      <c r="L93" s="380"/>
      <c r="M93" s="379">
        <v>68</v>
      </c>
      <c r="N93" s="380"/>
      <c r="O93" s="379">
        <v>3</v>
      </c>
      <c r="P93" s="381"/>
      <c r="Q93" s="380"/>
      <c r="R93" s="379">
        <v>1628</v>
      </c>
      <c r="S93" s="381"/>
      <c r="T93" s="380"/>
      <c r="U93" s="379">
        <v>0</v>
      </c>
      <c r="V93" s="381"/>
      <c r="W93" s="380"/>
      <c r="X93" s="379">
        <v>0</v>
      </c>
      <c r="Y93" s="380"/>
      <c r="Z93" s="379">
        <v>1</v>
      </c>
      <c r="AA93" s="380"/>
      <c r="AB93" s="379">
        <v>1629</v>
      </c>
      <c r="AC93" s="380"/>
    </row>
    <row r="94" spans="1:29" ht="15.6" x14ac:dyDescent="0.25">
      <c r="A94" s="107" t="s">
        <v>43</v>
      </c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9"/>
      <c r="V94" s="109"/>
      <c r="W94" s="109"/>
      <c r="X94" s="109"/>
      <c r="Y94" s="109"/>
      <c r="Z94" s="109"/>
      <c r="AA94" s="109"/>
      <c r="AB94" s="109"/>
      <c r="AC94" s="110"/>
    </row>
    <row r="95" spans="1:29" ht="21.75" customHeight="1" x14ac:dyDescent="0.25">
      <c r="A95" s="404"/>
      <c r="B95" s="405"/>
      <c r="C95" s="405"/>
      <c r="D95" s="405"/>
      <c r="E95" s="405"/>
      <c r="F95" s="405"/>
      <c r="G95" s="405"/>
      <c r="H95" s="405"/>
      <c r="I95" s="405"/>
      <c r="J95" s="406"/>
      <c r="K95" s="397" t="s">
        <v>0</v>
      </c>
      <c r="L95" s="399"/>
      <c r="M95" s="410" t="s">
        <v>1</v>
      </c>
      <c r="N95" s="411"/>
      <c r="O95" s="400" t="s">
        <v>2</v>
      </c>
      <c r="P95" s="401"/>
      <c r="Q95" s="400" t="s">
        <v>3</v>
      </c>
      <c r="R95" s="401"/>
      <c r="S95" s="400" t="s">
        <v>4</v>
      </c>
      <c r="T95" s="401"/>
      <c r="U95" s="400" t="s">
        <v>5</v>
      </c>
      <c r="V95" s="401"/>
      <c r="W95" s="400" t="s">
        <v>6</v>
      </c>
      <c r="X95" s="401"/>
      <c r="Y95" s="400" t="s">
        <v>44</v>
      </c>
      <c r="Z95" s="401"/>
      <c r="AA95" s="400" t="s">
        <v>7</v>
      </c>
      <c r="AB95" s="401"/>
      <c r="AC95" s="402" t="s">
        <v>86</v>
      </c>
    </row>
    <row r="96" spans="1:29" x14ac:dyDescent="0.25">
      <c r="A96" s="407"/>
      <c r="B96" s="408"/>
      <c r="C96" s="408"/>
      <c r="D96" s="408"/>
      <c r="E96" s="408"/>
      <c r="F96" s="408"/>
      <c r="G96" s="408"/>
      <c r="H96" s="408"/>
      <c r="I96" s="408"/>
      <c r="J96" s="409"/>
      <c r="K96" s="111" t="s">
        <v>9</v>
      </c>
      <c r="L96" s="111" t="s">
        <v>10</v>
      </c>
      <c r="M96" s="111" t="s">
        <v>9</v>
      </c>
      <c r="N96" s="111" t="s">
        <v>10</v>
      </c>
      <c r="O96" s="111" t="s">
        <v>9</v>
      </c>
      <c r="P96" s="111" t="s">
        <v>10</v>
      </c>
      <c r="Q96" s="111" t="s">
        <v>9</v>
      </c>
      <c r="R96" s="111" t="s">
        <v>10</v>
      </c>
      <c r="S96" s="111" t="s">
        <v>9</v>
      </c>
      <c r="T96" s="111" t="s">
        <v>10</v>
      </c>
      <c r="U96" s="111" t="s">
        <v>9</v>
      </c>
      <c r="V96" s="111" t="s">
        <v>10</v>
      </c>
      <c r="W96" s="111" t="s">
        <v>9</v>
      </c>
      <c r="X96" s="111" t="s">
        <v>10</v>
      </c>
      <c r="Y96" s="111" t="s">
        <v>9</v>
      </c>
      <c r="Z96" s="111" t="s">
        <v>10</v>
      </c>
      <c r="AA96" s="111" t="s">
        <v>9</v>
      </c>
      <c r="AB96" s="111" t="s">
        <v>10</v>
      </c>
      <c r="AC96" s="403"/>
    </row>
    <row r="97" spans="1:29" ht="24.9" customHeight="1" x14ac:dyDescent="0.25">
      <c r="A97" s="376" t="s">
        <v>39</v>
      </c>
      <c r="B97" s="377"/>
      <c r="C97" s="377"/>
      <c r="D97" s="377"/>
      <c r="E97" s="377"/>
      <c r="F97" s="377"/>
      <c r="G97" s="377"/>
      <c r="H97" s="377"/>
      <c r="I97" s="377"/>
      <c r="J97" s="378"/>
      <c r="K97" s="112">
        <v>1</v>
      </c>
      <c r="L97" s="112">
        <v>4</v>
      </c>
      <c r="M97" s="112">
        <v>6</v>
      </c>
      <c r="N97" s="112">
        <v>7</v>
      </c>
      <c r="O97" s="112">
        <v>67</v>
      </c>
      <c r="P97" s="112">
        <v>67</v>
      </c>
      <c r="Q97" s="112">
        <v>56</v>
      </c>
      <c r="R97" s="112">
        <v>29</v>
      </c>
      <c r="S97" s="112">
        <v>47</v>
      </c>
      <c r="T97" s="112">
        <v>35</v>
      </c>
      <c r="U97" s="112">
        <v>54</v>
      </c>
      <c r="V97" s="112">
        <v>30</v>
      </c>
      <c r="W97" s="112">
        <v>59</v>
      </c>
      <c r="X97" s="112">
        <v>52</v>
      </c>
      <c r="Y97" s="112">
        <v>102</v>
      </c>
      <c r="Z97" s="112">
        <v>80</v>
      </c>
      <c r="AA97" s="112">
        <v>392</v>
      </c>
      <c r="AB97" s="112">
        <v>304</v>
      </c>
      <c r="AC97" s="112">
        <v>696</v>
      </c>
    </row>
    <row r="98" spans="1:29" ht="24.9" customHeight="1" x14ac:dyDescent="0.25">
      <c r="A98" s="376" t="s">
        <v>40</v>
      </c>
      <c r="B98" s="377"/>
      <c r="C98" s="377"/>
      <c r="D98" s="377"/>
      <c r="E98" s="377"/>
      <c r="F98" s="377"/>
      <c r="G98" s="377"/>
      <c r="H98" s="377"/>
      <c r="I98" s="377"/>
      <c r="J98" s="378"/>
      <c r="K98" s="112">
        <v>4</v>
      </c>
      <c r="L98" s="112">
        <v>7</v>
      </c>
      <c r="M98" s="112">
        <v>9</v>
      </c>
      <c r="N98" s="112">
        <v>11</v>
      </c>
      <c r="O98" s="112">
        <v>30</v>
      </c>
      <c r="P98" s="112">
        <v>33</v>
      </c>
      <c r="Q98" s="112">
        <v>24</v>
      </c>
      <c r="R98" s="112">
        <v>29</v>
      </c>
      <c r="S98" s="112">
        <v>29</v>
      </c>
      <c r="T98" s="112">
        <v>20</v>
      </c>
      <c r="U98" s="112">
        <v>37</v>
      </c>
      <c r="V98" s="112">
        <v>21</v>
      </c>
      <c r="W98" s="112">
        <v>47</v>
      </c>
      <c r="X98" s="112">
        <v>43</v>
      </c>
      <c r="Y98" s="112">
        <v>75</v>
      </c>
      <c r="Z98" s="112">
        <v>81</v>
      </c>
      <c r="AA98" s="112">
        <v>255</v>
      </c>
      <c r="AB98" s="112">
        <v>245</v>
      </c>
      <c r="AC98" s="112">
        <v>500</v>
      </c>
    </row>
    <row r="99" spans="1:29" ht="24.9" customHeight="1" x14ac:dyDescent="0.25">
      <c r="A99" s="376" t="s">
        <v>41</v>
      </c>
      <c r="B99" s="377"/>
      <c r="C99" s="377"/>
      <c r="D99" s="377"/>
      <c r="E99" s="377"/>
      <c r="F99" s="377"/>
      <c r="G99" s="377"/>
      <c r="H99" s="377"/>
      <c r="I99" s="377"/>
      <c r="J99" s="378"/>
      <c r="K99" s="112">
        <v>0</v>
      </c>
      <c r="L99" s="112">
        <v>0</v>
      </c>
      <c r="M99" s="112">
        <v>0</v>
      </c>
      <c r="N99" s="112">
        <v>0</v>
      </c>
      <c r="O99" s="112">
        <v>0</v>
      </c>
      <c r="P99" s="112">
        <v>0</v>
      </c>
      <c r="Q99" s="112">
        <v>0</v>
      </c>
      <c r="R99" s="112">
        <v>0</v>
      </c>
      <c r="S99" s="112">
        <v>0</v>
      </c>
      <c r="T99" s="112">
        <v>0</v>
      </c>
      <c r="U99" s="112">
        <v>0</v>
      </c>
      <c r="V99" s="112">
        <v>0</v>
      </c>
      <c r="W99" s="112">
        <v>0</v>
      </c>
      <c r="X99" s="112">
        <v>0</v>
      </c>
      <c r="Y99" s="112">
        <v>0</v>
      </c>
      <c r="Z99" s="112">
        <v>0</v>
      </c>
      <c r="AA99" s="112">
        <v>0</v>
      </c>
      <c r="AB99" s="112">
        <v>0</v>
      </c>
      <c r="AC99" s="112">
        <v>0</v>
      </c>
    </row>
    <row r="100" spans="1:29" ht="24.9" customHeight="1" x14ac:dyDescent="0.25">
      <c r="A100" s="376" t="s">
        <v>42</v>
      </c>
      <c r="B100" s="377"/>
      <c r="C100" s="377"/>
      <c r="D100" s="377"/>
      <c r="E100" s="377"/>
      <c r="F100" s="377"/>
      <c r="G100" s="377"/>
      <c r="H100" s="377"/>
      <c r="I100" s="377"/>
      <c r="J100" s="378"/>
      <c r="K100" s="112">
        <v>2</v>
      </c>
      <c r="L100" s="112">
        <v>1</v>
      </c>
      <c r="M100" s="112">
        <v>14</v>
      </c>
      <c r="N100" s="112">
        <v>7</v>
      </c>
      <c r="O100" s="112">
        <v>41</v>
      </c>
      <c r="P100" s="112">
        <v>40</v>
      </c>
      <c r="Q100" s="112">
        <v>42</v>
      </c>
      <c r="R100" s="112">
        <v>35</v>
      </c>
      <c r="S100" s="112">
        <v>32</v>
      </c>
      <c r="T100" s="112">
        <v>32</v>
      </c>
      <c r="U100" s="112">
        <v>24</v>
      </c>
      <c r="V100" s="112">
        <v>20</v>
      </c>
      <c r="W100" s="112">
        <v>30</v>
      </c>
      <c r="X100" s="112">
        <v>27</v>
      </c>
      <c r="Y100" s="112">
        <v>63</v>
      </c>
      <c r="Z100" s="112">
        <v>22</v>
      </c>
      <c r="AA100" s="112">
        <v>248</v>
      </c>
      <c r="AB100" s="112">
        <v>184</v>
      </c>
      <c r="AC100" s="112">
        <v>432</v>
      </c>
    </row>
    <row r="101" spans="1:29" ht="24.9" customHeight="1" x14ac:dyDescent="0.25">
      <c r="A101" s="397" t="s">
        <v>7</v>
      </c>
      <c r="B101" s="398"/>
      <c r="C101" s="398"/>
      <c r="D101" s="398"/>
      <c r="E101" s="398"/>
      <c r="F101" s="398"/>
      <c r="G101" s="398"/>
      <c r="H101" s="398"/>
      <c r="I101" s="398"/>
      <c r="J101" s="399"/>
      <c r="K101" s="112">
        <v>7</v>
      </c>
      <c r="L101" s="112">
        <v>12</v>
      </c>
      <c r="M101" s="112">
        <v>29</v>
      </c>
      <c r="N101" s="112">
        <v>25</v>
      </c>
      <c r="O101" s="112">
        <v>138</v>
      </c>
      <c r="P101" s="112">
        <v>140</v>
      </c>
      <c r="Q101" s="112">
        <v>122</v>
      </c>
      <c r="R101" s="112">
        <v>93</v>
      </c>
      <c r="S101" s="112">
        <v>108</v>
      </c>
      <c r="T101" s="112">
        <v>87</v>
      </c>
      <c r="U101" s="112">
        <v>115</v>
      </c>
      <c r="V101" s="112">
        <v>71</v>
      </c>
      <c r="W101" s="112">
        <v>136</v>
      </c>
      <c r="X101" s="112">
        <v>122</v>
      </c>
      <c r="Y101" s="112">
        <v>240</v>
      </c>
      <c r="Z101" s="112">
        <v>183</v>
      </c>
      <c r="AA101" s="112">
        <v>895</v>
      </c>
      <c r="AB101" s="112">
        <v>733</v>
      </c>
      <c r="AC101" s="112">
        <v>1628</v>
      </c>
    </row>
    <row r="102" spans="1:29" ht="6.75" customHeight="1" x14ac:dyDescent="0.25">
      <c r="A102" s="113"/>
      <c r="B102" s="114"/>
      <c r="C102" s="114"/>
      <c r="D102" s="114"/>
      <c r="E102" s="114"/>
      <c r="F102" s="115"/>
      <c r="G102" s="116"/>
      <c r="H102" s="116"/>
      <c r="I102" s="116"/>
      <c r="J102" s="116"/>
      <c r="K102" s="116"/>
      <c r="L102" s="116"/>
      <c r="M102" s="117"/>
      <c r="N102" s="116"/>
      <c r="O102" s="417"/>
      <c r="P102" s="418"/>
      <c r="Q102" s="118"/>
      <c r="R102" s="116"/>
      <c r="S102" s="116"/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9"/>
    </row>
    <row r="103" spans="1:29" ht="18" customHeight="1" x14ac:dyDescent="0.25">
      <c r="A103" s="120" t="s">
        <v>45</v>
      </c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2"/>
      <c r="M103" s="123"/>
      <c r="N103" s="120" t="s">
        <v>46</v>
      </c>
      <c r="O103" s="121"/>
      <c r="P103" s="121"/>
      <c r="Q103" s="121"/>
      <c r="R103" s="121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5"/>
    </row>
    <row r="104" spans="1:29" ht="42.75" customHeight="1" x14ac:dyDescent="0.25">
      <c r="A104" s="412" t="s">
        <v>47</v>
      </c>
      <c r="B104" s="419" t="s">
        <v>48</v>
      </c>
      <c r="C104" s="420"/>
      <c r="D104" s="421" t="s">
        <v>49</v>
      </c>
      <c r="E104" s="422"/>
      <c r="F104" s="423"/>
      <c r="G104" s="421" t="s">
        <v>50</v>
      </c>
      <c r="H104" s="422"/>
      <c r="I104" s="422"/>
      <c r="J104" s="423"/>
      <c r="K104" s="412" t="s">
        <v>51</v>
      </c>
      <c r="L104" s="412" t="s">
        <v>52</v>
      </c>
      <c r="M104" s="126"/>
      <c r="N104" s="414" t="s">
        <v>53</v>
      </c>
      <c r="O104" s="415"/>
      <c r="P104" s="416"/>
      <c r="Q104" s="414" t="s">
        <v>54</v>
      </c>
      <c r="R104" s="415"/>
      <c r="S104" s="416"/>
      <c r="T104" s="414" t="s">
        <v>55</v>
      </c>
      <c r="U104" s="415"/>
      <c r="V104" s="415"/>
      <c r="W104" s="415"/>
      <c r="X104" s="415"/>
      <c r="Y104" s="415"/>
      <c r="Z104" s="415"/>
      <c r="AA104" s="415"/>
      <c r="AB104" s="415"/>
      <c r="AC104" s="416"/>
    </row>
    <row r="105" spans="1:29" ht="48" customHeight="1" x14ac:dyDescent="0.25">
      <c r="A105" s="413"/>
      <c r="B105" s="127" t="s">
        <v>7</v>
      </c>
      <c r="C105" s="128" t="s">
        <v>87</v>
      </c>
      <c r="D105" s="128" t="s">
        <v>56</v>
      </c>
      <c r="E105" s="128" t="s">
        <v>88</v>
      </c>
      <c r="F105" s="128" t="s">
        <v>89</v>
      </c>
      <c r="G105" s="129" t="s">
        <v>56</v>
      </c>
      <c r="H105" s="128" t="s">
        <v>90</v>
      </c>
      <c r="I105" s="129" t="s">
        <v>57</v>
      </c>
      <c r="J105" s="129" t="s">
        <v>58</v>
      </c>
      <c r="K105" s="413"/>
      <c r="L105" s="413"/>
      <c r="M105" s="126"/>
      <c r="N105" s="414">
        <v>0</v>
      </c>
      <c r="O105" s="415"/>
      <c r="P105" s="416"/>
      <c r="Q105" s="414">
        <v>0</v>
      </c>
      <c r="R105" s="415"/>
      <c r="S105" s="416"/>
      <c r="T105" s="414">
        <v>0</v>
      </c>
      <c r="U105" s="415"/>
      <c r="V105" s="415"/>
      <c r="W105" s="415"/>
      <c r="X105" s="415"/>
      <c r="Y105" s="415"/>
      <c r="Z105" s="415"/>
      <c r="AA105" s="415"/>
      <c r="AB105" s="415"/>
      <c r="AC105" s="416"/>
    </row>
    <row r="106" spans="1:29" ht="38.25" customHeight="1" x14ac:dyDescent="0.25">
      <c r="A106" s="424">
        <v>318191</v>
      </c>
      <c r="B106" s="424">
        <v>10191</v>
      </c>
      <c r="C106" s="424">
        <v>1278</v>
      </c>
      <c r="D106" s="424">
        <v>4059</v>
      </c>
      <c r="E106" s="424">
        <v>0</v>
      </c>
      <c r="F106" s="424">
        <v>6138</v>
      </c>
      <c r="G106" s="424">
        <v>747</v>
      </c>
      <c r="H106" s="424">
        <v>0</v>
      </c>
      <c r="I106" s="424">
        <v>0</v>
      </c>
      <c r="J106" s="424">
        <v>747</v>
      </c>
      <c r="K106" s="424">
        <v>696</v>
      </c>
      <c r="L106" s="424">
        <v>936</v>
      </c>
      <c r="M106" s="126"/>
      <c r="N106" s="414" t="s">
        <v>59</v>
      </c>
      <c r="O106" s="415"/>
      <c r="P106" s="416"/>
      <c r="Q106" s="414" t="s">
        <v>60</v>
      </c>
      <c r="R106" s="415"/>
      <c r="S106" s="416"/>
      <c r="T106" s="391" t="s">
        <v>61</v>
      </c>
      <c r="U106" s="392"/>
      <c r="V106" s="392"/>
      <c r="W106" s="393"/>
      <c r="X106" s="391" t="s">
        <v>62</v>
      </c>
      <c r="Y106" s="392"/>
      <c r="Z106" s="392"/>
      <c r="AA106" s="392"/>
      <c r="AB106" s="392"/>
      <c r="AC106" s="393"/>
    </row>
    <row r="107" spans="1:29" ht="19.5" customHeight="1" x14ac:dyDescent="0.25">
      <c r="A107" s="425"/>
      <c r="B107" s="425"/>
      <c r="C107" s="425"/>
      <c r="D107" s="425"/>
      <c r="E107" s="425"/>
      <c r="F107" s="425"/>
      <c r="G107" s="425"/>
      <c r="H107" s="425"/>
      <c r="I107" s="425"/>
      <c r="J107" s="425"/>
      <c r="K107" s="425"/>
      <c r="L107" s="425"/>
      <c r="M107" s="126"/>
      <c r="N107" s="385">
        <v>0</v>
      </c>
      <c r="O107" s="386"/>
      <c r="P107" s="387"/>
      <c r="Q107" s="385">
        <v>0</v>
      </c>
      <c r="R107" s="386"/>
      <c r="S107" s="387"/>
      <c r="T107" s="385">
        <v>0</v>
      </c>
      <c r="U107" s="386"/>
      <c r="V107" s="386"/>
      <c r="W107" s="387"/>
      <c r="X107" s="130"/>
      <c r="Y107" s="414" t="s">
        <v>0</v>
      </c>
      <c r="Z107" s="416"/>
      <c r="AA107" s="131" t="s">
        <v>1</v>
      </c>
      <c r="AB107" s="414" t="s">
        <v>63</v>
      </c>
      <c r="AC107" s="416"/>
    </row>
    <row r="108" spans="1:29" ht="18" customHeight="1" x14ac:dyDescent="0.25">
      <c r="A108" s="425"/>
      <c r="B108" s="425"/>
      <c r="C108" s="425"/>
      <c r="D108" s="425"/>
      <c r="E108" s="425"/>
      <c r="F108" s="425"/>
      <c r="G108" s="425"/>
      <c r="H108" s="425"/>
      <c r="I108" s="425"/>
      <c r="J108" s="425"/>
      <c r="K108" s="425"/>
      <c r="L108" s="425"/>
      <c r="M108" s="126"/>
      <c r="N108" s="388"/>
      <c r="O108" s="389"/>
      <c r="P108" s="390"/>
      <c r="Q108" s="388"/>
      <c r="R108" s="389"/>
      <c r="S108" s="390"/>
      <c r="T108" s="388"/>
      <c r="U108" s="389"/>
      <c r="V108" s="389"/>
      <c r="W108" s="390"/>
      <c r="X108" s="132" t="s">
        <v>64</v>
      </c>
      <c r="Y108" s="397">
        <v>0</v>
      </c>
      <c r="Z108" s="399"/>
      <c r="AA108" s="112">
        <v>0</v>
      </c>
      <c r="AB108" s="397">
        <v>0</v>
      </c>
      <c r="AC108" s="399"/>
    </row>
    <row r="109" spans="1:29" ht="18" customHeight="1" x14ac:dyDescent="0.25">
      <c r="A109" s="425"/>
      <c r="B109" s="425"/>
      <c r="C109" s="425"/>
      <c r="D109" s="425"/>
      <c r="E109" s="425"/>
      <c r="F109" s="425"/>
      <c r="G109" s="425"/>
      <c r="H109" s="425"/>
      <c r="I109" s="425"/>
      <c r="J109" s="425"/>
      <c r="K109" s="425"/>
      <c r="L109" s="425"/>
      <c r="M109" s="126"/>
      <c r="N109" s="388"/>
      <c r="O109" s="389"/>
      <c r="P109" s="390"/>
      <c r="Q109" s="388"/>
      <c r="R109" s="389"/>
      <c r="S109" s="390"/>
      <c r="T109" s="388"/>
      <c r="U109" s="389"/>
      <c r="V109" s="389"/>
      <c r="W109" s="390"/>
      <c r="X109" s="132" t="s">
        <v>65</v>
      </c>
      <c r="Y109" s="397">
        <v>0</v>
      </c>
      <c r="Z109" s="399"/>
      <c r="AA109" s="112">
        <v>0</v>
      </c>
      <c r="AB109" s="397">
        <v>0</v>
      </c>
      <c r="AC109" s="399"/>
    </row>
    <row r="110" spans="1:29" ht="18" customHeight="1" x14ac:dyDescent="0.25">
      <c r="A110" s="426"/>
      <c r="B110" s="426"/>
      <c r="C110" s="426"/>
      <c r="D110" s="426"/>
      <c r="E110" s="426"/>
      <c r="F110" s="426"/>
      <c r="G110" s="426"/>
      <c r="H110" s="426"/>
      <c r="I110" s="426"/>
      <c r="J110" s="426"/>
      <c r="K110" s="426"/>
      <c r="L110" s="426"/>
      <c r="M110" s="126"/>
      <c r="N110" s="391"/>
      <c r="O110" s="392"/>
      <c r="P110" s="393"/>
      <c r="Q110" s="391"/>
      <c r="R110" s="392"/>
      <c r="S110" s="393"/>
      <c r="T110" s="391"/>
      <c r="U110" s="392"/>
      <c r="V110" s="392"/>
      <c r="W110" s="393"/>
      <c r="X110" s="132" t="s">
        <v>66</v>
      </c>
      <c r="Y110" s="397">
        <v>0</v>
      </c>
      <c r="Z110" s="399"/>
      <c r="AA110" s="112">
        <v>0</v>
      </c>
      <c r="AB110" s="397">
        <v>0</v>
      </c>
      <c r="AC110" s="399"/>
    </row>
    <row r="111" spans="1:29" ht="8.25" customHeight="1" x14ac:dyDescent="0.25">
      <c r="A111" s="133"/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5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  <c r="AB111" s="134"/>
      <c r="AC111" s="110"/>
    </row>
    <row r="112" spans="1:29" ht="18" customHeight="1" x14ac:dyDescent="0.25">
      <c r="A112" s="120" t="s">
        <v>67</v>
      </c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2"/>
      <c r="M112" s="136"/>
      <c r="N112" s="120" t="s">
        <v>68</v>
      </c>
      <c r="O112" s="122"/>
      <c r="P112" s="121"/>
      <c r="Q112" s="137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4"/>
      <c r="AB112" s="124"/>
      <c r="AC112" s="138"/>
    </row>
    <row r="113" spans="1:29" ht="57" customHeight="1" x14ac:dyDescent="0.25">
      <c r="A113" s="404"/>
      <c r="B113" s="405"/>
      <c r="C113" s="405"/>
      <c r="D113" s="405"/>
      <c r="E113" s="405"/>
      <c r="F113" s="406"/>
      <c r="G113" s="397" t="s">
        <v>11</v>
      </c>
      <c r="H113" s="399"/>
      <c r="I113" s="397" t="s">
        <v>12</v>
      </c>
      <c r="J113" s="399"/>
      <c r="K113" s="139" t="s">
        <v>69</v>
      </c>
      <c r="L113" s="140"/>
      <c r="M113" s="141"/>
      <c r="N113" s="421" t="s">
        <v>70</v>
      </c>
      <c r="O113" s="422"/>
      <c r="P113" s="423"/>
      <c r="Q113" s="421" t="s">
        <v>71</v>
      </c>
      <c r="R113" s="422"/>
      <c r="S113" s="423"/>
      <c r="T113" s="421" t="s">
        <v>72</v>
      </c>
      <c r="U113" s="422"/>
      <c r="V113" s="423"/>
      <c r="W113" s="421" t="s">
        <v>73</v>
      </c>
      <c r="X113" s="422"/>
      <c r="Y113" s="422"/>
      <c r="Z113" s="423"/>
      <c r="AA113" s="421" t="s">
        <v>74</v>
      </c>
      <c r="AB113" s="422"/>
      <c r="AC113" s="423"/>
    </row>
    <row r="114" spans="1:29" ht="15" customHeight="1" x14ac:dyDescent="0.25">
      <c r="A114" s="407"/>
      <c r="B114" s="408"/>
      <c r="C114" s="408"/>
      <c r="D114" s="408"/>
      <c r="E114" s="408"/>
      <c r="F114" s="409"/>
      <c r="G114" s="111" t="s">
        <v>75</v>
      </c>
      <c r="H114" s="111" t="s">
        <v>13</v>
      </c>
      <c r="I114" s="111" t="s">
        <v>75</v>
      </c>
      <c r="J114" s="111" t="s">
        <v>13</v>
      </c>
      <c r="K114" s="111" t="s">
        <v>75</v>
      </c>
      <c r="L114" s="111" t="s">
        <v>13</v>
      </c>
      <c r="M114" s="142"/>
      <c r="N114" s="143" t="s">
        <v>0</v>
      </c>
      <c r="O114" s="144" t="s">
        <v>1</v>
      </c>
      <c r="P114" s="144" t="s">
        <v>91</v>
      </c>
      <c r="Q114" s="143" t="s">
        <v>0</v>
      </c>
      <c r="R114" s="144" t="s">
        <v>1</v>
      </c>
      <c r="S114" s="144" t="s">
        <v>91</v>
      </c>
      <c r="T114" s="143" t="s">
        <v>0</v>
      </c>
      <c r="U114" s="144" t="s">
        <v>1</v>
      </c>
      <c r="V114" s="144" t="s">
        <v>91</v>
      </c>
      <c r="W114" s="143"/>
      <c r="X114" s="143" t="s">
        <v>0</v>
      </c>
      <c r="Y114" s="145" t="s">
        <v>1</v>
      </c>
      <c r="Z114" s="146" t="s">
        <v>76</v>
      </c>
      <c r="AA114" s="143" t="s">
        <v>0</v>
      </c>
      <c r="AB114" s="145" t="s">
        <v>1</v>
      </c>
      <c r="AC114" s="146" t="s">
        <v>76</v>
      </c>
    </row>
    <row r="115" spans="1:29" ht="24.9" customHeight="1" x14ac:dyDescent="0.25">
      <c r="A115" s="397" t="s">
        <v>77</v>
      </c>
      <c r="B115" s="398"/>
      <c r="C115" s="398"/>
      <c r="D115" s="398"/>
      <c r="E115" s="398"/>
      <c r="F115" s="399"/>
      <c r="G115" s="112">
        <v>655</v>
      </c>
      <c r="H115" s="112">
        <v>2</v>
      </c>
      <c r="I115" s="112">
        <v>0</v>
      </c>
      <c r="J115" s="112">
        <v>0</v>
      </c>
      <c r="K115" s="112">
        <v>0</v>
      </c>
      <c r="L115" s="112">
        <v>0</v>
      </c>
      <c r="M115" s="142"/>
      <c r="N115" s="429">
        <v>0</v>
      </c>
      <c r="O115" s="429">
        <v>794</v>
      </c>
      <c r="P115" s="429">
        <v>4057</v>
      </c>
      <c r="Q115" s="429">
        <v>0</v>
      </c>
      <c r="R115" s="429">
        <v>678</v>
      </c>
      <c r="S115" s="429">
        <v>3636</v>
      </c>
      <c r="T115" s="429">
        <v>0</v>
      </c>
      <c r="U115" s="429">
        <v>4</v>
      </c>
      <c r="V115" s="429">
        <v>146</v>
      </c>
      <c r="W115" s="147" t="s">
        <v>64</v>
      </c>
      <c r="X115" s="112">
        <v>5</v>
      </c>
      <c r="Y115" s="112">
        <v>0</v>
      </c>
      <c r="Z115" s="112">
        <v>0</v>
      </c>
      <c r="AA115" s="112">
        <v>0</v>
      </c>
      <c r="AB115" s="112">
        <v>0</v>
      </c>
      <c r="AC115" s="112">
        <v>0</v>
      </c>
    </row>
    <row r="116" spans="1:29" ht="24.9" customHeight="1" x14ac:dyDescent="0.25">
      <c r="A116" s="397" t="s">
        <v>8</v>
      </c>
      <c r="B116" s="398"/>
      <c r="C116" s="398"/>
      <c r="D116" s="398"/>
      <c r="E116" s="398"/>
      <c r="F116" s="399"/>
      <c r="G116" s="112">
        <v>0</v>
      </c>
      <c r="H116" s="112">
        <v>0</v>
      </c>
      <c r="I116" s="112">
        <v>0</v>
      </c>
      <c r="J116" s="112">
        <v>0</v>
      </c>
      <c r="K116" s="112">
        <v>0</v>
      </c>
      <c r="L116" s="112">
        <v>0</v>
      </c>
      <c r="M116" s="142"/>
      <c r="N116" s="430"/>
      <c r="O116" s="430"/>
      <c r="P116" s="430"/>
      <c r="Q116" s="430"/>
      <c r="R116" s="430"/>
      <c r="S116" s="430"/>
      <c r="T116" s="430"/>
      <c r="U116" s="430"/>
      <c r="V116" s="430"/>
      <c r="W116" s="147" t="s">
        <v>65</v>
      </c>
      <c r="X116" s="112">
        <v>0</v>
      </c>
      <c r="Y116" s="112">
        <v>5</v>
      </c>
      <c r="Z116" s="112">
        <v>12</v>
      </c>
      <c r="AA116" s="112">
        <v>0</v>
      </c>
      <c r="AB116" s="112">
        <v>0</v>
      </c>
      <c r="AC116" s="112">
        <v>0</v>
      </c>
    </row>
    <row r="117" spans="1:29" ht="24.9" customHeight="1" x14ac:dyDescent="0.25">
      <c r="A117" s="414" t="s">
        <v>78</v>
      </c>
      <c r="B117" s="415"/>
      <c r="C117" s="415"/>
      <c r="D117" s="415"/>
      <c r="E117" s="415"/>
      <c r="F117" s="416"/>
      <c r="G117" s="112">
        <v>0</v>
      </c>
      <c r="H117" s="112">
        <v>0</v>
      </c>
      <c r="I117" s="112">
        <v>0</v>
      </c>
      <c r="J117" s="112">
        <v>0</v>
      </c>
      <c r="K117" s="112">
        <v>0</v>
      </c>
      <c r="L117" s="112">
        <v>0</v>
      </c>
      <c r="M117" s="142"/>
      <c r="N117" s="430"/>
      <c r="O117" s="430"/>
      <c r="P117" s="430"/>
      <c r="Q117" s="430"/>
      <c r="R117" s="430"/>
      <c r="S117" s="430"/>
      <c r="T117" s="430"/>
      <c r="U117" s="430"/>
      <c r="V117" s="430"/>
      <c r="W117" s="427" t="s">
        <v>66</v>
      </c>
      <c r="X117" s="429">
        <v>0</v>
      </c>
      <c r="Y117" s="429">
        <v>0</v>
      </c>
      <c r="Z117" s="429">
        <v>0</v>
      </c>
      <c r="AA117" s="429">
        <v>0</v>
      </c>
      <c r="AB117" s="429">
        <v>0</v>
      </c>
      <c r="AC117" s="429">
        <v>0</v>
      </c>
    </row>
    <row r="118" spans="1:29" ht="24.9" customHeight="1" x14ac:dyDescent="0.25">
      <c r="A118" s="397" t="s">
        <v>7</v>
      </c>
      <c r="B118" s="398"/>
      <c r="C118" s="398"/>
      <c r="D118" s="398"/>
      <c r="E118" s="398"/>
      <c r="F118" s="399"/>
      <c r="G118" s="111">
        <v>655</v>
      </c>
      <c r="H118" s="111">
        <v>2</v>
      </c>
      <c r="I118" s="111">
        <v>0</v>
      </c>
      <c r="J118" s="111">
        <v>0</v>
      </c>
      <c r="K118" s="111">
        <v>0</v>
      </c>
      <c r="L118" s="111">
        <v>0</v>
      </c>
      <c r="M118" s="142"/>
      <c r="N118" s="431"/>
      <c r="O118" s="431"/>
      <c r="P118" s="431"/>
      <c r="Q118" s="431"/>
      <c r="R118" s="431"/>
      <c r="S118" s="431"/>
      <c r="T118" s="431"/>
      <c r="U118" s="431"/>
      <c r="V118" s="431"/>
      <c r="W118" s="428"/>
      <c r="X118" s="432"/>
      <c r="Y118" s="432"/>
      <c r="Z118" s="432"/>
      <c r="AA118" s="432"/>
      <c r="AB118" s="432"/>
      <c r="AC118" s="432"/>
    </row>
    <row r="119" spans="1:29" ht="23.4" x14ac:dyDescent="0.25">
      <c r="A119" s="354" t="s">
        <v>15</v>
      </c>
      <c r="B119" s="354"/>
      <c r="C119" s="354"/>
      <c r="D119" s="354"/>
      <c r="E119" s="354"/>
      <c r="F119" s="354"/>
      <c r="G119" s="354"/>
      <c r="H119" s="354"/>
      <c r="I119" s="354"/>
      <c r="J119" s="354"/>
      <c r="K119" s="354"/>
      <c r="L119" s="354"/>
      <c r="M119" s="354"/>
      <c r="N119" s="354"/>
      <c r="O119" s="354"/>
      <c r="P119" s="354"/>
      <c r="Q119" s="354"/>
      <c r="R119" s="354"/>
      <c r="S119" s="354"/>
      <c r="T119" s="354"/>
      <c r="U119" s="354"/>
      <c r="V119" s="354"/>
      <c r="W119" s="354"/>
      <c r="X119" s="354"/>
      <c r="Y119" s="354"/>
      <c r="Z119" s="354"/>
      <c r="AA119" s="354"/>
      <c r="AB119" s="354"/>
      <c r="AC119" s="354"/>
    </row>
    <row r="120" spans="1:29" ht="23.4" x14ac:dyDescent="0.25">
      <c r="A120" s="354" t="s">
        <v>16</v>
      </c>
      <c r="B120" s="354"/>
      <c r="C120" s="354"/>
      <c r="D120" s="354"/>
      <c r="E120" s="354"/>
      <c r="F120" s="354"/>
      <c r="G120" s="354"/>
      <c r="H120" s="354"/>
      <c r="I120" s="354"/>
      <c r="J120" s="354"/>
      <c r="K120" s="354"/>
      <c r="L120" s="354"/>
      <c r="M120" s="354"/>
      <c r="N120" s="354"/>
      <c r="O120" s="354"/>
      <c r="P120" s="354"/>
      <c r="Q120" s="354"/>
      <c r="R120" s="354"/>
      <c r="S120" s="354"/>
      <c r="T120" s="354"/>
      <c r="U120" s="354"/>
      <c r="V120" s="354"/>
      <c r="W120" s="354"/>
      <c r="X120" s="103"/>
      <c r="Y120" s="355" t="s">
        <v>17</v>
      </c>
      <c r="Z120" s="355"/>
      <c r="AA120" s="103"/>
      <c r="AB120" s="103"/>
      <c r="AC120" s="103"/>
    </row>
    <row r="121" spans="1:29" ht="30.9" customHeight="1" x14ac:dyDescent="0.25">
      <c r="A121" s="356" t="s">
        <v>18</v>
      </c>
      <c r="B121" s="356"/>
      <c r="C121" s="356"/>
      <c r="D121" s="356"/>
      <c r="E121" s="357" t="s">
        <v>102</v>
      </c>
      <c r="F121" s="357"/>
      <c r="G121" s="357"/>
      <c r="H121" s="357"/>
      <c r="I121" s="358" t="s">
        <v>20</v>
      </c>
      <c r="J121" s="358"/>
      <c r="K121" s="359">
        <v>0</v>
      </c>
      <c r="L121" s="359"/>
      <c r="M121" s="358" t="s">
        <v>21</v>
      </c>
      <c r="N121" s="358"/>
      <c r="O121" s="360" t="s">
        <v>103</v>
      </c>
      <c r="P121" s="360"/>
      <c r="Q121" s="360"/>
      <c r="R121" s="360"/>
      <c r="S121" s="104"/>
      <c r="T121" s="361" t="s">
        <v>22</v>
      </c>
      <c r="U121" s="361"/>
      <c r="V121" s="361"/>
      <c r="W121" s="361"/>
      <c r="X121" s="361"/>
      <c r="Y121" s="348" t="s">
        <v>81</v>
      </c>
      <c r="Z121" s="348"/>
      <c r="AA121" s="348"/>
      <c r="AB121" s="349" t="s">
        <v>83</v>
      </c>
      <c r="AC121" s="349"/>
    </row>
    <row r="122" spans="1:29" ht="15" customHeight="1" x14ac:dyDescent="0.25">
      <c r="T122" s="361"/>
      <c r="U122" s="361"/>
      <c r="V122" s="361"/>
      <c r="W122" s="361"/>
      <c r="X122" s="361"/>
      <c r="Y122" s="348"/>
      <c r="Z122" s="348"/>
      <c r="AA122" s="348"/>
      <c r="AB122" s="349"/>
      <c r="AC122" s="349"/>
    </row>
    <row r="123" spans="1:29" ht="15.6" x14ac:dyDescent="0.25">
      <c r="A123" s="350" t="s">
        <v>24</v>
      </c>
      <c r="B123" s="350"/>
      <c r="C123" s="350"/>
      <c r="D123" s="350"/>
      <c r="E123" s="350"/>
      <c r="F123" s="350"/>
      <c r="G123" s="350"/>
      <c r="H123" s="351" t="s">
        <v>25</v>
      </c>
      <c r="I123" s="351"/>
      <c r="J123" s="351"/>
      <c r="K123" s="351"/>
      <c r="L123" s="351"/>
      <c r="M123" s="351"/>
      <c r="N123" s="351"/>
      <c r="O123" s="105"/>
      <c r="P123" s="105"/>
      <c r="T123" s="352" t="s">
        <v>26</v>
      </c>
      <c r="U123" s="352"/>
      <c r="V123" s="352"/>
      <c r="W123" s="352"/>
      <c r="X123" s="352"/>
      <c r="Y123" s="352"/>
      <c r="Z123" s="353" t="s">
        <v>27</v>
      </c>
      <c r="AA123" s="353"/>
      <c r="AB123" s="353"/>
      <c r="AC123" s="353"/>
    </row>
    <row r="124" spans="1:29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</row>
    <row r="125" spans="1:29" ht="15" customHeight="1" x14ac:dyDescent="0.25">
      <c r="A125" s="382" t="s">
        <v>29</v>
      </c>
      <c r="B125" s="383"/>
      <c r="C125" s="383"/>
      <c r="D125" s="383"/>
      <c r="E125" s="383"/>
      <c r="F125" s="383"/>
      <c r="G125" s="383"/>
      <c r="H125" s="383"/>
      <c r="I125" s="383"/>
      <c r="J125" s="384"/>
      <c r="K125" s="362" t="s">
        <v>30</v>
      </c>
      <c r="L125" s="363"/>
      <c r="M125" s="362" t="s">
        <v>31</v>
      </c>
      <c r="N125" s="363"/>
      <c r="O125" s="385" t="s">
        <v>32</v>
      </c>
      <c r="P125" s="386"/>
      <c r="Q125" s="387"/>
      <c r="R125" s="362" t="s">
        <v>33</v>
      </c>
      <c r="S125" s="394"/>
      <c r="T125" s="363"/>
      <c r="U125" s="397" t="s">
        <v>34</v>
      </c>
      <c r="V125" s="398"/>
      <c r="W125" s="398"/>
      <c r="X125" s="398"/>
      <c r="Y125" s="398"/>
      <c r="Z125" s="398"/>
      <c r="AA125" s="399"/>
      <c r="AB125" s="362" t="s">
        <v>7</v>
      </c>
      <c r="AC125" s="363"/>
    </row>
    <row r="126" spans="1:29" ht="23.25" customHeight="1" x14ac:dyDescent="0.25">
      <c r="A126" s="368" t="s">
        <v>35</v>
      </c>
      <c r="B126" s="369"/>
      <c r="C126" s="369"/>
      <c r="D126" s="369"/>
      <c r="E126" s="369"/>
      <c r="F126" s="369"/>
      <c r="G126" s="369"/>
      <c r="H126" s="369"/>
      <c r="I126" s="369"/>
      <c r="J126" s="370"/>
      <c r="K126" s="364"/>
      <c r="L126" s="365"/>
      <c r="M126" s="364"/>
      <c r="N126" s="365"/>
      <c r="O126" s="388"/>
      <c r="P126" s="389"/>
      <c r="Q126" s="390"/>
      <c r="R126" s="364"/>
      <c r="S126" s="395"/>
      <c r="T126" s="365"/>
      <c r="U126" s="374" t="s">
        <v>36</v>
      </c>
      <c r="V126" s="374"/>
      <c r="W126" s="374"/>
      <c r="X126" s="374" t="s">
        <v>37</v>
      </c>
      <c r="Y126" s="374"/>
      <c r="Z126" s="374" t="s">
        <v>38</v>
      </c>
      <c r="AA126" s="374"/>
      <c r="AB126" s="364"/>
      <c r="AC126" s="365"/>
    </row>
    <row r="127" spans="1:29" x14ac:dyDescent="0.25">
      <c r="A127" s="371"/>
      <c r="B127" s="372"/>
      <c r="C127" s="372"/>
      <c r="D127" s="372"/>
      <c r="E127" s="372"/>
      <c r="F127" s="372"/>
      <c r="G127" s="372"/>
      <c r="H127" s="372"/>
      <c r="I127" s="372"/>
      <c r="J127" s="373"/>
      <c r="K127" s="366"/>
      <c r="L127" s="367"/>
      <c r="M127" s="366"/>
      <c r="N127" s="367"/>
      <c r="O127" s="391"/>
      <c r="P127" s="392"/>
      <c r="Q127" s="393"/>
      <c r="R127" s="366"/>
      <c r="S127" s="396"/>
      <c r="T127" s="367"/>
      <c r="U127" s="375"/>
      <c r="V127" s="375"/>
      <c r="W127" s="375"/>
      <c r="X127" s="375"/>
      <c r="Y127" s="375"/>
      <c r="Z127" s="375"/>
      <c r="AA127" s="375"/>
      <c r="AB127" s="366"/>
      <c r="AC127" s="367"/>
    </row>
    <row r="128" spans="1:29" ht="24.9" customHeight="1" x14ac:dyDescent="0.25">
      <c r="A128" s="376" t="s">
        <v>39</v>
      </c>
      <c r="B128" s="377"/>
      <c r="C128" s="377"/>
      <c r="D128" s="377"/>
      <c r="E128" s="377"/>
      <c r="F128" s="377"/>
      <c r="G128" s="377"/>
      <c r="H128" s="377"/>
      <c r="I128" s="377"/>
      <c r="J128" s="378"/>
      <c r="K128" s="379">
        <v>614</v>
      </c>
      <c r="L128" s="380"/>
      <c r="M128" s="379">
        <v>47</v>
      </c>
      <c r="N128" s="380"/>
      <c r="O128" s="379">
        <v>0</v>
      </c>
      <c r="P128" s="381"/>
      <c r="Q128" s="380"/>
      <c r="R128" s="379">
        <v>661</v>
      </c>
      <c r="S128" s="381"/>
      <c r="T128" s="380"/>
      <c r="U128" s="379">
        <v>1</v>
      </c>
      <c r="V128" s="381"/>
      <c r="W128" s="380"/>
      <c r="X128" s="379">
        <v>1</v>
      </c>
      <c r="Y128" s="380"/>
      <c r="Z128" s="379">
        <v>0</v>
      </c>
      <c r="AA128" s="380"/>
      <c r="AB128" s="379">
        <v>663</v>
      </c>
      <c r="AC128" s="380"/>
    </row>
    <row r="129" spans="1:29" ht="24.9" customHeight="1" x14ac:dyDescent="0.25">
      <c r="A129" s="376" t="s">
        <v>40</v>
      </c>
      <c r="B129" s="377"/>
      <c r="C129" s="377"/>
      <c r="D129" s="377"/>
      <c r="E129" s="377"/>
      <c r="F129" s="377"/>
      <c r="G129" s="377"/>
      <c r="H129" s="377"/>
      <c r="I129" s="377"/>
      <c r="J129" s="378"/>
      <c r="K129" s="379">
        <v>345</v>
      </c>
      <c r="L129" s="380"/>
      <c r="M129" s="379">
        <v>8</v>
      </c>
      <c r="N129" s="380"/>
      <c r="O129" s="379">
        <v>0</v>
      </c>
      <c r="P129" s="381"/>
      <c r="Q129" s="380"/>
      <c r="R129" s="379">
        <v>353</v>
      </c>
      <c r="S129" s="381"/>
      <c r="T129" s="380"/>
      <c r="U129" s="379">
        <v>0</v>
      </c>
      <c r="V129" s="381"/>
      <c r="W129" s="380"/>
      <c r="X129" s="379">
        <v>1</v>
      </c>
      <c r="Y129" s="380"/>
      <c r="Z129" s="379">
        <v>1</v>
      </c>
      <c r="AA129" s="380"/>
      <c r="AB129" s="379">
        <v>355</v>
      </c>
      <c r="AC129" s="380"/>
    </row>
    <row r="130" spans="1:29" ht="24.9" customHeight="1" x14ac:dyDescent="0.25">
      <c r="A130" s="376" t="s">
        <v>41</v>
      </c>
      <c r="B130" s="377"/>
      <c r="C130" s="377"/>
      <c r="D130" s="377"/>
      <c r="E130" s="377"/>
      <c r="F130" s="377"/>
      <c r="G130" s="377"/>
      <c r="H130" s="377"/>
      <c r="I130" s="377"/>
      <c r="J130" s="378"/>
      <c r="K130" s="379">
        <v>0</v>
      </c>
      <c r="L130" s="380"/>
      <c r="M130" s="379">
        <v>0</v>
      </c>
      <c r="N130" s="380"/>
      <c r="O130" s="379">
        <v>0</v>
      </c>
      <c r="P130" s="381"/>
      <c r="Q130" s="380"/>
      <c r="R130" s="379">
        <v>0</v>
      </c>
      <c r="S130" s="381"/>
      <c r="T130" s="380"/>
      <c r="U130" s="379">
        <v>0</v>
      </c>
      <c r="V130" s="381"/>
      <c r="W130" s="380"/>
      <c r="X130" s="379">
        <v>0</v>
      </c>
      <c r="Y130" s="380"/>
      <c r="Z130" s="379">
        <v>0</v>
      </c>
      <c r="AA130" s="380"/>
      <c r="AB130" s="379">
        <v>0</v>
      </c>
      <c r="AC130" s="380"/>
    </row>
    <row r="131" spans="1:29" ht="24.9" customHeight="1" x14ac:dyDescent="0.25">
      <c r="A131" s="376" t="s">
        <v>42</v>
      </c>
      <c r="B131" s="377"/>
      <c r="C131" s="377"/>
      <c r="D131" s="377"/>
      <c r="E131" s="377"/>
      <c r="F131" s="377"/>
      <c r="G131" s="377"/>
      <c r="H131" s="377"/>
      <c r="I131" s="377"/>
      <c r="J131" s="378"/>
      <c r="K131" s="379">
        <v>385</v>
      </c>
      <c r="L131" s="380"/>
      <c r="M131" s="379">
        <v>8</v>
      </c>
      <c r="N131" s="380"/>
      <c r="O131" s="379">
        <v>2</v>
      </c>
      <c r="P131" s="381"/>
      <c r="Q131" s="380"/>
      <c r="R131" s="379">
        <v>395</v>
      </c>
      <c r="S131" s="381"/>
      <c r="T131" s="380"/>
      <c r="U131" s="379">
        <v>0</v>
      </c>
      <c r="V131" s="381"/>
      <c r="W131" s="380"/>
      <c r="X131" s="379">
        <v>0</v>
      </c>
      <c r="Y131" s="380"/>
      <c r="Z131" s="379">
        <v>1</v>
      </c>
      <c r="AA131" s="380"/>
      <c r="AB131" s="379">
        <v>396</v>
      </c>
      <c r="AC131" s="380"/>
    </row>
    <row r="132" spans="1:29" ht="24.9" customHeight="1" x14ac:dyDescent="0.25">
      <c r="A132" s="376" t="s">
        <v>7</v>
      </c>
      <c r="B132" s="377"/>
      <c r="C132" s="377"/>
      <c r="D132" s="377"/>
      <c r="E132" s="377"/>
      <c r="F132" s="377"/>
      <c r="G132" s="377"/>
      <c r="H132" s="377"/>
      <c r="I132" s="377"/>
      <c r="J132" s="378"/>
      <c r="K132" s="379">
        <v>1344</v>
      </c>
      <c r="L132" s="380"/>
      <c r="M132" s="379">
        <v>63</v>
      </c>
      <c r="N132" s="380"/>
      <c r="O132" s="379">
        <v>2</v>
      </c>
      <c r="P132" s="381"/>
      <c r="Q132" s="380"/>
      <c r="R132" s="379">
        <v>1409</v>
      </c>
      <c r="S132" s="381"/>
      <c r="T132" s="380"/>
      <c r="U132" s="379">
        <v>1</v>
      </c>
      <c r="V132" s="381"/>
      <c r="W132" s="380"/>
      <c r="X132" s="379">
        <v>2</v>
      </c>
      <c r="Y132" s="380"/>
      <c r="Z132" s="379">
        <v>2</v>
      </c>
      <c r="AA132" s="380"/>
      <c r="AB132" s="379">
        <v>1414</v>
      </c>
      <c r="AC132" s="380"/>
    </row>
    <row r="133" spans="1:29" ht="15.6" x14ac:dyDescent="0.25">
      <c r="A133" s="107" t="s">
        <v>43</v>
      </c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9"/>
      <c r="V133" s="109"/>
      <c r="W133" s="109"/>
      <c r="X133" s="109"/>
      <c r="Y133" s="109"/>
      <c r="Z133" s="109"/>
      <c r="AA133" s="109"/>
      <c r="AB133" s="109"/>
      <c r="AC133" s="110"/>
    </row>
    <row r="134" spans="1:29" ht="21.75" customHeight="1" x14ac:dyDescent="0.25">
      <c r="A134" s="404"/>
      <c r="B134" s="405"/>
      <c r="C134" s="405"/>
      <c r="D134" s="405"/>
      <c r="E134" s="405"/>
      <c r="F134" s="405"/>
      <c r="G134" s="405"/>
      <c r="H134" s="405"/>
      <c r="I134" s="405"/>
      <c r="J134" s="406"/>
      <c r="K134" s="397" t="s">
        <v>0</v>
      </c>
      <c r="L134" s="399"/>
      <c r="M134" s="410" t="s">
        <v>1</v>
      </c>
      <c r="N134" s="411"/>
      <c r="O134" s="400" t="s">
        <v>2</v>
      </c>
      <c r="P134" s="401"/>
      <c r="Q134" s="400" t="s">
        <v>3</v>
      </c>
      <c r="R134" s="401"/>
      <c r="S134" s="400" t="s">
        <v>4</v>
      </c>
      <c r="T134" s="401"/>
      <c r="U134" s="400" t="s">
        <v>5</v>
      </c>
      <c r="V134" s="401"/>
      <c r="W134" s="400" t="s">
        <v>6</v>
      </c>
      <c r="X134" s="401"/>
      <c r="Y134" s="400" t="s">
        <v>44</v>
      </c>
      <c r="Z134" s="401"/>
      <c r="AA134" s="400" t="s">
        <v>7</v>
      </c>
      <c r="AB134" s="401"/>
      <c r="AC134" s="402" t="s">
        <v>86</v>
      </c>
    </row>
    <row r="135" spans="1:29" x14ac:dyDescent="0.25">
      <c r="A135" s="407"/>
      <c r="B135" s="408"/>
      <c r="C135" s="408"/>
      <c r="D135" s="408"/>
      <c r="E135" s="408"/>
      <c r="F135" s="408"/>
      <c r="G135" s="408"/>
      <c r="H135" s="408"/>
      <c r="I135" s="408"/>
      <c r="J135" s="409"/>
      <c r="K135" s="111" t="s">
        <v>9</v>
      </c>
      <c r="L135" s="111" t="s">
        <v>10</v>
      </c>
      <c r="M135" s="111" t="s">
        <v>9</v>
      </c>
      <c r="N135" s="111" t="s">
        <v>10</v>
      </c>
      <c r="O135" s="111" t="s">
        <v>9</v>
      </c>
      <c r="P135" s="111" t="s">
        <v>10</v>
      </c>
      <c r="Q135" s="111" t="s">
        <v>9</v>
      </c>
      <c r="R135" s="111" t="s">
        <v>10</v>
      </c>
      <c r="S135" s="111" t="s">
        <v>9</v>
      </c>
      <c r="T135" s="111" t="s">
        <v>10</v>
      </c>
      <c r="U135" s="111" t="s">
        <v>9</v>
      </c>
      <c r="V135" s="111" t="s">
        <v>10</v>
      </c>
      <c r="W135" s="111" t="s">
        <v>9</v>
      </c>
      <c r="X135" s="111" t="s">
        <v>10</v>
      </c>
      <c r="Y135" s="111" t="s">
        <v>9</v>
      </c>
      <c r="Z135" s="111" t="s">
        <v>10</v>
      </c>
      <c r="AA135" s="111" t="s">
        <v>9</v>
      </c>
      <c r="AB135" s="111" t="s">
        <v>10</v>
      </c>
      <c r="AC135" s="403"/>
    </row>
    <row r="136" spans="1:29" ht="24.9" customHeight="1" x14ac:dyDescent="0.25">
      <c r="A136" s="376" t="s">
        <v>39</v>
      </c>
      <c r="B136" s="377"/>
      <c r="C136" s="377"/>
      <c r="D136" s="377"/>
      <c r="E136" s="377"/>
      <c r="F136" s="377"/>
      <c r="G136" s="377"/>
      <c r="H136" s="377"/>
      <c r="I136" s="377"/>
      <c r="J136" s="378"/>
      <c r="K136" s="112">
        <v>3</v>
      </c>
      <c r="L136" s="112">
        <v>0</v>
      </c>
      <c r="M136" s="112">
        <v>6</v>
      </c>
      <c r="N136" s="112">
        <v>8</v>
      </c>
      <c r="O136" s="112">
        <v>58</v>
      </c>
      <c r="P136" s="112">
        <v>37</v>
      </c>
      <c r="Q136" s="112">
        <v>37</v>
      </c>
      <c r="R136" s="112">
        <v>42</v>
      </c>
      <c r="S136" s="112">
        <v>57</v>
      </c>
      <c r="T136" s="112">
        <v>39</v>
      </c>
      <c r="U136" s="112">
        <v>42</v>
      </c>
      <c r="V136" s="112">
        <v>33</v>
      </c>
      <c r="W136" s="112">
        <v>70</v>
      </c>
      <c r="X136" s="112">
        <v>60</v>
      </c>
      <c r="Y136" s="112">
        <v>97</v>
      </c>
      <c r="Z136" s="112">
        <v>72</v>
      </c>
      <c r="AA136" s="112">
        <v>370</v>
      </c>
      <c r="AB136" s="112">
        <v>291</v>
      </c>
      <c r="AC136" s="112">
        <v>661</v>
      </c>
    </row>
    <row r="137" spans="1:29" ht="24.9" customHeight="1" x14ac:dyDescent="0.25">
      <c r="A137" s="376" t="s">
        <v>40</v>
      </c>
      <c r="B137" s="377"/>
      <c r="C137" s="377"/>
      <c r="D137" s="377"/>
      <c r="E137" s="377"/>
      <c r="F137" s="377"/>
      <c r="G137" s="377"/>
      <c r="H137" s="377"/>
      <c r="I137" s="377"/>
      <c r="J137" s="378"/>
      <c r="K137" s="112">
        <v>3</v>
      </c>
      <c r="L137" s="112">
        <v>2</v>
      </c>
      <c r="M137" s="112">
        <v>6</v>
      </c>
      <c r="N137" s="112">
        <v>8</v>
      </c>
      <c r="O137" s="112">
        <v>25</v>
      </c>
      <c r="P137" s="112">
        <v>20</v>
      </c>
      <c r="Q137" s="112">
        <v>33</v>
      </c>
      <c r="R137" s="112">
        <v>17</v>
      </c>
      <c r="S137" s="112">
        <v>24</v>
      </c>
      <c r="T137" s="112">
        <v>24</v>
      </c>
      <c r="U137" s="112">
        <v>24</v>
      </c>
      <c r="V137" s="112">
        <v>16</v>
      </c>
      <c r="W137" s="112">
        <v>31</v>
      </c>
      <c r="X137" s="112">
        <v>29</v>
      </c>
      <c r="Y137" s="112">
        <v>52</v>
      </c>
      <c r="Z137" s="112">
        <v>39</v>
      </c>
      <c r="AA137" s="112">
        <v>198</v>
      </c>
      <c r="AB137" s="112">
        <v>155</v>
      </c>
      <c r="AC137" s="112">
        <v>353</v>
      </c>
    </row>
    <row r="138" spans="1:29" ht="24.9" customHeight="1" x14ac:dyDescent="0.25">
      <c r="A138" s="376" t="s">
        <v>41</v>
      </c>
      <c r="B138" s="377"/>
      <c r="C138" s="377"/>
      <c r="D138" s="377"/>
      <c r="E138" s="377"/>
      <c r="F138" s="377"/>
      <c r="G138" s="377"/>
      <c r="H138" s="377"/>
      <c r="I138" s="377"/>
      <c r="J138" s="378"/>
      <c r="K138" s="112">
        <v>0</v>
      </c>
      <c r="L138" s="112">
        <v>0</v>
      </c>
      <c r="M138" s="112">
        <v>0</v>
      </c>
      <c r="N138" s="112">
        <v>0</v>
      </c>
      <c r="O138" s="112">
        <v>0</v>
      </c>
      <c r="P138" s="112">
        <v>0</v>
      </c>
      <c r="Q138" s="112">
        <v>0</v>
      </c>
      <c r="R138" s="112">
        <v>0</v>
      </c>
      <c r="S138" s="112">
        <v>0</v>
      </c>
      <c r="T138" s="112">
        <v>0</v>
      </c>
      <c r="U138" s="112">
        <v>0</v>
      </c>
      <c r="V138" s="112">
        <v>0</v>
      </c>
      <c r="W138" s="112">
        <v>0</v>
      </c>
      <c r="X138" s="112">
        <v>0</v>
      </c>
      <c r="Y138" s="112">
        <v>0</v>
      </c>
      <c r="Z138" s="112">
        <v>0</v>
      </c>
      <c r="AA138" s="112">
        <v>0</v>
      </c>
      <c r="AB138" s="112">
        <v>0</v>
      </c>
      <c r="AC138" s="112">
        <v>0</v>
      </c>
    </row>
    <row r="139" spans="1:29" ht="24.9" customHeight="1" x14ac:dyDescent="0.25">
      <c r="A139" s="376" t="s">
        <v>42</v>
      </c>
      <c r="B139" s="377"/>
      <c r="C139" s="377"/>
      <c r="D139" s="377"/>
      <c r="E139" s="377"/>
      <c r="F139" s="377"/>
      <c r="G139" s="377"/>
      <c r="H139" s="377"/>
      <c r="I139" s="377"/>
      <c r="J139" s="378"/>
      <c r="K139" s="112">
        <v>3</v>
      </c>
      <c r="L139" s="112">
        <v>1</v>
      </c>
      <c r="M139" s="112">
        <v>10</v>
      </c>
      <c r="N139" s="112">
        <v>8</v>
      </c>
      <c r="O139" s="112">
        <v>41</v>
      </c>
      <c r="P139" s="112">
        <v>33</v>
      </c>
      <c r="Q139" s="112">
        <v>29</v>
      </c>
      <c r="R139" s="112">
        <v>32</v>
      </c>
      <c r="S139" s="112">
        <v>31</v>
      </c>
      <c r="T139" s="112">
        <v>29</v>
      </c>
      <c r="U139" s="112">
        <v>25</v>
      </c>
      <c r="V139" s="112">
        <v>20</v>
      </c>
      <c r="W139" s="112">
        <v>34</v>
      </c>
      <c r="X139" s="112">
        <v>26</v>
      </c>
      <c r="Y139" s="112">
        <v>40</v>
      </c>
      <c r="Z139" s="112">
        <v>33</v>
      </c>
      <c r="AA139" s="112">
        <v>213</v>
      </c>
      <c r="AB139" s="112">
        <v>182</v>
      </c>
      <c r="AC139" s="112">
        <v>395</v>
      </c>
    </row>
    <row r="140" spans="1:29" ht="24.9" customHeight="1" x14ac:dyDescent="0.25">
      <c r="A140" s="397" t="s">
        <v>7</v>
      </c>
      <c r="B140" s="398"/>
      <c r="C140" s="398"/>
      <c r="D140" s="398"/>
      <c r="E140" s="398"/>
      <c r="F140" s="398"/>
      <c r="G140" s="398"/>
      <c r="H140" s="398"/>
      <c r="I140" s="398"/>
      <c r="J140" s="399"/>
      <c r="K140" s="112">
        <v>9</v>
      </c>
      <c r="L140" s="112">
        <v>3</v>
      </c>
      <c r="M140" s="112">
        <v>22</v>
      </c>
      <c r="N140" s="112">
        <v>24</v>
      </c>
      <c r="O140" s="112">
        <v>124</v>
      </c>
      <c r="P140" s="112">
        <v>90</v>
      </c>
      <c r="Q140" s="112">
        <v>99</v>
      </c>
      <c r="R140" s="112">
        <v>91</v>
      </c>
      <c r="S140" s="112">
        <v>112</v>
      </c>
      <c r="T140" s="112">
        <v>92</v>
      </c>
      <c r="U140" s="112">
        <v>91</v>
      </c>
      <c r="V140" s="112">
        <v>69</v>
      </c>
      <c r="W140" s="112">
        <v>135</v>
      </c>
      <c r="X140" s="112">
        <v>115</v>
      </c>
      <c r="Y140" s="112">
        <v>189</v>
      </c>
      <c r="Z140" s="112">
        <v>144</v>
      </c>
      <c r="AA140" s="112">
        <v>781</v>
      </c>
      <c r="AB140" s="112">
        <v>628</v>
      </c>
      <c r="AC140" s="112">
        <v>1409</v>
      </c>
    </row>
    <row r="141" spans="1:29" ht="6.75" customHeight="1" x14ac:dyDescent="0.25">
      <c r="A141" s="113"/>
      <c r="B141" s="114"/>
      <c r="C141" s="114"/>
      <c r="D141" s="114"/>
      <c r="E141" s="114"/>
      <c r="F141" s="115"/>
      <c r="G141" s="116"/>
      <c r="H141" s="116"/>
      <c r="I141" s="116"/>
      <c r="J141" s="116"/>
      <c r="K141" s="116"/>
      <c r="L141" s="116"/>
      <c r="M141" s="117"/>
      <c r="N141" s="116"/>
      <c r="O141" s="417"/>
      <c r="P141" s="418"/>
      <c r="Q141" s="118"/>
      <c r="R141" s="116"/>
      <c r="S141" s="116"/>
      <c r="T141" s="116"/>
      <c r="U141" s="116"/>
      <c r="V141" s="116"/>
      <c r="W141" s="116"/>
      <c r="X141" s="116"/>
      <c r="Y141" s="116"/>
      <c r="Z141" s="116"/>
      <c r="AA141" s="116"/>
      <c r="AB141" s="116"/>
      <c r="AC141" s="119"/>
    </row>
    <row r="142" spans="1:29" ht="18" customHeight="1" x14ac:dyDescent="0.25">
      <c r="A142" s="120" t="s">
        <v>45</v>
      </c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2"/>
      <c r="M142" s="123"/>
      <c r="N142" s="120" t="s">
        <v>46</v>
      </c>
      <c r="O142" s="121"/>
      <c r="P142" s="121"/>
      <c r="Q142" s="121"/>
      <c r="R142" s="121"/>
      <c r="S142" s="124"/>
      <c r="T142" s="124"/>
      <c r="U142" s="124"/>
      <c r="V142" s="124"/>
      <c r="W142" s="124"/>
      <c r="X142" s="124"/>
      <c r="Y142" s="124"/>
      <c r="Z142" s="124"/>
      <c r="AA142" s="124"/>
      <c r="AB142" s="124"/>
      <c r="AC142" s="125"/>
    </row>
    <row r="143" spans="1:29" ht="42.75" customHeight="1" x14ac:dyDescent="0.25">
      <c r="A143" s="412" t="s">
        <v>47</v>
      </c>
      <c r="B143" s="419" t="s">
        <v>48</v>
      </c>
      <c r="C143" s="420"/>
      <c r="D143" s="421" t="s">
        <v>49</v>
      </c>
      <c r="E143" s="422"/>
      <c r="F143" s="423"/>
      <c r="G143" s="421" t="s">
        <v>50</v>
      </c>
      <c r="H143" s="422"/>
      <c r="I143" s="422"/>
      <c r="J143" s="423"/>
      <c r="K143" s="412" t="s">
        <v>51</v>
      </c>
      <c r="L143" s="412" t="s">
        <v>52</v>
      </c>
      <c r="M143" s="126"/>
      <c r="N143" s="414" t="s">
        <v>53</v>
      </c>
      <c r="O143" s="415"/>
      <c r="P143" s="416"/>
      <c r="Q143" s="414" t="s">
        <v>54</v>
      </c>
      <c r="R143" s="415"/>
      <c r="S143" s="416"/>
      <c r="T143" s="414" t="s">
        <v>55</v>
      </c>
      <c r="U143" s="415"/>
      <c r="V143" s="415"/>
      <c r="W143" s="415"/>
      <c r="X143" s="415"/>
      <c r="Y143" s="415"/>
      <c r="Z143" s="415"/>
      <c r="AA143" s="415"/>
      <c r="AB143" s="415"/>
      <c r="AC143" s="416"/>
    </row>
    <row r="144" spans="1:29" ht="48" customHeight="1" x14ac:dyDescent="0.25">
      <c r="A144" s="413"/>
      <c r="B144" s="127" t="s">
        <v>7</v>
      </c>
      <c r="C144" s="128" t="s">
        <v>87</v>
      </c>
      <c r="D144" s="128" t="s">
        <v>56</v>
      </c>
      <c r="E144" s="128" t="s">
        <v>88</v>
      </c>
      <c r="F144" s="128" t="s">
        <v>89</v>
      </c>
      <c r="G144" s="129" t="s">
        <v>56</v>
      </c>
      <c r="H144" s="128" t="s">
        <v>90</v>
      </c>
      <c r="I144" s="129" t="s">
        <v>57</v>
      </c>
      <c r="J144" s="129" t="s">
        <v>58</v>
      </c>
      <c r="K144" s="413"/>
      <c r="L144" s="413"/>
      <c r="M144" s="126"/>
      <c r="N144" s="414">
        <v>0</v>
      </c>
      <c r="O144" s="415"/>
      <c r="P144" s="416"/>
      <c r="Q144" s="414">
        <v>0</v>
      </c>
      <c r="R144" s="415"/>
      <c r="S144" s="416"/>
      <c r="T144" s="414">
        <v>0</v>
      </c>
      <c r="U144" s="415"/>
      <c r="V144" s="415"/>
      <c r="W144" s="415"/>
      <c r="X144" s="415"/>
      <c r="Y144" s="415"/>
      <c r="Z144" s="415"/>
      <c r="AA144" s="415"/>
      <c r="AB144" s="415"/>
      <c r="AC144" s="416"/>
    </row>
    <row r="145" spans="1:29" ht="38.25" customHeight="1" x14ac:dyDescent="0.25">
      <c r="A145" s="424">
        <v>317548</v>
      </c>
      <c r="B145" s="424">
        <v>10234</v>
      </c>
      <c r="C145" s="424">
        <v>948</v>
      </c>
      <c r="D145" s="424">
        <v>3817</v>
      </c>
      <c r="E145" s="424">
        <v>0</v>
      </c>
      <c r="F145" s="424">
        <v>6167</v>
      </c>
      <c r="G145" s="424">
        <v>721</v>
      </c>
      <c r="H145" s="424">
        <v>0</v>
      </c>
      <c r="I145" s="424">
        <v>0</v>
      </c>
      <c r="J145" s="424">
        <v>721</v>
      </c>
      <c r="K145" s="424">
        <v>657</v>
      </c>
      <c r="L145" s="424">
        <v>862</v>
      </c>
      <c r="M145" s="126"/>
      <c r="N145" s="414" t="s">
        <v>59</v>
      </c>
      <c r="O145" s="415"/>
      <c r="P145" s="416"/>
      <c r="Q145" s="414" t="s">
        <v>60</v>
      </c>
      <c r="R145" s="415"/>
      <c r="S145" s="416"/>
      <c r="T145" s="391" t="s">
        <v>61</v>
      </c>
      <c r="U145" s="392"/>
      <c r="V145" s="392"/>
      <c r="W145" s="393"/>
      <c r="X145" s="391" t="s">
        <v>62</v>
      </c>
      <c r="Y145" s="392"/>
      <c r="Z145" s="392"/>
      <c r="AA145" s="392"/>
      <c r="AB145" s="392"/>
      <c r="AC145" s="393"/>
    </row>
    <row r="146" spans="1:29" ht="19.5" customHeight="1" x14ac:dyDescent="0.25">
      <c r="A146" s="425"/>
      <c r="B146" s="425"/>
      <c r="C146" s="425"/>
      <c r="D146" s="425"/>
      <c r="E146" s="425"/>
      <c r="F146" s="425"/>
      <c r="G146" s="425"/>
      <c r="H146" s="425"/>
      <c r="I146" s="425"/>
      <c r="J146" s="425"/>
      <c r="K146" s="425"/>
      <c r="L146" s="425"/>
      <c r="M146" s="126"/>
      <c r="N146" s="385">
        <v>0</v>
      </c>
      <c r="O146" s="386"/>
      <c r="P146" s="387"/>
      <c r="Q146" s="385">
        <v>0</v>
      </c>
      <c r="R146" s="386"/>
      <c r="S146" s="387"/>
      <c r="T146" s="385">
        <v>0</v>
      </c>
      <c r="U146" s="386"/>
      <c r="V146" s="386"/>
      <c r="W146" s="387"/>
      <c r="X146" s="130"/>
      <c r="Y146" s="414" t="s">
        <v>0</v>
      </c>
      <c r="Z146" s="416"/>
      <c r="AA146" s="131" t="s">
        <v>1</v>
      </c>
      <c r="AB146" s="414" t="s">
        <v>63</v>
      </c>
      <c r="AC146" s="416"/>
    </row>
    <row r="147" spans="1:29" ht="18" customHeight="1" x14ac:dyDescent="0.25">
      <c r="A147" s="425"/>
      <c r="B147" s="425"/>
      <c r="C147" s="425"/>
      <c r="D147" s="425"/>
      <c r="E147" s="425"/>
      <c r="F147" s="425"/>
      <c r="G147" s="425"/>
      <c r="H147" s="425"/>
      <c r="I147" s="425"/>
      <c r="J147" s="425"/>
      <c r="K147" s="425"/>
      <c r="L147" s="425"/>
      <c r="M147" s="126"/>
      <c r="N147" s="388"/>
      <c r="O147" s="389"/>
      <c r="P147" s="390"/>
      <c r="Q147" s="388"/>
      <c r="R147" s="389"/>
      <c r="S147" s="390"/>
      <c r="T147" s="388"/>
      <c r="U147" s="389"/>
      <c r="V147" s="389"/>
      <c r="W147" s="390"/>
      <c r="X147" s="132" t="s">
        <v>64</v>
      </c>
      <c r="Y147" s="397">
        <v>0</v>
      </c>
      <c r="Z147" s="399"/>
      <c r="AA147" s="112">
        <v>0</v>
      </c>
      <c r="AB147" s="397">
        <v>0</v>
      </c>
      <c r="AC147" s="399"/>
    </row>
    <row r="148" spans="1:29" ht="18" customHeight="1" x14ac:dyDescent="0.25">
      <c r="A148" s="425"/>
      <c r="B148" s="425"/>
      <c r="C148" s="425"/>
      <c r="D148" s="425"/>
      <c r="E148" s="425"/>
      <c r="F148" s="425"/>
      <c r="G148" s="425"/>
      <c r="H148" s="425"/>
      <c r="I148" s="425"/>
      <c r="J148" s="425"/>
      <c r="K148" s="425"/>
      <c r="L148" s="425"/>
      <c r="M148" s="126"/>
      <c r="N148" s="388"/>
      <c r="O148" s="389"/>
      <c r="P148" s="390"/>
      <c r="Q148" s="388"/>
      <c r="R148" s="389"/>
      <c r="S148" s="390"/>
      <c r="T148" s="388"/>
      <c r="U148" s="389"/>
      <c r="V148" s="389"/>
      <c r="W148" s="390"/>
      <c r="X148" s="132" t="s">
        <v>65</v>
      </c>
      <c r="Y148" s="397">
        <v>0</v>
      </c>
      <c r="Z148" s="399"/>
      <c r="AA148" s="112">
        <v>0</v>
      </c>
      <c r="AB148" s="397">
        <v>0</v>
      </c>
      <c r="AC148" s="399"/>
    </row>
    <row r="149" spans="1:29" ht="18" customHeight="1" x14ac:dyDescent="0.25">
      <c r="A149" s="426"/>
      <c r="B149" s="426"/>
      <c r="C149" s="426"/>
      <c r="D149" s="426"/>
      <c r="E149" s="426"/>
      <c r="F149" s="426"/>
      <c r="G149" s="426"/>
      <c r="H149" s="426"/>
      <c r="I149" s="426"/>
      <c r="J149" s="426"/>
      <c r="K149" s="426"/>
      <c r="L149" s="426"/>
      <c r="M149" s="126"/>
      <c r="N149" s="391"/>
      <c r="O149" s="392"/>
      <c r="P149" s="393"/>
      <c r="Q149" s="391"/>
      <c r="R149" s="392"/>
      <c r="S149" s="393"/>
      <c r="T149" s="391"/>
      <c r="U149" s="392"/>
      <c r="V149" s="392"/>
      <c r="W149" s="393"/>
      <c r="X149" s="132" t="s">
        <v>66</v>
      </c>
      <c r="Y149" s="397">
        <v>0</v>
      </c>
      <c r="Z149" s="399"/>
      <c r="AA149" s="112">
        <v>0</v>
      </c>
      <c r="AB149" s="397">
        <v>0</v>
      </c>
      <c r="AC149" s="399"/>
    </row>
    <row r="150" spans="1:29" ht="8.25" customHeight="1" x14ac:dyDescent="0.25">
      <c r="A150" s="133"/>
      <c r="B150" s="134"/>
      <c r="C150" s="134"/>
      <c r="D150" s="134"/>
      <c r="E150" s="134"/>
      <c r="F150" s="134"/>
      <c r="G150" s="134"/>
      <c r="H150" s="134"/>
      <c r="I150" s="134"/>
      <c r="J150" s="134"/>
      <c r="K150" s="134"/>
      <c r="L150" s="134"/>
      <c r="M150" s="135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  <c r="AA150" s="134"/>
      <c r="AB150" s="134"/>
      <c r="AC150" s="110"/>
    </row>
    <row r="151" spans="1:29" ht="18" customHeight="1" x14ac:dyDescent="0.25">
      <c r="A151" s="120" t="s">
        <v>67</v>
      </c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2"/>
      <c r="M151" s="136"/>
      <c r="N151" s="120" t="s">
        <v>68</v>
      </c>
      <c r="O151" s="122"/>
      <c r="P151" s="121"/>
      <c r="Q151" s="137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4"/>
      <c r="AB151" s="124"/>
      <c r="AC151" s="138"/>
    </row>
    <row r="152" spans="1:29" ht="57" customHeight="1" x14ac:dyDescent="0.25">
      <c r="A152" s="404"/>
      <c r="B152" s="405"/>
      <c r="C152" s="405"/>
      <c r="D152" s="405"/>
      <c r="E152" s="405"/>
      <c r="F152" s="406"/>
      <c r="G152" s="397" t="s">
        <v>11</v>
      </c>
      <c r="H152" s="399"/>
      <c r="I152" s="397" t="s">
        <v>12</v>
      </c>
      <c r="J152" s="399"/>
      <c r="K152" s="139" t="s">
        <v>69</v>
      </c>
      <c r="L152" s="140"/>
      <c r="M152" s="141"/>
      <c r="N152" s="421" t="s">
        <v>70</v>
      </c>
      <c r="O152" s="422"/>
      <c r="P152" s="423"/>
      <c r="Q152" s="421" t="s">
        <v>71</v>
      </c>
      <c r="R152" s="422"/>
      <c r="S152" s="423"/>
      <c r="T152" s="421" t="s">
        <v>72</v>
      </c>
      <c r="U152" s="422"/>
      <c r="V152" s="423"/>
      <c r="W152" s="421" t="s">
        <v>73</v>
      </c>
      <c r="X152" s="422"/>
      <c r="Y152" s="422"/>
      <c r="Z152" s="423"/>
      <c r="AA152" s="421" t="s">
        <v>74</v>
      </c>
      <c r="AB152" s="422"/>
      <c r="AC152" s="423"/>
    </row>
    <row r="153" spans="1:29" ht="13.5" customHeight="1" x14ac:dyDescent="0.25">
      <c r="A153" s="407"/>
      <c r="B153" s="408"/>
      <c r="C153" s="408"/>
      <c r="D153" s="408"/>
      <c r="E153" s="408"/>
      <c r="F153" s="409"/>
      <c r="G153" s="111" t="s">
        <v>75</v>
      </c>
      <c r="H153" s="111" t="s">
        <v>13</v>
      </c>
      <c r="I153" s="111" t="s">
        <v>75</v>
      </c>
      <c r="J153" s="111" t="s">
        <v>13</v>
      </c>
      <c r="K153" s="111" t="s">
        <v>75</v>
      </c>
      <c r="L153" s="111" t="s">
        <v>13</v>
      </c>
      <c r="M153" s="142"/>
      <c r="N153" s="143" t="s">
        <v>0</v>
      </c>
      <c r="O153" s="144" t="s">
        <v>1</v>
      </c>
      <c r="P153" s="144" t="s">
        <v>91</v>
      </c>
      <c r="Q153" s="143" t="s">
        <v>0</v>
      </c>
      <c r="R153" s="144" t="s">
        <v>1</v>
      </c>
      <c r="S153" s="144" t="s">
        <v>91</v>
      </c>
      <c r="T153" s="143" t="s">
        <v>0</v>
      </c>
      <c r="U153" s="144" t="s">
        <v>1</v>
      </c>
      <c r="V153" s="144" t="s">
        <v>91</v>
      </c>
      <c r="W153" s="143"/>
      <c r="X153" s="143" t="s">
        <v>0</v>
      </c>
      <c r="Y153" s="145" t="s">
        <v>1</v>
      </c>
      <c r="Z153" s="146" t="s">
        <v>76</v>
      </c>
      <c r="AA153" s="143" t="s">
        <v>0</v>
      </c>
      <c r="AB153" s="145" t="s">
        <v>1</v>
      </c>
      <c r="AC153" s="146" t="s">
        <v>76</v>
      </c>
    </row>
    <row r="154" spans="1:29" ht="24.9" customHeight="1" x14ac:dyDescent="0.25">
      <c r="A154" s="397" t="s">
        <v>77</v>
      </c>
      <c r="B154" s="398"/>
      <c r="C154" s="398"/>
      <c r="D154" s="398"/>
      <c r="E154" s="398"/>
      <c r="F154" s="399"/>
      <c r="G154" s="112">
        <v>617</v>
      </c>
      <c r="H154" s="112">
        <v>1</v>
      </c>
      <c r="I154" s="112">
        <v>0</v>
      </c>
      <c r="J154" s="112">
        <v>0</v>
      </c>
      <c r="K154" s="112">
        <v>0</v>
      </c>
      <c r="L154" s="112">
        <v>0</v>
      </c>
      <c r="M154" s="142"/>
      <c r="N154" s="429">
        <v>0</v>
      </c>
      <c r="O154" s="429">
        <v>744</v>
      </c>
      <c r="P154" s="429">
        <v>3726</v>
      </c>
      <c r="Q154" s="429">
        <v>0</v>
      </c>
      <c r="R154" s="429">
        <v>501</v>
      </c>
      <c r="S154" s="429">
        <v>3303</v>
      </c>
      <c r="T154" s="429">
        <v>0</v>
      </c>
      <c r="U154" s="429">
        <v>9</v>
      </c>
      <c r="V154" s="429">
        <v>112</v>
      </c>
      <c r="W154" s="147" t="s">
        <v>64</v>
      </c>
      <c r="X154" s="112">
        <v>7</v>
      </c>
      <c r="Y154" s="112">
        <v>64</v>
      </c>
      <c r="Z154" s="112">
        <v>0</v>
      </c>
      <c r="AA154" s="112">
        <v>0</v>
      </c>
      <c r="AB154" s="112">
        <v>0</v>
      </c>
      <c r="AC154" s="112">
        <v>0</v>
      </c>
    </row>
    <row r="155" spans="1:29" ht="24.9" customHeight="1" x14ac:dyDescent="0.25">
      <c r="A155" s="397" t="s">
        <v>8</v>
      </c>
      <c r="B155" s="398"/>
      <c r="C155" s="398"/>
      <c r="D155" s="398"/>
      <c r="E155" s="398"/>
      <c r="F155" s="399"/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142"/>
      <c r="N155" s="430"/>
      <c r="O155" s="430"/>
      <c r="P155" s="430"/>
      <c r="Q155" s="430"/>
      <c r="R155" s="430"/>
      <c r="S155" s="430"/>
      <c r="T155" s="430"/>
      <c r="U155" s="430"/>
      <c r="V155" s="430"/>
      <c r="W155" s="147" t="s">
        <v>65</v>
      </c>
      <c r="X155" s="112">
        <v>0</v>
      </c>
      <c r="Y155" s="112">
        <v>0</v>
      </c>
      <c r="Z155" s="112">
        <v>0</v>
      </c>
      <c r="AA155" s="112">
        <v>0</v>
      </c>
      <c r="AB155" s="112">
        <v>0</v>
      </c>
      <c r="AC155" s="112">
        <v>0</v>
      </c>
    </row>
    <row r="156" spans="1:29" ht="24.9" customHeight="1" x14ac:dyDescent="0.25">
      <c r="A156" s="414" t="s">
        <v>78</v>
      </c>
      <c r="B156" s="415"/>
      <c r="C156" s="415"/>
      <c r="D156" s="415"/>
      <c r="E156" s="415"/>
      <c r="F156" s="416"/>
      <c r="G156" s="112">
        <v>1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42"/>
      <c r="N156" s="430"/>
      <c r="O156" s="430"/>
      <c r="P156" s="430"/>
      <c r="Q156" s="430"/>
      <c r="R156" s="430"/>
      <c r="S156" s="430"/>
      <c r="T156" s="430"/>
      <c r="U156" s="430"/>
      <c r="V156" s="430"/>
      <c r="W156" s="427" t="s">
        <v>66</v>
      </c>
      <c r="X156" s="429">
        <v>8</v>
      </c>
      <c r="Y156" s="429">
        <v>16</v>
      </c>
      <c r="Z156" s="429">
        <v>0</v>
      </c>
      <c r="AA156" s="429">
        <v>0</v>
      </c>
      <c r="AB156" s="429">
        <v>0</v>
      </c>
      <c r="AC156" s="429">
        <v>0</v>
      </c>
    </row>
    <row r="157" spans="1:29" ht="24.9" customHeight="1" x14ac:dyDescent="0.25">
      <c r="A157" s="397" t="s">
        <v>7</v>
      </c>
      <c r="B157" s="398"/>
      <c r="C157" s="398"/>
      <c r="D157" s="398"/>
      <c r="E157" s="398"/>
      <c r="F157" s="399"/>
      <c r="G157" s="111">
        <v>618</v>
      </c>
      <c r="H157" s="111">
        <v>1</v>
      </c>
      <c r="I157" s="111">
        <v>0</v>
      </c>
      <c r="J157" s="111">
        <v>0</v>
      </c>
      <c r="K157" s="111">
        <v>0</v>
      </c>
      <c r="L157" s="111">
        <v>0</v>
      </c>
      <c r="M157" s="142"/>
      <c r="N157" s="431"/>
      <c r="O157" s="431"/>
      <c r="P157" s="431"/>
      <c r="Q157" s="431"/>
      <c r="R157" s="431"/>
      <c r="S157" s="431"/>
      <c r="T157" s="431"/>
      <c r="U157" s="431"/>
      <c r="V157" s="431"/>
      <c r="W157" s="428"/>
      <c r="X157" s="432"/>
      <c r="Y157" s="432"/>
      <c r="Z157" s="432"/>
      <c r="AA157" s="432"/>
      <c r="AB157" s="432"/>
      <c r="AC157" s="432"/>
    </row>
    <row r="158" spans="1:29" ht="23.4" x14ac:dyDescent="0.25">
      <c r="A158" s="354" t="s">
        <v>15</v>
      </c>
      <c r="B158" s="354"/>
      <c r="C158" s="354"/>
      <c r="D158" s="354"/>
      <c r="E158" s="354"/>
      <c r="F158" s="354"/>
      <c r="G158" s="354"/>
      <c r="H158" s="354"/>
      <c r="I158" s="354"/>
      <c r="J158" s="354"/>
      <c r="K158" s="354"/>
      <c r="L158" s="354"/>
      <c r="M158" s="354"/>
      <c r="N158" s="354"/>
      <c r="O158" s="354"/>
      <c r="P158" s="354"/>
      <c r="Q158" s="354"/>
      <c r="R158" s="354"/>
      <c r="S158" s="354"/>
      <c r="T158" s="354"/>
      <c r="U158" s="354"/>
      <c r="V158" s="354"/>
      <c r="W158" s="354"/>
      <c r="X158" s="354"/>
      <c r="Y158" s="354"/>
      <c r="Z158" s="354"/>
      <c r="AA158" s="354"/>
      <c r="AB158" s="354"/>
      <c r="AC158" s="354"/>
    </row>
    <row r="159" spans="1:29" ht="23.4" x14ac:dyDescent="0.25">
      <c r="A159" s="354" t="s">
        <v>16</v>
      </c>
      <c r="B159" s="354"/>
      <c r="C159" s="354"/>
      <c r="D159" s="354"/>
      <c r="E159" s="354"/>
      <c r="F159" s="354"/>
      <c r="G159" s="354"/>
      <c r="H159" s="354"/>
      <c r="I159" s="354"/>
      <c r="J159" s="354"/>
      <c r="K159" s="354"/>
      <c r="L159" s="354"/>
      <c r="M159" s="354"/>
      <c r="N159" s="354"/>
      <c r="O159" s="354"/>
      <c r="P159" s="354"/>
      <c r="Q159" s="354"/>
      <c r="R159" s="354"/>
      <c r="S159" s="354"/>
      <c r="T159" s="354"/>
      <c r="U159" s="354"/>
      <c r="V159" s="354"/>
      <c r="W159" s="354"/>
      <c r="X159" s="103"/>
      <c r="Y159" s="355" t="s">
        <v>17</v>
      </c>
      <c r="Z159" s="355"/>
      <c r="AA159" s="103"/>
      <c r="AB159" s="103"/>
      <c r="AC159" s="103"/>
    </row>
    <row r="160" spans="1:29" ht="30.9" customHeight="1" x14ac:dyDescent="0.25">
      <c r="A160" s="356" t="s">
        <v>18</v>
      </c>
      <c r="B160" s="356"/>
      <c r="C160" s="356"/>
      <c r="D160" s="356"/>
      <c r="E160" s="357" t="s">
        <v>102</v>
      </c>
      <c r="F160" s="357"/>
      <c r="G160" s="357"/>
      <c r="H160" s="357"/>
      <c r="I160" s="358" t="s">
        <v>20</v>
      </c>
      <c r="J160" s="358"/>
      <c r="K160" s="359">
        <v>0</v>
      </c>
      <c r="L160" s="359"/>
      <c r="M160" s="358" t="s">
        <v>21</v>
      </c>
      <c r="N160" s="358"/>
      <c r="O160" s="360" t="s">
        <v>103</v>
      </c>
      <c r="P160" s="360"/>
      <c r="Q160" s="360"/>
      <c r="R160" s="360"/>
      <c r="S160" s="104"/>
      <c r="T160" s="361" t="s">
        <v>22</v>
      </c>
      <c r="U160" s="361"/>
      <c r="V160" s="361"/>
      <c r="W160" s="361"/>
      <c r="X160" s="361"/>
      <c r="Y160" s="348" t="s">
        <v>14</v>
      </c>
      <c r="Z160" s="348"/>
      <c r="AA160" s="348"/>
      <c r="AB160" s="349" t="s">
        <v>83</v>
      </c>
      <c r="AC160" s="349"/>
    </row>
    <row r="161" spans="1:29" ht="15" customHeight="1" x14ac:dyDescent="0.25">
      <c r="T161" s="361"/>
      <c r="U161" s="361"/>
      <c r="V161" s="361"/>
      <c r="W161" s="361"/>
      <c r="X161" s="361"/>
      <c r="Y161" s="348"/>
      <c r="Z161" s="348"/>
      <c r="AA161" s="348"/>
      <c r="AB161" s="349"/>
      <c r="AC161" s="349"/>
    </row>
    <row r="162" spans="1:29" ht="15.6" x14ac:dyDescent="0.25">
      <c r="A162" s="350" t="s">
        <v>24</v>
      </c>
      <c r="B162" s="350"/>
      <c r="C162" s="350"/>
      <c r="D162" s="350"/>
      <c r="E162" s="350"/>
      <c r="F162" s="350"/>
      <c r="G162" s="350"/>
      <c r="H162" s="351" t="s">
        <v>25</v>
      </c>
      <c r="I162" s="351"/>
      <c r="J162" s="351"/>
      <c r="K162" s="351"/>
      <c r="L162" s="351"/>
      <c r="M162" s="351"/>
      <c r="N162" s="351"/>
      <c r="O162" s="105"/>
      <c r="P162" s="105"/>
      <c r="T162" s="352" t="s">
        <v>26</v>
      </c>
      <c r="U162" s="352"/>
      <c r="V162" s="352"/>
      <c r="W162" s="352"/>
      <c r="X162" s="352"/>
      <c r="Y162" s="352"/>
      <c r="Z162" s="353" t="s">
        <v>27</v>
      </c>
      <c r="AA162" s="353"/>
      <c r="AB162" s="353"/>
      <c r="AC162" s="353"/>
    </row>
    <row r="163" spans="1:29" x14ac:dyDescent="0.25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</row>
    <row r="164" spans="1:29" ht="15" customHeight="1" x14ac:dyDescent="0.25">
      <c r="A164" s="382" t="s">
        <v>29</v>
      </c>
      <c r="B164" s="383"/>
      <c r="C164" s="383"/>
      <c r="D164" s="383"/>
      <c r="E164" s="383"/>
      <c r="F164" s="383"/>
      <c r="G164" s="383"/>
      <c r="H164" s="383"/>
      <c r="I164" s="383"/>
      <c r="J164" s="384"/>
      <c r="K164" s="362" t="s">
        <v>30</v>
      </c>
      <c r="L164" s="363"/>
      <c r="M164" s="362" t="s">
        <v>31</v>
      </c>
      <c r="N164" s="363"/>
      <c r="O164" s="385" t="s">
        <v>32</v>
      </c>
      <c r="P164" s="386"/>
      <c r="Q164" s="387"/>
      <c r="R164" s="362" t="s">
        <v>33</v>
      </c>
      <c r="S164" s="394"/>
      <c r="T164" s="363"/>
      <c r="U164" s="397" t="s">
        <v>34</v>
      </c>
      <c r="V164" s="398"/>
      <c r="W164" s="398"/>
      <c r="X164" s="398"/>
      <c r="Y164" s="398"/>
      <c r="Z164" s="398"/>
      <c r="AA164" s="399"/>
      <c r="AB164" s="362" t="s">
        <v>7</v>
      </c>
      <c r="AC164" s="363"/>
    </row>
    <row r="165" spans="1:29" ht="23.25" customHeight="1" x14ac:dyDescent="0.25">
      <c r="A165" s="368" t="s">
        <v>35</v>
      </c>
      <c r="B165" s="369"/>
      <c r="C165" s="369"/>
      <c r="D165" s="369"/>
      <c r="E165" s="369"/>
      <c r="F165" s="369"/>
      <c r="G165" s="369"/>
      <c r="H165" s="369"/>
      <c r="I165" s="369"/>
      <c r="J165" s="370"/>
      <c r="K165" s="364"/>
      <c r="L165" s="365"/>
      <c r="M165" s="364"/>
      <c r="N165" s="365"/>
      <c r="O165" s="388"/>
      <c r="P165" s="389"/>
      <c r="Q165" s="390"/>
      <c r="R165" s="364"/>
      <c r="S165" s="395"/>
      <c r="T165" s="365"/>
      <c r="U165" s="374" t="s">
        <v>36</v>
      </c>
      <c r="V165" s="374"/>
      <c r="W165" s="374"/>
      <c r="X165" s="374" t="s">
        <v>37</v>
      </c>
      <c r="Y165" s="374"/>
      <c r="Z165" s="374" t="s">
        <v>38</v>
      </c>
      <c r="AA165" s="374"/>
      <c r="AB165" s="364"/>
      <c r="AC165" s="365"/>
    </row>
    <row r="166" spans="1:29" x14ac:dyDescent="0.25">
      <c r="A166" s="371"/>
      <c r="B166" s="372"/>
      <c r="C166" s="372"/>
      <c r="D166" s="372"/>
      <c r="E166" s="372"/>
      <c r="F166" s="372"/>
      <c r="G166" s="372"/>
      <c r="H166" s="372"/>
      <c r="I166" s="372"/>
      <c r="J166" s="373"/>
      <c r="K166" s="366"/>
      <c r="L166" s="367"/>
      <c r="M166" s="366"/>
      <c r="N166" s="367"/>
      <c r="O166" s="391"/>
      <c r="P166" s="392"/>
      <c r="Q166" s="393"/>
      <c r="R166" s="366"/>
      <c r="S166" s="396"/>
      <c r="T166" s="367"/>
      <c r="U166" s="375"/>
      <c r="V166" s="375"/>
      <c r="W166" s="375"/>
      <c r="X166" s="375"/>
      <c r="Y166" s="375"/>
      <c r="Z166" s="375"/>
      <c r="AA166" s="375"/>
      <c r="AB166" s="366"/>
      <c r="AC166" s="367"/>
    </row>
    <row r="167" spans="1:29" ht="24.9" customHeight="1" x14ac:dyDescent="0.25">
      <c r="A167" s="376" t="s">
        <v>39</v>
      </c>
      <c r="B167" s="377"/>
      <c r="C167" s="377"/>
      <c r="D167" s="377"/>
      <c r="E167" s="377"/>
      <c r="F167" s="377"/>
      <c r="G167" s="377"/>
      <c r="H167" s="377"/>
      <c r="I167" s="377"/>
      <c r="J167" s="378"/>
      <c r="K167" s="379">
        <v>2672</v>
      </c>
      <c r="L167" s="380"/>
      <c r="M167" s="379">
        <v>192</v>
      </c>
      <c r="N167" s="380"/>
      <c r="O167" s="379">
        <v>1</v>
      </c>
      <c r="P167" s="381"/>
      <c r="Q167" s="380"/>
      <c r="R167" s="379">
        <v>2865</v>
      </c>
      <c r="S167" s="381"/>
      <c r="T167" s="380"/>
      <c r="U167" s="379">
        <v>2</v>
      </c>
      <c r="V167" s="381"/>
      <c r="W167" s="380"/>
      <c r="X167" s="379">
        <v>1</v>
      </c>
      <c r="Y167" s="380"/>
      <c r="Z167" s="379">
        <v>1</v>
      </c>
      <c r="AA167" s="380"/>
      <c r="AB167" s="379">
        <v>2869</v>
      </c>
      <c r="AC167" s="380"/>
    </row>
    <row r="168" spans="1:29" ht="24.9" customHeight="1" x14ac:dyDescent="0.25">
      <c r="A168" s="376" t="s">
        <v>40</v>
      </c>
      <c r="B168" s="377"/>
      <c r="C168" s="377"/>
      <c r="D168" s="377"/>
      <c r="E168" s="377"/>
      <c r="F168" s="377"/>
      <c r="G168" s="377"/>
      <c r="H168" s="377"/>
      <c r="I168" s="377"/>
      <c r="J168" s="378"/>
      <c r="K168" s="379">
        <v>1718</v>
      </c>
      <c r="L168" s="380"/>
      <c r="M168" s="379">
        <v>34</v>
      </c>
      <c r="N168" s="380"/>
      <c r="O168" s="379">
        <v>5</v>
      </c>
      <c r="P168" s="381"/>
      <c r="Q168" s="380"/>
      <c r="R168" s="379">
        <v>1757</v>
      </c>
      <c r="S168" s="381"/>
      <c r="T168" s="380"/>
      <c r="U168" s="379">
        <v>0</v>
      </c>
      <c r="V168" s="381"/>
      <c r="W168" s="380"/>
      <c r="X168" s="379">
        <v>2</v>
      </c>
      <c r="Y168" s="380"/>
      <c r="Z168" s="379">
        <v>6</v>
      </c>
      <c r="AA168" s="380"/>
      <c r="AB168" s="379">
        <v>1765</v>
      </c>
      <c r="AC168" s="380"/>
    </row>
    <row r="169" spans="1:29" ht="24.9" customHeight="1" x14ac:dyDescent="0.25">
      <c r="A169" s="376" t="s">
        <v>41</v>
      </c>
      <c r="B169" s="377"/>
      <c r="C169" s="377"/>
      <c r="D169" s="377"/>
      <c r="E169" s="377"/>
      <c r="F169" s="377"/>
      <c r="G169" s="377"/>
      <c r="H169" s="377"/>
      <c r="I169" s="377"/>
      <c r="J169" s="378"/>
      <c r="K169" s="379">
        <v>0</v>
      </c>
      <c r="L169" s="380"/>
      <c r="M169" s="379">
        <v>0</v>
      </c>
      <c r="N169" s="380"/>
      <c r="O169" s="379">
        <v>0</v>
      </c>
      <c r="P169" s="381"/>
      <c r="Q169" s="380"/>
      <c r="R169" s="379">
        <v>0</v>
      </c>
      <c r="S169" s="381"/>
      <c r="T169" s="380"/>
      <c r="U169" s="379">
        <v>0</v>
      </c>
      <c r="V169" s="381"/>
      <c r="W169" s="380"/>
      <c r="X169" s="379">
        <v>0</v>
      </c>
      <c r="Y169" s="380"/>
      <c r="Z169" s="379">
        <v>0</v>
      </c>
      <c r="AA169" s="380"/>
      <c r="AB169" s="379">
        <v>0</v>
      </c>
      <c r="AC169" s="380"/>
    </row>
    <row r="170" spans="1:29" ht="24.9" customHeight="1" x14ac:dyDescent="0.25">
      <c r="A170" s="376" t="s">
        <v>42</v>
      </c>
      <c r="B170" s="377"/>
      <c r="C170" s="377"/>
      <c r="D170" s="377"/>
      <c r="E170" s="377"/>
      <c r="F170" s="377"/>
      <c r="G170" s="377"/>
      <c r="H170" s="377"/>
      <c r="I170" s="377"/>
      <c r="J170" s="378"/>
      <c r="K170" s="379">
        <v>1473</v>
      </c>
      <c r="L170" s="380"/>
      <c r="M170" s="379">
        <v>19</v>
      </c>
      <c r="N170" s="380"/>
      <c r="O170" s="379">
        <v>5</v>
      </c>
      <c r="P170" s="381"/>
      <c r="Q170" s="380"/>
      <c r="R170" s="379">
        <v>1497</v>
      </c>
      <c r="S170" s="381"/>
      <c r="T170" s="380"/>
      <c r="U170" s="379">
        <v>0</v>
      </c>
      <c r="V170" s="381"/>
      <c r="W170" s="380"/>
      <c r="X170" s="379">
        <v>0</v>
      </c>
      <c r="Y170" s="380"/>
      <c r="Z170" s="379">
        <v>6</v>
      </c>
      <c r="AA170" s="380"/>
      <c r="AB170" s="379">
        <v>1503</v>
      </c>
      <c r="AC170" s="380"/>
    </row>
    <row r="171" spans="1:29" ht="24.9" customHeight="1" x14ac:dyDescent="0.25">
      <c r="A171" s="376" t="s">
        <v>7</v>
      </c>
      <c r="B171" s="377"/>
      <c r="C171" s="377"/>
      <c r="D171" s="377"/>
      <c r="E171" s="377"/>
      <c r="F171" s="377"/>
      <c r="G171" s="377"/>
      <c r="H171" s="377"/>
      <c r="I171" s="377"/>
      <c r="J171" s="378"/>
      <c r="K171" s="379">
        <v>5863</v>
      </c>
      <c r="L171" s="380"/>
      <c r="M171" s="379">
        <v>245</v>
      </c>
      <c r="N171" s="380"/>
      <c r="O171" s="379">
        <v>11</v>
      </c>
      <c r="P171" s="381"/>
      <c r="Q171" s="380"/>
      <c r="R171" s="379">
        <v>6119</v>
      </c>
      <c r="S171" s="381"/>
      <c r="T171" s="380"/>
      <c r="U171" s="379">
        <v>2</v>
      </c>
      <c r="V171" s="381"/>
      <c r="W171" s="380"/>
      <c r="X171" s="379">
        <v>3</v>
      </c>
      <c r="Y171" s="380"/>
      <c r="Z171" s="379">
        <v>13</v>
      </c>
      <c r="AA171" s="380"/>
      <c r="AB171" s="379">
        <v>6137</v>
      </c>
      <c r="AC171" s="380"/>
    </row>
    <row r="172" spans="1:29" ht="15.6" x14ac:dyDescent="0.25">
      <c r="A172" s="107" t="s">
        <v>43</v>
      </c>
      <c r="B172" s="108"/>
      <c r="C172" s="108"/>
      <c r="D172" s="108"/>
      <c r="E172" s="108"/>
      <c r="F172" s="108"/>
      <c r="G172" s="108"/>
      <c r="H172" s="108"/>
      <c r="I172" s="108"/>
      <c r="J172" s="10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9"/>
      <c r="V172" s="149"/>
      <c r="W172" s="149"/>
      <c r="X172" s="149"/>
      <c r="Y172" s="149"/>
      <c r="Z172" s="149"/>
      <c r="AA172" s="149"/>
      <c r="AB172" s="149"/>
      <c r="AC172" s="150"/>
    </row>
    <row r="173" spans="1:29" ht="21.75" customHeight="1" x14ac:dyDescent="0.25">
      <c r="A173" s="404"/>
      <c r="B173" s="405"/>
      <c r="C173" s="405"/>
      <c r="D173" s="405"/>
      <c r="E173" s="405"/>
      <c r="F173" s="405"/>
      <c r="G173" s="405"/>
      <c r="H173" s="405"/>
      <c r="I173" s="405"/>
      <c r="J173" s="406"/>
      <c r="K173" s="379" t="s">
        <v>0</v>
      </c>
      <c r="L173" s="380"/>
      <c r="M173" s="433" t="s">
        <v>1</v>
      </c>
      <c r="N173" s="434"/>
      <c r="O173" s="433" t="s">
        <v>2</v>
      </c>
      <c r="P173" s="434"/>
      <c r="Q173" s="433" t="s">
        <v>3</v>
      </c>
      <c r="R173" s="434"/>
      <c r="S173" s="433" t="s">
        <v>4</v>
      </c>
      <c r="T173" s="434"/>
      <c r="U173" s="433" t="s">
        <v>5</v>
      </c>
      <c r="V173" s="434"/>
      <c r="W173" s="433" t="s">
        <v>6</v>
      </c>
      <c r="X173" s="434"/>
      <c r="Y173" s="433" t="s">
        <v>44</v>
      </c>
      <c r="Z173" s="434"/>
      <c r="AA173" s="433" t="s">
        <v>7</v>
      </c>
      <c r="AB173" s="434"/>
      <c r="AC173" s="435" t="s">
        <v>86</v>
      </c>
    </row>
    <row r="174" spans="1:29" x14ac:dyDescent="0.25">
      <c r="A174" s="407"/>
      <c r="B174" s="408"/>
      <c r="C174" s="408"/>
      <c r="D174" s="408"/>
      <c r="E174" s="408"/>
      <c r="F174" s="408"/>
      <c r="G174" s="408"/>
      <c r="H174" s="408"/>
      <c r="I174" s="408"/>
      <c r="J174" s="409"/>
      <c r="K174" s="112" t="s">
        <v>9</v>
      </c>
      <c r="L174" s="112" t="s">
        <v>10</v>
      </c>
      <c r="M174" s="112" t="s">
        <v>9</v>
      </c>
      <c r="N174" s="112" t="s">
        <v>10</v>
      </c>
      <c r="O174" s="112" t="s">
        <v>9</v>
      </c>
      <c r="P174" s="112" t="s">
        <v>10</v>
      </c>
      <c r="Q174" s="112" t="s">
        <v>9</v>
      </c>
      <c r="R174" s="112" t="s">
        <v>10</v>
      </c>
      <c r="S174" s="112" t="s">
        <v>9</v>
      </c>
      <c r="T174" s="112" t="s">
        <v>10</v>
      </c>
      <c r="U174" s="112" t="s">
        <v>9</v>
      </c>
      <c r="V174" s="112" t="s">
        <v>10</v>
      </c>
      <c r="W174" s="112" t="s">
        <v>9</v>
      </c>
      <c r="X174" s="112" t="s">
        <v>10</v>
      </c>
      <c r="Y174" s="112" t="s">
        <v>9</v>
      </c>
      <c r="Z174" s="112" t="s">
        <v>10</v>
      </c>
      <c r="AA174" s="112" t="s">
        <v>9</v>
      </c>
      <c r="AB174" s="112" t="s">
        <v>10</v>
      </c>
      <c r="AC174" s="436"/>
    </row>
    <row r="175" spans="1:29" ht="18" customHeight="1" x14ac:dyDescent="0.25">
      <c r="A175" s="376" t="s">
        <v>39</v>
      </c>
      <c r="B175" s="377"/>
      <c r="C175" s="377"/>
      <c r="D175" s="377"/>
      <c r="E175" s="377"/>
      <c r="F175" s="377"/>
      <c r="G175" s="377"/>
      <c r="H175" s="377"/>
      <c r="I175" s="377"/>
      <c r="J175" s="378"/>
      <c r="K175" s="112">
        <v>11</v>
      </c>
      <c r="L175" s="112">
        <v>7</v>
      </c>
      <c r="M175" s="112">
        <v>28</v>
      </c>
      <c r="N175" s="112">
        <v>50</v>
      </c>
      <c r="O175" s="112">
        <v>234</v>
      </c>
      <c r="P175" s="112">
        <v>263</v>
      </c>
      <c r="Q175" s="112">
        <v>207</v>
      </c>
      <c r="R175" s="112">
        <v>155</v>
      </c>
      <c r="S175" s="112">
        <v>204</v>
      </c>
      <c r="T175" s="112">
        <v>148</v>
      </c>
      <c r="U175" s="112">
        <v>188</v>
      </c>
      <c r="V175" s="112">
        <v>163</v>
      </c>
      <c r="W175" s="112">
        <v>264</v>
      </c>
      <c r="X175" s="112">
        <v>223</v>
      </c>
      <c r="Y175" s="112">
        <v>393</v>
      </c>
      <c r="Z175" s="112">
        <v>327</v>
      </c>
      <c r="AA175" s="112">
        <v>1529</v>
      </c>
      <c r="AB175" s="112">
        <v>1336</v>
      </c>
      <c r="AC175" s="112">
        <v>2865</v>
      </c>
    </row>
    <row r="176" spans="1:29" ht="18" customHeight="1" x14ac:dyDescent="0.25">
      <c r="A176" s="376" t="s">
        <v>40</v>
      </c>
      <c r="B176" s="377"/>
      <c r="C176" s="377"/>
      <c r="D176" s="377"/>
      <c r="E176" s="377"/>
      <c r="F176" s="377"/>
      <c r="G176" s="377"/>
      <c r="H176" s="377"/>
      <c r="I176" s="377"/>
      <c r="J176" s="378"/>
      <c r="K176" s="112">
        <v>20</v>
      </c>
      <c r="L176" s="112">
        <v>19</v>
      </c>
      <c r="M176" s="112">
        <v>32</v>
      </c>
      <c r="N176" s="112">
        <v>48</v>
      </c>
      <c r="O176" s="112">
        <v>114</v>
      </c>
      <c r="P176" s="112">
        <v>114</v>
      </c>
      <c r="Q176" s="112">
        <v>112</v>
      </c>
      <c r="R176" s="112">
        <v>116</v>
      </c>
      <c r="S176" s="112">
        <v>102</v>
      </c>
      <c r="T176" s="112">
        <v>82</v>
      </c>
      <c r="U176" s="112">
        <v>112</v>
      </c>
      <c r="V176" s="112">
        <v>89</v>
      </c>
      <c r="W176" s="112">
        <v>145</v>
      </c>
      <c r="X176" s="112">
        <v>152</v>
      </c>
      <c r="Y176" s="112">
        <v>269</v>
      </c>
      <c r="Z176" s="112">
        <v>231</v>
      </c>
      <c r="AA176" s="112">
        <v>906</v>
      </c>
      <c r="AB176" s="112">
        <v>851</v>
      </c>
      <c r="AC176" s="112">
        <v>1757</v>
      </c>
    </row>
    <row r="177" spans="1:29" ht="18" customHeight="1" x14ac:dyDescent="0.25">
      <c r="A177" s="376" t="s">
        <v>41</v>
      </c>
      <c r="B177" s="377"/>
      <c r="C177" s="377"/>
      <c r="D177" s="377"/>
      <c r="E177" s="377"/>
      <c r="F177" s="377"/>
      <c r="G177" s="377"/>
      <c r="H177" s="377"/>
      <c r="I177" s="377"/>
      <c r="J177" s="378"/>
      <c r="K177" s="112">
        <v>0</v>
      </c>
      <c r="L177" s="112">
        <v>0</v>
      </c>
      <c r="M177" s="112">
        <v>0</v>
      </c>
      <c r="N177" s="112">
        <v>0</v>
      </c>
      <c r="O177" s="112">
        <v>0</v>
      </c>
      <c r="P177" s="112">
        <v>0</v>
      </c>
      <c r="Q177" s="112">
        <v>0</v>
      </c>
      <c r="R177" s="112">
        <v>0</v>
      </c>
      <c r="S177" s="112">
        <v>0</v>
      </c>
      <c r="T177" s="112">
        <v>0</v>
      </c>
      <c r="U177" s="112">
        <v>0</v>
      </c>
      <c r="V177" s="112">
        <v>0</v>
      </c>
      <c r="W177" s="112">
        <v>0</v>
      </c>
      <c r="X177" s="112">
        <v>0</v>
      </c>
      <c r="Y177" s="112">
        <v>0</v>
      </c>
      <c r="Z177" s="112">
        <v>0</v>
      </c>
      <c r="AA177" s="112">
        <v>0</v>
      </c>
      <c r="AB177" s="112">
        <v>0</v>
      </c>
      <c r="AC177" s="112">
        <v>0</v>
      </c>
    </row>
    <row r="178" spans="1:29" ht="18" customHeight="1" x14ac:dyDescent="0.25">
      <c r="A178" s="376" t="s">
        <v>42</v>
      </c>
      <c r="B178" s="377"/>
      <c r="C178" s="377"/>
      <c r="D178" s="377"/>
      <c r="E178" s="377"/>
      <c r="F178" s="377"/>
      <c r="G178" s="377"/>
      <c r="H178" s="377"/>
      <c r="I178" s="377"/>
      <c r="J178" s="378"/>
      <c r="K178" s="112">
        <v>12</v>
      </c>
      <c r="L178" s="112">
        <v>5</v>
      </c>
      <c r="M178" s="112">
        <v>45</v>
      </c>
      <c r="N178" s="112">
        <v>36</v>
      </c>
      <c r="O178" s="112">
        <v>146</v>
      </c>
      <c r="P178" s="112">
        <v>127</v>
      </c>
      <c r="Q178" s="112">
        <v>134</v>
      </c>
      <c r="R178" s="112">
        <v>120</v>
      </c>
      <c r="S178" s="112">
        <v>107</v>
      </c>
      <c r="T178" s="112">
        <v>107</v>
      </c>
      <c r="U178" s="112">
        <v>94</v>
      </c>
      <c r="V178" s="112">
        <v>78</v>
      </c>
      <c r="W178" s="112">
        <v>114</v>
      </c>
      <c r="X178" s="112">
        <v>90</v>
      </c>
      <c r="Y178" s="112">
        <v>183</v>
      </c>
      <c r="Z178" s="112">
        <v>99</v>
      </c>
      <c r="AA178" s="112">
        <v>835</v>
      </c>
      <c r="AB178" s="112">
        <v>662</v>
      </c>
      <c r="AC178" s="112">
        <v>1497</v>
      </c>
    </row>
    <row r="179" spans="1:29" ht="18" customHeight="1" x14ac:dyDescent="0.25">
      <c r="A179" s="397" t="s">
        <v>7</v>
      </c>
      <c r="B179" s="398"/>
      <c r="C179" s="398"/>
      <c r="D179" s="398"/>
      <c r="E179" s="398"/>
      <c r="F179" s="398"/>
      <c r="G179" s="398"/>
      <c r="H179" s="398"/>
      <c r="I179" s="398"/>
      <c r="J179" s="399"/>
      <c r="K179" s="112">
        <v>43</v>
      </c>
      <c r="L179" s="112">
        <v>31</v>
      </c>
      <c r="M179" s="112">
        <v>105</v>
      </c>
      <c r="N179" s="112">
        <v>134</v>
      </c>
      <c r="O179" s="112">
        <v>494</v>
      </c>
      <c r="P179" s="112">
        <v>504</v>
      </c>
      <c r="Q179" s="112">
        <v>453</v>
      </c>
      <c r="R179" s="112">
        <v>391</v>
      </c>
      <c r="S179" s="112">
        <v>413</v>
      </c>
      <c r="T179" s="112">
        <v>337</v>
      </c>
      <c r="U179" s="112">
        <v>394</v>
      </c>
      <c r="V179" s="112">
        <v>330</v>
      </c>
      <c r="W179" s="112">
        <v>523</v>
      </c>
      <c r="X179" s="112">
        <v>465</v>
      </c>
      <c r="Y179" s="112">
        <v>845</v>
      </c>
      <c r="Z179" s="112">
        <v>657</v>
      </c>
      <c r="AA179" s="112">
        <v>3270</v>
      </c>
      <c r="AB179" s="112">
        <v>2849</v>
      </c>
      <c r="AC179" s="112">
        <v>6119</v>
      </c>
    </row>
    <row r="180" spans="1:29" ht="6.75" customHeight="1" x14ac:dyDescent="0.25">
      <c r="A180" s="113"/>
      <c r="B180" s="114"/>
      <c r="C180" s="114"/>
      <c r="D180" s="114"/>
      <c r="E180" s="114"/>
      <c r="F180" s="115"/>
      <c r="G180" s="116"/>
      <c r="H180" s="116"/>
      <c r="I180" s="116"/>
      <c r="J180" s="116"/>
      <c r="K180" s="116"/>
      <c r="L180" s="116"/>
      <c r="M180" s="117"/>
      <c r="N180" s="116"/>
      <c r="O180" s="151"/>
      <c r="P180" s="116"/>
      <c r="Q180" s="118"/>
      <c r="R180" s="116"/>
      <c r="S180" s="116"/>
      <c r="T180" s="116"/>
      <c r="U180" s="116"/>
      <c r="V180" s="116"/>
      <c r="W180" s="116"/>
      <c r="X180" s="116"/>
      <c r="Y180" s="116"/>
      <c r="Z180" s="116"/>
      <c r="AA180" s="116"/>
      <c r="AB180" s="116"/>
      <c r="AC180" s="119"/>
    </row>
    <row r="181" spans="1:29" ht="18" customHeight="1" x14ac:dyDescent="0.25">
      <c r="A181" s="120" t="s">
        <v>45</v>
      </c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2"/>
      <c r="M181" s="123"/>
      <c r="N181" s="120" t="s">
        <v>46</v>
      </c>
      <c r="O181" s="121"/>
      <c r="P181" s="121"/>
      <c r="Q181" s="121"/>
      <c r="R181" s="121"/>
      <c r="S181" s="124"/>
      <c r="T181" s="124"/>
      <c r="U181" s="124"/>
      <c r="V181" s="124"/>
      <c r="W181" s="124"/>
      <c r="X181" s="124"/>
      <c r="Y181" s="124"/>
      <c r="Z181" s="124"/>
      <c r="AA181" s="124"/>
      <c r="AB181" s="124"/>
      <c r="AC181" s="125"/>
    </row>
    <row r="182" spans="1:29" ht="45" customHeight="1" x14ac:dyDescent="0.25">
      <c r="A182" s="412" t="s">
        <v>47</v>
      </c>
      <c r="B182" s="419" t="s">
        <v>48</v>
      </c>
      <c r="C182" s="420"/>
      <c r="D182" s="421" t="s">
        <v>49</v>
      </c>
      <c r="E182" s="422"/>
      <c r="F182" s="423"/>
      <c r="G182" s="421" t="s">
        <v>50</v>
      </c>
      <c r="H182" s="422"/>
      <c r="I182" s="422"/>
      <c r="J182" s="423"/>
      <c r="K182" s="412" t="s">
        <v>51</v>
      </c>
      <c r="L182" s="412" t="s">
        <v>52</v>
      </c>
      <c r="M182" s="126"/>
      <c r="N182" s="414" t="s">
        <v>53</v>
      </c>
      <c r="O182" s="415"/>
      <c r="P182" s="416"/>
      <c r="Q182" s="414" t="s">
        <v>54</v>
      </c>
      <c r="R182" s="415"/>
      <c r="S182" s="416"/>
      <c r="T182" s="414" t="s">
        <v>55</v>
      </c>
      <c r="U182" s="415"/>
      <c r="V182" s="415"/>
      <c r="W182" s="415"/>
      <c r="X182" s="415"/>
      <c r="Y182" s="415"/>
      <c r="Z182" s="415"/>
      <c r="AA182" s="415"/>
      <c r="AB182" s="415"/>
      <c r="AC182" s="416"/>
    </row>
    <row r="183" spans="1:29" ht="48" customHeight="1" x14ac:dyDescent="0.25">
      <c r="A183" s="413"/>
      <c r="B183" s="127" t="s">
        <v>7</v>
      </c>
      <c r="C183" s="128" t="s">
        <v>87</v>
      </c>
      <c r="D183" s="128" t="s">
        <v>56</v>
      </c>
      <c r="E183" s="128" t="s">
        <v>88</v>
      </c>
      <c r="F183" s="128" t="s">
        <v>89</v>
      </c>
      <c r="G183" s="129" t="s">
        <v>56</v>
      </c>
      <c r="H183" s="128" t="s">
        <v>90</v>
      </c>
      <c r="I183" s="129" t="s">
        <v>57</v>
      </c>
      <c r="J183" s="129" t="s">
        <v>58</v>
      </c>
      <c r="K183" s="413"/>
      <c r="L183" s="413"/>
      <c r="M183" s="126"/>
      <c r="N183" s="414">
        <v>0</v>
      </c>
      <c r="O183" s="415"/>
      <c r="P183" s="416"/>
      <c r="Q183" s="385">
        <v>0</v>
      </c>
      <c r="R183" s="386"/>
      <c r="S183" s="387"/>
      <c r="T183" s="414">
        <v>0</v>
      </c>
      <c r="U183" s="415"/>
      <c r="V183" s="415"/>
      <c r="W183" s="415"/>
      <c r="X183" s="415"/>
      <c r="Y183" s="415"/>
      <c r="Z183" s="415"/>
      <c r="AA183" s="415"/>
      <c r="AB183" s="415"/>
      <c r="AC183" s="416"/>
    </row>
    <row r="184" spans="1:29" ht="38.25" customHeight="1" x14ac:dyDescent="0.25">
      <c r="A184" s="424">
        <v>1162178</v>
      </c>
      <c r="B184" s="424">
        <v>41561</v>
      </c>
      <c r="C184" s="424">
        <v>5267</v>
      </c>
      <c r="D184" s="424">
        <v>18933</v>
      </c>
      <c r="E184" s="424">
        <v>0</v>
      </c>
      <c r="F184" s="424">
        <v>24739</v>
      </c>
      <c r="G184" s="424">
        <v>2932</v>
      </c>
      <c r="H184" s="424">
        <v>0</v>
      </c>
      <c r="I184" s="424">
        <v>0</v>
      </c>
      <c r="J184" s="424">
        <v>2932</v>
      </c>
      <c r="K184" s="424">
        <v>2863</v>
      </c>
      <c r="L184" s="424">
        <v>3949</v>
      </c>
      <c r="M184" s="126"/>
      <c r="N184" s="414" t="s">
        <v>59</v>
      </c>
      <c r="O184" s="415"/>
      <c r="P184" s="416"/>
      <c r="Q184" s="414" t="s">
        <v>60</v>
      </c>
      <c r="R184" s="415"/>
      <c r="S184" s="416"/>
      <c r="T184" s="391" t="s">
        <v>61</v>
      </c>
      <c r="U184" s="392"/>
      <c r="V184" s="392"/>
      <c r="W184" s="393"/>
      <c r="X184" s="391" t="s">
        <v>62</v>
      </c>
      <c r="Y184" s="392"/>
      <c r="Z184" s="392"/>
      <c r="AA184" s="392"/>
      <c r="AB184" s="392"/>
      <c r="AC184" s="393"/>
    </row>
    <row r="185" spans="1:29" ht="19.5" customHeight="1" x14ac:dyDescent="0.25">
      <c r="A185" s="425"/>
      <c r="B185" s="425"/>
      <c r="C185" s="425"/>
      <c r="D185" s="425"/>
      <c r="E185" s="425"/>
      <c r="F185" s="425"/>
      <c r="G185" s="425"/>
      <c r="H185" s="425"/>
      <c r="I185" s="425"/>
      <c r="J185" s="425"/>
      <c r="K185" s="425"/>
      <c r="L185" s="425"/>
      <c r="M185" s="126"/>
      <c r="N185" s="385">
        <v>0</v>
      </c>
      <c r="O185" s="386"/>
      <c r="P185" s="387"/>
      <c r="Q185" s="385">
        <v>0</v>
      </c>
      <c r="R185" s="386"/>
      <c r="S185" s="387"/>
      <c r="T185" s="385">
        <v>0</v>
      </c>
      <c r="U185" s="386"/>
      <c r="V185" s="386"/>
      <c r="W185" s="387"/>
      <c r="X185" s="130"/>
      <c r="Y185" s="414" t="s">
        <v>0</v>
      </c>
      <c r="Z185" s="416"/>
      <c r="AA185" s="131" t="s">
        <v>1</v>
      </c>
      <c r="AB185" s="414" t="s">
        <v>63</v>
      </c>
      <c r="AC185" s="416"/>
    </row>
    <row r="186" spans="1:29" ht="18" customHeight="1" x14ac:dyDescent="0.25">
      <c r="A186" s="425"/>
      <c r="B186" s="425"/>
      <c r="C186" s="425"/>
      <c r="D186" s="425"/>
      <c r="E186" s="425"/>
      <c r="F186" s="425"/>
      <c r="G186" s="425"/>
      <c r="H186" s="425"/>
      <c r="I186" s="425"/>
      <c r="J186" s="425"/>
      <c r="K186" s="425"/>
      <c r="L186" s="425"/>
      <c r="M186" s="126"/>
      <c r="N186" s="388"/>
      <c r="O186" s="389"/>
      <c r="P186" s="390"/>
      <c r="Q186" s="388"/>
      <c r="R186" s="389"/>
      <c r="S186" s="390"/>
      <c r="T186" s="388"/>
      <c r="U186" s="389"/>
      <c r="V186" s="389"/>
      <c r="W186" s="390"/>
      <c r="X186" s="132" t="s">
        <v>64</v>
      </c>
      <c r="Y186" s="437">
        <v>0</v>
      </c>
      <c r="Z186" s="437"/>
      <c r="AA186" s="131">
        <v>0</v>
      </c>
      <c r="AB186" s="437">
        <v>0</v>
      </c>
      <c r="AC186" s="437"/>
    </row>
    <row r="187" spans="1:29" ht="18" customHeight="1" x14ac:dyDescent="0.25">
      <c r="A187" s="425"/>
      <c r="B187" s="425"/>
      <c r="C187" s="425"/>
      <c r="D187" s="425"/>
      <c r="E187" s="425"/>
      <c r="F187" s="425"/>
      <c r="G187" s="425"/>
      <c r="H187" s="425"/>
      <c r="I187" s="425"/>
      <c r="J187" s="425"/>
      <c r="K187" s="425"/>
      <c r="L187" s="425"/>
      <c r="M187" s="126"/>
      <c r="N187" s="388"/>
      <c r="O187" s="389"/>
      <c r="P187" s="390"/>
      <c r="Q187" s="388"/>
      <c r="R187" s="389"/>
      <c r="S187" s="390"/>
      <c r="T187" s="388"/>
      <c r="U187" s="389"/>
      <c r="V187" s="389"/>
      <c r="W187" s="390"/>
      <c r="X187" s="132" t="s">
        <v>65</v>
      </c>
      <c r="Y187" s="437">
        <v>0</v>
      </c>
      <c r="Z187" s="437"/>
      <c r="AA187" s="131">
        <v>0</v>
      </c>
      <c r="AB187" s="437">
        <v>0</v>
      </c>
      <c r="AC187" s="437"/>
    </row>
    <row r="188" spans="1:29" ht="18" customHeight="1" x14ac:dyDescent="0.25">
      <c r="A188" s="426"/>
      <c r="B188" s="426"/>
      <c r="C188" s="426"/>
      <c r="D188" s="426"/>
      <c r="E188" s="426"/>
      <c r="F188" s="426"/>
      <c r="G188" s="426"/>
      <c r="H188" s="426"/>
      <c r="I188" s="426"/>
      <c r="J188" s="426"/>
      <c r="K188" s="426"/>
      <c r="L188" s="426"/>
      <c r="M188" s="126"/>
      <c r="N188" s="391"/>
      <c r="O188" s="392"/>
      <c r="P188" s="393"/>
      <c r="Q188" s="391"/>
      <c r="R188" s="392"/>
      <c r="S188" s="393"/>
      <c r="T188" s="391"/>
      <c r="U188" s="392"/>
      <c r="V188" s="392"/>
      <c r="W188" s="393"/>
      <c r="X188" s="132" t="s">
        <v>66</v>
      </c>
      <c r="Y188" s="437">
        <v>0</v>
      </c>
      <c r="Z188" s="437"/>
      <c r="AA188" s="131">
        <v>0</v>
      </c>
      <c r="AB188" s="437">
        <v>0</v>
      </c>
      <c r="AC188" s="437"/>
    </row>
    <row r="189" spans="1:29" ht="8.25" customHeight="1" x14ac:dyDescent="0.25">
      <c r="A189" s="133"/>
      <c r="B189" s="134"/>
      <c r="C189" s="134"/>
      <c r="D189" s="134"/>
      <c r="E189" s="134"/>
      <c r="F189" s="134"/>
      <c r="G189" s="134"/>
      <c r="H189" s="134"/>
      <c r="I189" s="134"/>
      <c r="J189" s="134"/>
      <c r="K189" s="134"/>
      <c r="L189" s="134"/>
      <c r="M189" s="135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  <c r="Z189" s="134"/>
      <c r="AA189" s="134"/>
      <c r="AB189" s="134"/>
      <c r="AC189" s="110"/>
    </row>
    <row r="190" spans="1:29" ht="18" customHeight="1" x14ac:dyDescent="0.25">
      <c r="A190" s="120" t="s">
        <v>67</v>
      </c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2"/>
      <c r="M190" s="136"/>
      <c r="N190" s="120" t="s">
        <v>68</v>
      </c>
      <c r="O190" s="122"/>
      <c r="P190" s="121"/>
      <c r="Q190" s="137"/>
      <c r="R190" s="121"/>
      <c r="S190" s="121"/>
      <c r="T190" s="121"/>
      <c r="U190" s="121"/>
      <c r="V190" s="121"/>
      <c r="W190" s="121"/>
      <c r="X190" s="121"/>
      <c r="Y190" s="121"/>
      <c r="Z190" s="121"/>
      <c r="AA190" s="124"/>
      <c r="AB190" s="124"/>
      <c r="AC190" s="138"/>
    </row>
    <row r="191" spans="1:29" ht="57" customHeight="1" x14ac:dyDescent="0.25">
      <c r="A191" s="404"/>
      <c r="B191" s="405"/>
      <c r="C191" s="405"/>
      <c r="D191" s="405"/>
      <c r="E191" s="405"/>
      <c r="F191" s="406"/>
      <c r="G191" s="397" t="s">
        <v>11</v>
      </c>
      <c r="H191" s="399"/>
      <c r="I191" s="397" t="s">
        <v>12</v>
      </c>
      <c r="J191" s="399"/>
      <c r="K191" s="139" t="s">
        <v>69</v>
      </c>
      <c r="L191" s="140"/>
      <c r="M191" s="141"/>
      <c r="N191" s="421" t="s">
        <v>70</v>
      </c>
      <c r="O191" s="422"/>
      <c r="P191" s="423"/>
      <c r="Q191" s="421" t="s">
        <v>71</v>
      </c>
      <c r="R191" s="422"/>
      <c r="S191" s="423"/>
      <c r="T191" s="421" t="s">
        <v>72</v>
      </c>
      <c r="U191" s="422"/>
      <c r="V191" s="423"/>
      <c r="W191" s="421" t="s">
        <v>73</v>
      </c>
      <c r="X191" s="422"/>
      <c r="Y191" s="422"/>
      <c r="Z191" s="423"/>
      <c r="AA191" s="421" t="s">
        <v>74</v>
      </c>
      <c r="AB191" s="422"/>
      <c r="AC191" s="423"/>
    </row>
    <row r="192" spans="1:29" ht="13.5" customHeight="1" x14ac:dyDescent="0.25">
      <c r="A192" s="407"/>
      <c r="B192" s="408"/>
      <c r="C192" s="408"/>
      <c r="D192" s="408"/>
      <c r="E192" s="408"/>
      <c r="F192" s="409"/>
      <c r="G192" s="111" t="s">
        <v>75</v>
      </c>
      <c r="H192" s="111" t="s">
        <v>13</v>
      </c>
      <c r="I192" s="111" t="s">
        <v>75</v>
      </c>
      <c r="J192" s="111" t="s">
        <v>13</v>
      </c>
      <c r="K192" s="111" t="s">
        <v>75</v>
      </c>
      <c r="L192" s="111" t="s">
        <v>13</v>
      </c>
      <c r="M192" s="142"/>
      <c r="N192" s="143" t="s">
        <v>0</v>
      </c>
      <c r="O192" s="144" t="s">
        <v>1</v>
      </c>
      <c r="P192" s="144" t="s">
        <v>91</v>
      </c>
      <c r="Q192" s="143" t="s">
        <v>0</v>
      </c>
      <c r="R192" s="144" t="s">
        <v>1</v>
      </c>
      <c r="S192" s="144" t="s">
        <v>91</v>
      </c>
      <c r="T192" s="143" t="s">
        <v>0</v>
      </c>
      <c r="U192" s="144" t="s">
        <v>1</v>
      </c>
      <c r="V192" s="144" t="s">
        <v>91</v>
      </c>
      <c r="W192" s="143"/>
      <c r="X192" s="143" t="s">
        <v>0</v>
      </c>
      <c r="Y192" s="145" t="s">
        <v>1</v>
      </c>
      <c r="Z192" s="146" t="s">
        <v>76</v>
      </c>
      <c r="AA192" s="143" t="s">
        <v>0</v>
      </c>
      <c r="AB192" s="145" t="s">
        <v>1</v>
      </c>
      <c r="AC192" s="146" t="s">
        <v>76</v>
      </c>
    </row>
    <row r="193" spans="1:29" ht="24.9" customHeight="1" x14ac:dyDescent="0.25">
      <c r="A193" s="397" t="s">
        <v>77</v>
      </c>
      <c r="B193" s="398"/>
      <c r="C193" s="398"/>
      <c r="D193" s="398"/>
      <c r="E193" s="398"/>
      <c r="F193" s="399"/>
      <c r="G193" s="111">
        <v>2679</v>
      </c>
      <c r="H193" s="111">
        <v>6</v>
      </c>
      <c r="I193" s="111">
        <v>0</v>
      </c>
      <c r="J193" s="111">
        <v>0</v>
      </c>
      <c r="K193" s="111">
        <v>0</v>
      </c>
      <c r="L193" s="111">
        <v>0</v>
      </c>
      <c r="M193" s="142"/>
      <c r="N193" s="429">
        <v>0</v>
      </c>
      <c r="O193" s="429">
        <v>3588</v>
      </c>
      <c r="P193" s="429">
        <v>15271</v>
      </c>
      <c r="Q193" s="429">
        <v>0</v>
      </c>
      <c r="R193" s="429">
        <v>2908</v>
      </c>
      <c r="S193" s="429">
        <v>13407</v>
      </c>
      <c r="T193" s="429">
        <v>0</v>
      </c>
      <c r="U193" s="429">
        <v>46</v>
      </c>
      <c r="V193" s="429">
        <v>551</v>
      </c>
      <c r="W193" s="147" t="s">
        <v>64</v>
      </c>
      <c r="X193" s="111">
        <v>13</v>
      </c>
      <c r="Y193" s="111">
        <v>81</v>
      </c>
      <c r="Z193" s="111">
        <v>0</v>
      </c>
      <c r="AA193" s="111">
        <v>0</v>
      </c>
      <c r="AB193" s="111">
        <v>0</v>
      </c>
      <c r="AC193" s="111">
        <v>0</v>
      </c>
    </row>
    <row r="194" spans="1:29" ht="24.9" customHeight="1" x14ac:dyDescent="0.25">
      <c r="A194" s="397" t="s">
        <v>8</v>
      </c>
      <c r="B194" s="398"/>
      <c r="C194" s="398"/>
      <c r="D194" s="398"/>
      <c r="E194" s="398"/>
      <c r="F194" s="399"/>
      <c r="G194" s="111">
        <v>0</v>
      </c>
      <c r="H194" s="111">
        <v>0</v>
      </c>
      <c r="I194" s="111">
        <v>0</v>
      </c>
      <c r="J194" s="111">
        <v>0</v>
      </c>
      <c r="K194" s="111">
        <v>0</v>
      </c>
      <c r="L194" s="111">
        <v>0</v>
      </c>
      <c r="M194" s="142"/>
      <c r="N194" s="430"/>
      <c r="O194" s="430"/>
      <c r="P194" s="430"/>
      <c r="Q194" s="430"/>
      <c r="R194" s="430"/>
      <c r="S194" s="430"/>
      <c r="T194" s="430"/>
      <c r="U194" s="430"/>
      <c r="V194" s="430"/>
      <c r="W194" s="147" t="s">
        <v>65</v>
      </c>
      <c r="X194" s="111">
        <v>0</v>
      </c>
      <c r="Y194" s="111">
        <v>10</v>
      </c>
      <c r="Z194" s="111">
        <v>24</v>
      </c>
      <c r="AA194" s="111">
        <v>0</v>
      </c>
      <c r="AB194" s="111">
        <v>0</v>
      </c>
      <c r="AC194" s="111">
        <v>0</v>
      </c>
    </row>
    <row r="195" spans="1:29" ht="24.9" customHeight="1" x14ac:dyDescent="0.25">
      <c r="A195" s="414" t="s">
        <v>78</v>
      </c>
      <c r="B195" s="415"/>
      <c r="C195" s="415"/>
      <c r="D195" s="415"/>
      <c r="E195" s="415"/>
      <c r="F195" s="416"/>
      <c r="G195" s="111">
        <v>2</v>
      </c>
      <c r="H195" s="111">
        <v>0</v>
      </c>
      <c r="I195" s="111">
        <v>0</v>
      </c>
      <c r="J195" s="111">
        <v>0</v>
      </c>
      <c r="K195" s="111">
        <v>0</v>
      </c>
      <c r="L195" s="111">
        <v>0</v>
      </c>
      <c r="M195" s="142"/>
      <c r="N195" s="430"/>
      <c r="O195" s="430"/>
      <c r="P195" s="430"/>
      <c r="Q195" s="430"/>
      <c r="R195" s="430"/>
      <c r="S195" s="430"/>
      <c r="T195" s="430"/>
      <c r="U195" s="430"/>
      <c r="V195" s="430"/>
      <c r="W195" s="427" t="s">
        <v>66</v>
      </c>
      <c r="X195" s="438">
        <v>8</v>
      </c>
      <c r="Y195" s="438">
        <v>16</v>
      </c>
      <c r="Z195" s="438">
        <v>0</v>
      </c>
      <c r="AA195" s="438">
        <v>0</v>
      </c>
      <c r="AB195" s="438">
        <v>0</v>
      </c>
      <c r="AC195" s="438">
        <v>0</v>
      </c>
    </row>
    <row r="196" spans="1:29" ht="24.9" customHeight="1" x14ac:dyDescent="0.25">
      <c r="A196" s="397" t="s">
        <v>7</v>
      </c>
      <c r="B196" s="398"/>
      <c r="C196" s="398"/>
      <c r="D196" s="398"/>
      <c r="E196" s="398"/>
      <c r="F196" s="399"/>
      <c r="G196" s="111">
        <v>2681</v>
      </c>
      <c r="H196" s="111">
        <v>6</v>
      </c>
      <c r="I196" s="111">
        <v>0</v>
      </c>
      <c r="J196" s="111">
        <v>0</v>
      </c>
      <c r="K196" s="111">
        <v>0</v>
      </c>
      <c r="L196" s="111">
        <v>0</v>
      </c>
      <c r="M196" s="142"/>
      <c r="N196" s="431"/>
      <c r="O196" s="431"/>
      <c r="P196" s="431"/>
      <c r="Q196" s="431"/>
      <c r="R196" s="431"/>
      <c r="S196" s="431"/>
      <c r="T196" s="431"/>
      <c r="U196" s="431"/>
      <c r="V196" s="431"/>
      <c r="W196" s="428"/>
      <c r="X196" s="432"/>
      <c r="Y196" s="432"/>
      <c r="Z196" s="432"/>
      <c r="AA196" s="432"/>
      <c r="AB196" s="432"/>
      <c r="AC196" s="432"/>
    </row>
  </sheetData>
  <mergeCells count="779">
    <mergeCell ref="A194:F194"/>
    <mergeCell ref="A195:F195"/>
    <mergeCell ref="W195:W196"/>
    <mergeCell ref="A196:F196"/>
    <mergeCell ref="T191:V191"/>
    <mergeCell ref="W191:Z191"/>
    <mergeCell ref="AA191:AC191"/>
    <mergeCell ref="A193:F193"/>
    <mergeCell ref="N193:N196"/>
    <mergeCell ref="O193:O196"/>
    <mergeCell ref="P193:P196"/>
    <mergeCell ref="Q193:Q196"/>
    <mergeCell ref="R193:R196"/>
    <mergeCell ref="S193:S196"/>
    <mergeCell ref="X195:X196"/>
    <mergeCell ref="Y195:Y196"/>
    <mergeCell ref="Z195:Z196"/>
    <mergeCell ref="AA195:AA196"/>
    <mergeCell ref="AB195:AB196"/>
    <mergeCell ref="AC195:AC196"/>
    <mergeCell ref="T193:T196"/>
    <mergeCell ref="U193:U196"/>
    <mergeCell ref="V193:V196"/>
    <mergeCell ref="A191:F192"/>
    <mergeCell ref="G191:H191"/>
    <mergeCell ref="I191:J191"/>
    <mergeCell ref="N191:P191"/>
    <mergeCell ref="Q191:S191"/>
    <mergeCell ref="G184:G188"/>
    <mergeCell ref="H184:H188"/>
    <mergeCell ref="I184:I188"/>
    <mergeCell ref="J184:J188"/>
    <mergeCell ref="K184:K188"/>
    <mergeCell ref="L184:L188"/>
    <mergeCell ref="A184:A188"/>
    <mergeCell ref="B184:B188"/>
    <mergeCell ref="C184:C188"/>
    <mergeCell ref="D184:D188"/>
    <mergeCell ref="E184:E188"/>
    <mergeCell ref="F184:F188"/>
    <mergeCell ref="N184:P184"/>
    <mergeCell ref="Q184:S184"/>
    <mergeCell ref="T184:W184"/>
    <mergeCell ref="X184:AC184"/>
    <mergeCell ref="N185:P188"/>
    <mergeCell ref="Q185:S188"/>
    <mergeCell ref="T185:W188"/>
    <mergeCell ref="Y185:Z185"/>
    <mergeCell ref="AB185:AC185"/>
    <mergeCell ref="Y186:Z186"/>
    <mergeCell ref="AB186:AC186"/>
    <mergeCell ref="Y187:Z187"/>
    <mergeCell ref="AB187:AC187"/>
    <mergeCell ref="Y188:Z188"/>
    <mergeCell ref="AB188:AC188"/>
    <mergeCell ref="K182:K183"/>
    <mergeCell ref="L182:L183"/>
    <mergeCell ref="N182:P182"/>
    <mergeCell ref="Q182:S182"/>
    <mergeCell ref="T182:AC182"/>
    <mergeCell ref="N183:P183"/>
    <mergeCell ref="Q183:S183"/>
    <mergeCell ref="T183:AC183"/>
    <mergeCell ref="A176:J176"/>
    <mergeCell ref="A177:J177"/>
    <mergeCell ref="A178:J178"/>
    <mergeCell ref="A179:J179"/>
    <mergeCell ref="A182:A183"/>
    <mergeCell ref="B182:C182"/>
    <mergeCell ref="D182:F182"/>
    <mergeCell ref="G182:J182"/>
    <mergeCell ref="U173:V173"/>
    <mergeCell ref="W173:X173"/>
    <mergeCell ref="Y173:Z173"/>
    <mergeCell ref="AA173:AB173"/>
    <mergeCell ref="AC173:AC174"/>
    <mergeCell ref="A175:J175"/>
    <mergeCell ref="A173:J174"/>
    <mergeCell ref="K173:L173"/>
    <mergeCell ref="M173:N173"/>
    <mergeCell ref="O173:P173"/>
    <mergeCell ref="Q173:R173"/>
    <mergeCell ref="S173:T173"/>
    <mergeCell ref="A171:J171"/>
    <mergeCell ref="K171:L171"/>
    <mergeCell ref="M171:N171"/>
    <mergeCell ref="O171:Q171"/>
    <mergeCell ref="R171:T171"/>
    <mergeCell ref="U171:W171"/>
    <mergeCell ref="X171:Y171"/>
    <mergeCell ref="Z171:AA171"/>
    <mergeCell ref="AB171:AC171"/>
    <mergeCell ref="A170:J170"/>
    <mergeCell ref="K170:L170"/>
    <mergeCell ref="M170:N170"/>
    <mergeCell ref="O170:Q170"/>
    <mergeCell ref="R170:T170"/>
    <mergeCell ref="U170:W170"/>
    <mergeCell ref="X170:Y170"/>
    <mergeCell ref="Z170:AA170"/>
    <mergeCell ref="AB170:AC170"/>
    <mergeCell ref="A169:J169"/>
    <mergeCell ref="K169:L169"/>
    <mergeCell ref="M169:N169"/>
    <mergeCell ref="O169:Q169"/>
    <mergeCell ref="R169:T169"/>
    <mergeCell ref="U169:W169"/>
    <mergeCell ref="X169:Y169"/>
    <mergeCell ref="Z169:AA169"/>
    <mergeCell ref="AB169:AC169"/>
    <mergeCell ref="A168:J168"/>
    <mergeCell ref="K168:L168"/>
    <mergeCell ref="M168:N168"/>
    <mergeCell ref="O168:Q168"/>
    <mergeCell ref="R168:T168"/>
    <mergeCell ref="U168:W168"/>
    <mergeCell ref="X168:Y168"/>
    <mergeCell ref="Z168:AA168"/>
    <mergeCell ref="AB168:AC168"/>
    <mergeCell ref="AB164:AC166"/>
    <mergeCell ref="A165:J166"/>
    <mergeCell ref="U165:W166"/>
    <mergeCell ref="X165:Y166"/>
    <mergeCell ref="Z165:AA166"/>
    <mergeCell ref="A167:J167"/>
    <mergeCell ref="K167:L167"/>
    <mergeCell ref="M167:N167"/>
    <mergeCell ref="O167:Q167"/>
    <mergeCell ref="R167:T167"/>
    <mergeCell ref="A164:J164"/>
    <mergeCell ref="K164:L166"/>
    <mergeCell ref="M164:N166"/>
    <mergeCell ref="O164:Q166"/>
    <mergeCell ref="R164:T166"/>
    <mergeCell ref="U164:AA164"/>
    <mergeCell ref="U167:W167"/>
    <mergeCell ref="X167:Y167"/>
    <mergeCell ref="Z167:AA167"/>
    <mergeCell ref="AB167:AC167"/>
    <mergeCell ref="Y160:AA161"/>
    <mergeCell ref="AB160:AC161"/>
    <mergeCell ref="A162:G162"/>
    <mergeCell ref="H162:N162"/>
    <mergeCell ref="T162:Y162"/>
    <mergeCell ref="Z162:AC162"/>
    <mergeCell ref="A158:AC158"/>
    <mergeCell ref="A159:W159"/>
    <mergeCell ref="Y159:Z159"/>
    <mergeCell ref="A160:D160"/>
    <mergeCell ref="E160:H160"/>
    <mergeCell ref="I160:J160"/>
    <mergeCell ref="K160:L160"/>
    <mergeCell ref="M160:N160"/>
    <mergeCell ref="O160:R160"/>
    <mergeCell ref="T160:X161"/>
    <mergeCell ref="A155:F155"/>
    <mergeCell ref="A156:F156"/>
    <mergeCell ref="W156:W157"/>
    <mergeCell ref="A157:F157"/>
    <mergeCell ref="T152:V152"/>
    <mergeCell ref="W152:Z152"/>
    <mergeCell ref="AA152:AC152"/>
    <mergeCell ref="A154:F154"/>
    <mergeCell ref="N154:N157"/>
    <mergeCell ref="O154:O157"/>
    <mergeCell ref="P154:P157"/>
    <mergeCell ref="Q154:Q157"/>
    <mergeCell ref="R154:R157"/>
    <mergeCell ref="S154:S157"/>
    <mergeCell ref="X156:X157"/>
    <mergeCell ref="Y156:Y157"/>
    <mergeCell ref="Z156:Z157"/>
    <mergeCell ref="AA156:AA157"/>
    <mergeCell ref="AB156:AB157"/>
    <mergeCell ref="AC156:AC157"/>
    <mergeCell ref="T154:T157"/>
    <mergeCell ref="U154:U157"/>
    <mergeCell ref="V154:V157"/>
    <mergeCell ref="A152:F153"/>
    <mergeCell ref="G152:H152"/>
    <mergeCell ref="I152:J152"/>
    <mergeCell ref="N152:P152"/>
    <mergeCell ref="Q152:S152"/>
    <mergeCell ref="G145:G149"/>
    <mergeCell ref="H145:H149"/>
    <mergeCell ref="I145:I149"/>
    <mergeCell ref="J145:J149"/>
    <mergeCell ref="K145:K149"/>
    <mergeCell ref="L145:L149"/>
    <mergeCell ref="A145:A149"/>
    <mergeCell ref="B145:B149"/>
    <mergeCell ref="C145:C149"/>
    <mergeCell ref="D145:D149"/>
    <mergeCell ref="E145:E149"/>
    <mergeCell ref="F145:F149"/>
    <mergeCell ref="N145:P145"/>
    <mergeCell ref="Q145:S145"/>
    <mergeCell ref="T145:W145"/>
    <mergeCell ref="X145:AC145"/>
    <mergeCell ref="N146:P149"/>
    <mergeCell ref="Q146:S149"/>
    <mergeCell ref="T146:W149"/>
    <mergeCell ref="Y146:Z146"/>
    <mergeCell ref="AB146:AC146"/>
    <mergeCell ref="Y147:Z147"/>
    <mergeCell ref="AB147:AC147"/>
    <mergeCell ref="Y148:Z148"/>
    <mergeCell ref="AB148:AC148"/>
    <mergeCell ref="Y149:Z149"/>
    <mergeCell ref="AB149:AC149"/>
    <mergeCell ref="L143:L144"/>
    <mergeCell ref="N143:P143"/>
    <mergeCell ref="Q143:S143"/>
    <mergeCell ref="T143:AC143"/>
    <mergeCell ref="N144:P144"/>
    <mergeCell ref="Q144:S144"/>
    <mergeCell ref="T144:AC144"/>
    <mergeCell ref="A137:J137"/>
    <mergeCell ref="A138:J138"/>
    <mergeCell ref="A139:J139"/>
    <mergeCell ref="A140:J140"/>
    <mergeCell ref="O141:P141"/>
    <mergeCell ref="A143:A144"/>
    <mergeCell ref="B143:C143"/>
    <mergeCell ref="D143:F143"/>
    <mergeCell ref="G143:J143"/>
    <mergeCell ref="K143:K144"/>
    <mergeCell ref="U134:V134"/>
    <mergeCell ref="W134:X134"/>
    <mergeCell ref="Y134:Z134"/>
    <mergeCell ref="AA134:AB134"/>
    <mergeCell ref="AC134:AC135"/>
    <mergeCell ref="A136:J136"/>
    <mergeCell ref="A134:J135"/>
    <mergeCell ref="K134:L134"/>
    <mergeCell ref="M134:N134"/>
    <mergeCell ref="O134:P134"/>
    <mergeCell ref="Q134:R134"/>
    <mergeCell ref="S134:T134"/>
    <mergeCell ref="A132:J132"/>
    <mergeCell ref="K132:L132"/>
    <mergeCell ref="M132:N132"/>
    <mergeCell ref="O132:Q132"/>
    <mergeCell ref="R132:T132"/>
    <mergeCell ref="U132:W132"/>
    <mergeCell ref="X132:Y132"/>
    <mergeCell ref="Z132:AA132"/>
    <mergeCell ref="AB132:AC132"/>
    <mergeCell ref="A131:J131"/>
    <mergeCell ref="K131:L131"/>
    <mergeCell ref="M131:N131"/>
    <mergeCell ref="O131:Q131"/>
    <mergeCell ref="R131:T131"/>
    <mergeCell ref="U131:W131"/>
    <mergeCell ref="X131:Y131"/>
    <mergeCell ref="Z131:AA131"/>
    <mergeCell ref="AB131:AC131"/>
    <mergeCell ref="A130:J130"/>
    <mergeCell ref="K130:L130"/>
    <mergeCell ref="M130:N130"/>
    <mergeCell ref="O130:Q130"/>
    <mergeCell ref="R130:T130"/>
    <mergeCell ref="U130:W130"/>
    <mergeCell ref="X130:Y130"/>
    <mergeCell ref="Z130:AA130"/>
    <mergeCell ref="AB130:AC130"/>
    <mergeCell ref="A129:J129"/>
    <mergeCell ref="K129:L129"/>
    <mergeCell ref="M129:N129"/>
    <mergeCell ref="O129:Q129"/>
    <mergeCell ref="R129:T129"/>
    <mergeCell ref="U129:W129"/>
    <mergeCell ref="X129:Y129"/>
    <mergeCell ref="Z129:AA129"/>
    <mergeCell ref="AB129:AC129"/>
    <mergeCell ref="AB125:AC127"/>
    <mergeCell ref="A126:J127"/>
    <mergeCell ref="U126:W127"/>
    <mergeCell ref="X126:Y127"/>
    <mergeCell ref="Z126:AA127"/>
    <mergeCell ref="A128:J128"/>
    <mergeCell ref="K128:L128"/>
    <mergeCell ref="M128:N128"/>
    <mergeCell ref="O128:Q128"/>
    <mergeCell ref="R128:T128"/>
    <mergeCell ref="A125:J125"/>
    <mergeCell ref="K125:L127"/>
    <mergeCell ref="M125:N127"/>
    <mergeCell ref="O125:Q127"/>
    <mergeCell ref="R125:T127"/>
    <mergeCell ref="U125:AA125"/>
    <mergeCell ref="U128:W128"/>
    <mergeCell ref="X128:Y128"/>
    <mergeCell ref="Z128:AA128"/>
    <mergeCell ref="AB128:AC128"/>
    <mergeCell ref="Y121:AA122"/>
    <mergeCell ref="AB121:AC122"/>
    <mergeCell ref="A123:G123"/>
    <mergeCell ref="H123:N123"/>
    <mergeCell ref="T123:Y123"/>
    <mergeCell ref="Z123:AC123"/>
    <mergeCell ref="A119:AC119"/>
    <mergeCell ref="A120:W120"/>
    <mergeCell ref="Y120:Z120"/>
    <mergeCell ref="A121:D121"/>
    <mergeCell ref="E121:H121"/>
    <mergeCell ref="I121:J121"/>
    <mergeCell ref="K121:L121"/>
    <mergeCell ref="M121:N121"/>
    <mergeCell ref="O121:R121"/>
    <mergeCell ref="T121:X122"/>
    <mergeCell ref="A116:F116"/>
    <mergeCell ref="A117:F117"/>
    <mergeCell ref="W117:W118"/>
    <mergeCell ref="A118:F118"/>
    <mergeCell ref="T113:V113"/>
    <mergeCell ref="W113:Z113"/>
    <mergeCell ref="AA113:AC113"/>
    <mergeCell ref="A115:F115"/>
    <mergeCell ref="N115:N118"/>
    <mergeCell ref="O115:O118"/>
    <mergeCell ref="P115:P118"/>
    <mergeCell ref="Q115:Q118"/>
    <mergeCell ref="R115:R118"/>
    <mergeCell ref="S115:S118"/>
    <mergeCell ref="X117:X118"/>
    <mergeCell ref="Y117:Y118"/>
    <mergeCell ref="Z117:Z118"/>
    <mergeCell ref="AA117:AA118"/>
    <mergeCell ref="AB117:AB118"/>
    <mergeCell ref="AC117:AC118"/>
    <mergeCell ref="T115:T118"/>
    <mergeCell ref="U115:U118"/>
    <mergeCell ref="V115:V118"/>
    <mergeCell ref="A113:F114"/>
    <mergeCell ref="G113:H113"/>
    <mergeCell ref="I113:J113"/>
    <mergeCell ref="N113:P113"/>
    <mergeCell ref="Q113:S113"/>
    <mergeCell ref="G106:G110"/>
    <mergeCell ref="H106:H110"/>
    <mergeCell ref="I106:I110"/>
    <mergeCell ref="J106:J110"/>
    <mergeCell ref="K106:K110"/>
    <mergeCell ref="L106:L110"/>
    <mergeCell ref="A106:A110"/>
    <mergeCell ref="B106:B110"/>
    <mergeCell ref="C106:C110"/>
    <mergeCell ref="D106:D110"/>
    <mergeCell ref="E106:E110"/>
    <mergeCell ref="F106:F110"/>
    <mergeCell ref="N106:P106"/>
    <mergeCell ref="Q106:S106"/>
    <mergeCell ref="T106:W106"/>
    <mergeCell ref="X106:AC106"/>
    <mergeCell ref="N107:P110"/>
    <mergeCell ref="Q107:S110"/>
    <mergeCell ref="T107:W110"/>
    <mergeCell ref="Y107:Z107"/>
    <mergeCell ref="AB107:AC107"/>
    <mergeCell ref="Y108:Z108"/>
    <mergeCell ref="AB108:AC108"/>
    <mergeCell ref="Y109:Z109"/>
    <mergeCell ref="AB109:AC109"/>
    <mergeCell ref="Y110:Z110"/>
    <mergeCell ref="AB110:AC110"/>
    <mergeCell ref="L104:L105"/>
    <mergeCell ref="N104:P104"/>
    <mergeCell ref="Q104:S104"/>
    <mergeCell ref="T104:AC104"/>
    <mergeCell ref="N105:P105"/>
    <mergeCell ref="Q105:S105"/>
    <mergeCell ref="T105:AC105"/>
    <mergeCell ref="A98:J98"/>
    <mergeCell ref="A99:J99"/>
    <mergeCell ref="A100:J100"/>
    <mergeCell ref="A101:J101"/>
    <mergeCell ref="O102:P102"/>
    <mergeCell ref="A104:A105"/>
    <mergeCell ref="B104:C104"/>
    <mergeCell ref="D104:F104"/>
    <mergeCell ref="G104:J104"/>
    <mergeCell ref="K104:K105"/>
    <mergeCell ref="U95:V95"/>
    <mergeCell ref="W95:X95"/>
    <mergeCell ref="Y95:Z95"/>
    <mergeCell ref="AA95:AB95"/>
    <mergeCell ref="AC95:AC96"/>
    <mergeCell ref="A97:J97"/>
    <mergeCell ref="A95:J96"/>
    <mergeCell ref="K95:L95"/>
    <mergeCell ref="M95:N95"/>
    <mergeCell ref="O95:P95"/>
    <mergeCell ref="Q95:R95"/>
    <mergeCell ref="S95:T95"/>
    <mergeCell ref="A93:J93"/>
    <mergeCell ref="K93:L93"/>
    <mergeCell ref="M93:N93"/>
    <mergeCell ref="O93:Q93"/>
    <mergeCell ref="R93:T93"/>
    <mergeCell ref="U93:W93"/>
    <mergeCell ref="X93:Y93"/>
    <mergeCell ref="Z93:AA93"/>
    <mergeCell ref="AB93:AC93"/>
    <mergeCell ref="A92:J92"/>
    <mergeCell ref="K92:L92"/>
    <mergeCell ref="M92:N92"/>
    <mergeCell ref="O92:Q92"/>
    <mergeCell ref="R92:T92"/>
    <mergeCell ref="U92:W92"/>
    <mergeCell ref="X92:Y92"/>
    <mergeCell ref="Z92:AA92"/>
    <mergeCell ref="AB92:AC92"/>
    <mergeCell ref="A91:J91"/>
    <mergeCell ref="K91:L91"/>
    <mergeCell ref="M91:N91"/>
    <mergeCell ref="O91:Q91"/>
    <mergeCell ref="R91:T91"/>
    <mergeCell ref="U91:W91"/>
    <mergeCell ref="X91:Y91"/>
    <mergeCell ref="Z91:AA91"/>
    <mergeCell ref="AB91:AC91"/>
    <mergeCell ref="A90:J90"/>
    <mergeCell ref="K90:L90"/>
    <mergeCell ref="M90:N90"/>
    <mergeCell ref="O90:Q90"/>
    <mergeCell ref="R90:T90"/>
    <mergeCell ref="U90:W90"/>
    <mergeCell ref="X90:Y90"/>
    <mergeCell ref="Z90:AA90"/>
    <mergeCell ref="AB90:AC90"/>
    <mergeCell ref="AB86:AC88"/>
    <mergeCell ref="A87:J88"/>
    <mergeCell ref="U87:W88"/>
    <mergeCell ref="X87:Y88"/>
    <mergeCell ref="Z87:AA88"/>
    <mergeCell ref="A89:J89"/>
    <mergeCell ref="K89:L89"/>
    <mergeCell ref="M89:N89"/>
    <mergeCell ref="O89:Q89"/>
    <mergeCell ref="R89:T89"/>
    <mergeCell ref="A86:J86"/>
    <mergeCell ref="K86:L88"/>
    <mergeCell ref="M86:N88"/>
    <mergeCell ref="O86:Q88"/>
    <mergeCell ref="R86:T88"/>
    <mergeCell ref="U86:AA86"/>
    <mergeCell ref="U89:W89"/>
    <mergeCell ref="X89:Y89"/>
    <mergeCell ref="Z89:AA89"/>
    <mergeCell ref="AB89:AC89"/>
    <mergeCell ref="Y82:AA83"/>
    <mergeCell ref="AB82:AC83"/>
    <mergeCell ref="A84:G84"/>
    <mergeCell ref="H84:N84"/>
    <mergeCell ref="T84:Y84"/>
    <mergeCell ref="Z84:AC84"/>
    <mergeCell ref="A80:AC80"/>
    <mergeCell ref="A81:W81"/>
    <mergeCell ref="Y81:Z81"/>
    <mergeCell ref="A82:D82"/>
    <mergeCell ref="E82:H82"/>
    <mergeCell ref="I82:J82"/>
    <mergeCell ref="K82:L82"/>
    <mergeCell ref="M82:N82"/>
    <mergeCell ref="O82:R82"/>
    <mergeCell ref="T82:X83"/>
    <mergeCell ref="A77:F77"/>
    <mergeCell ref="A78:F78"/>
    <mergeCell ref="W78:W79"/>
    <mergeCell ref="A79:F79"/>
    <mergeCell ref="T74:V74"/>
    <mergeCell ref="W74:Z74"/>
    <mergeCell ref="AA74:AC74"/>
    <mergeCell ref="A76:F76"/>
    <mergeCell ref="N76:N79"/>
    <mergeCell ref="O76:O79"/>
    <mergeCell ref="P76:P79"/>
    <mergeCell ref="Q76:Q79"/>
    <mergeCell ref="R76:R79"/>
    <mergeCell ref="S76:S79"/>
    <mergeCell ref="X78:X79"/>
    <mergeCell ref="Y78:Y79"/>
    <mergeCell ref="Z78:Z79"/>
    <mergeCell ref="AA78:AA79"/>
    <mergeCell ref="AB78:AB79"/>
    <mergeCell ref="AC78:AC79"/>
    <mergeCell ref="T76:T79"/>
    <mergeCell ref="U76:U79"/>
    <mergeCell ref="V76:V79"/>
    <mergeCell ref="A74:F75"/>
    <mergeCell ref="G74:H74"/>
    <mergeCell ref="I74:J74"/>
    <mergeCell ref="N74:P74"/>
    <mergeCell ref="Q74:S74"/>
    <mergeCell ref="G67:G71"/>
    <mergeCell ref="H67:H71"/>
    <mergeCell ref="I67:I71"/>
    <mergeCell ref="J67:J71"/>
    <mergeCell ref="K67:K71"/>
    <mergeCell ref="L67:L71"/>
    <mergeCell ref="A67:A71"/>
    <mergeCell ref="B67:B71"/>
    <mergeCell ref="C67:C71"/>
    <mergeCell ref="D67:D71"/>
    <mergeCell ref="E67:E71"/>
    <mergeCell ref="F67:F71"/>
    <mergeCell ref="N67:P67"/>
    <mergeCell ref="Q67:S67"/>
    <mergeCell ref="T67:W67"/>
    <mergeCell ref="X67:AC67"/>
    <mergeCell ref="N68:P71"/>
    <mergeCell ref="Q68:S71"/>
    <mergeCell ref="T68:W71"/>
    <mergeCell ref="Y68:Z68"/>
    <mergeCell ref="AB68:AC68"/>
    <mergeCell ref="Y69:Z69"/>
    <mergeCell ref="AB69:AC69"/>
    <mergeCell ref="Y70:Z70"/>
    <mergeCell ref="AB70:AC70"/>
    <mergeCell ref="Y71:Z71"/>
    <mergeCell ref="AB71:AC71"/>
    <mergeCell ref="L65:L66"/>
    <mergeCell ref="N65:P65"/>
    <mergeCell ref="Q65:S65"/>
    <mergeCell ref="T65:AC65"/>
    <mergeCell ref="N66:P66"/>
    <mergeCell ref="Q66:S66"/>
    <mergeCell ref="T66:AC66"/>
    <mergeCell ref="A59:J59"/>
    <mergeCell ref="A60:J60"/>
    <mergeCell ref="A61:J61"/>
    <mergeCell ref="A62:J62"/>
    <mergeCell ref="O63:P63"/>
    <mergeCell ref="A65:A66"/>
    <mergeCell ref="B65:C65"/>
    <mergeCell ref="D65:F65"/>
    <mergeCell ref="G65:J65"/>
    <mergeCell ref="K65:K66"/>
    <mergeCell ref="U56:V56"/>
    <mergeCell ref="W56:X56"/>
    <mergeCell ref="Y56:Z56"/>
    <mergeCell ref="AA56:AB56"/>
    <mergeCell ref="AC56:AC57"/>
    <mergeCell ref="A58:J58"/>
    <mergeCell ref="A56:J57"/>
    <mergeCell ref="K56:L56"/>
    <mergeCell ref="M56:N56"/>
    <mergeCell ref="O56:P56"/>
    <mergeCell ref="Q56:R56"/>
    <mergeCell ref="S56:T56"/>
    <mergeCell ref="A54:J54"/>
    <mergeCell ref="K54:L54"/>
    <mergeCell ref="M54:N54"/>
    <mergeCell ref="O54:Q54"/>
    <mergeCell ref="R54:T54"/>
    <mergeCell ref="U54:W54"/>
    <mergeCell ref="X54:Y54"/>
    <mergeCell ref="Z54:AA54"/>
    <mergeCell ref="AB54:AC54"/>
    <mergeCell ref="A53:J53"/>
    <mergeCell ref="K53:L53"/>
    <mergeCell ref="M53:N53"/>
    <mergeCell ref="O53:Q53"/>
    <mergeCell ref="R53:T53"/>
    <mergeCell ref="U53:W53"/>
    <mergeCell ref="X53:Y53"/>
    <mergeCell ref="Z53:AA53"/>
    <mergeCell ref="AB53:AC53"/>
    <mergeCell ref="A52:J52"/>
    <mergeCell ref="K52:L52"/>
    <mergeCell ref="M52:N52"/>
    <mergeCell ref="O52:Q52"/>
    <mergeCell ref="R52:T52"/>
    <mergeCell ref="U52:W52"/>
    <mergeCell ref="X52:Y52"/>
    <mergeCell ref="Z52:AA52"/>
    <mergeCell ref="AB52:AC52"/>
    <mergeCell ref="A51:J51"/>
    <mergeCell ref="K51:L51"/>
    <mergeCell ref="M51:N51"/>
    <mergeCell ref="O51:Q51"/>
    <mergeCell ref="R51:T51"/>
    <mergeCell ref="U51:W51"/>
    <mergeCell ref="X51:Y51"/>
    <mergeCell ref="Z51:AA51"/>
    <mergeCell ref="AB51:AC51"/>
    <mergeCell ref="AB47:AC49"/>
    <mergeCell ref="A48:J49"/>
    <mergeCell ref="U48:W49"/>
    <mergeCell ref="X48:Y49"/>
    <mergeCell ref="Z48:AA49"/>
    <mergeCell ref="A50:J50"/>
    <mergeCell ref="K50:L50"/>
    <mergeCell ref="M50:N50"/>
    <mergeCell ref="O50:Q50"/>
    <mergeCell ref="R50:T50"/>
    <mergeCell ref="A47:J47"/>
    <mergeCell ref="K47:L49"/>
    <mergeCell ref="M47:N49"/>
    <mergeCell ref="O47:Q49"/>
    <mergeCell ref="R47:T49"/>
    <mergeCell ref="U47:AA47"/>
    <mergeCell ref="U50:W50"/>
    <mergeCell ref="X50:Y50"/>
    <mergeCell ref="Z50:AA50"/>
    <mergeCell ref="AB50:AC50"/>
    <mergeCell ref="Y43:AA44"/>
    <mergeCell ref="AB43:AC44"/>
    <mergeCell ref="A45:G45"/>
    <mergeCell ref="H45:N45"/>
    <mergeCell ref="T45:Y45"/>
    <mergeCell ref="Z45:AC45"/>
    <mergeCell ref="A41:AC41"/>
    <mergeCell ref="A42:W42"/>
    <mergeCell ref="Y42:Z42"/>
    <mergeCell ref="A43:D43"/>
    <mergeCell ref="E43:H43"/>
    <mergeCell ref="I43:J43"/>
    <mergeCell ref="K43:L43"/>
    <mergeCell ref="M43:N43"/>
    <mergeCell ref="O43:R43"/>
    <mergeCell ref="T43:X44"/>
    <mergeCell ref="A38:F38"/>
    <mergeCell ref="A39:F39"/>
    <mergeCell ref="W39:W40"/>
    <mergeCell ref="A40:F40"/>
    <mergeCell ref="T35:V35"/>
    <mergeCell ref="W35:Z35"/>
    <mergeCell ref="AA35:AC35"/>
    <mergeCell ref="A37:F37"/>
    <mergeCell ref="N37:N40"/>
    <mergeCell ref="O37:O40"/>
    <mergeCell ref="P37:P40"/>
    <mergeCell ref="Q37:Q40"/>
    <mergeCell ref="R37:R40"/>
    <mergeCell ref="S37:S40"/>
    <mergeCell ref="X39:X40"/>
    <mergeCell ref="Y39:Y40"/>
    <mergeCell ref="Z39:Z40"/>
    <mergeCell ref="AA39:AA40"/>
    <mergeCell ref="AB39:AB40"/>
    <mergeCell ref="AC39:AC40"/>
    <mergeCell ref="T37:T40"/>
    <mergeCell ref="U37:U40"/>
    <mergeCell ref="V37:V40"/>
    <mergeCell ref="A35:F36"/>
    <mergeCell ref="G35:H35"/>
    <mergeCell ref="I35:J35"/>
    <mergeCell ref="N35:P35"/>
    <mergeCell ref="Q35:S35"/>
    <mergeCell ref="G28:G32"/>
    <mergeCell ref="H28:H32"/>
    <mergeCell ref="I28:I32"/>
    <mergeCell ref="J28:J32"/>
    <mergeCell ref="K28:K32"/>
    <mergeCell ref="L28:L32"/>
    <mergeCell ref="A28:A32"/>
    <mergeCell ref="B28:B32"/>
    <mergeCell ref="C28:C32"/>
    <mergeCell ref="D28:D32"/>
    <mergeCell ref="E28:E32"/>
    <mergeCell ref="F28:F32"/>
    <mergeCell ref="N28:P28"/>
    <mergeCell ref="Q28:S28"/>
    <mergeCell ref="T28:W28"/>
    <mergeCell ref="X28:AC28"/>
    <mergeCell ref="N29:P32"/>
    <mergeCell ref="Q29:S32"/>
    <mergeCell ref="T29:W32"/>
    <mergeCell ref="Y29:Z29"/>
    <mergeCell ref="AB29:AC29"/>
    <mergeCell ref="Y30:Z30"/>
    <mergeCell ref="AB30:AC30"/>
    <mergeCell ref="Y31:Z31"/>
    <mergeCell ref="AB31:AC31"/>
    <mergeCell ref="Y32:Z32"/>
    <mergeCell ref="AB32:AC32"/>
    <mergeCell ref="L26:L27"/>
    <mergeCell ref="N26:P26"/>
    <mergeCell ref="Q26:S26"/>
    <mergeCell ref="T26:AC26"/>
    <mergeCell ref="N27:P27"/>
    <mergeCell ref="Q27:S27"/>
    <mergeCell ref="T27:AC27"/>
    <mergeCell ref="A20:J20"/>
    <mergeCell ref="A21:J21"/>
    <mergeCell ref="A22:J22"/>
    <mergeCell ref="A23:J23"/>
    <mergeCell ref="O24:P24"/>
    <mergeCell ref="A26:A27"/>
    <mergeCell ref="B26:C26"/>
    <mergeCell ref="D26:F26"/>
    <mergeCell ref="G26:J26"/>
    <mergeCell ref="K26:K27"/>
    <mergeCell ref="U17:V17"/>
    <mergeCell ref="W17:X17"/>
    <mergeCell ref="Y17:Z17"/>
    <mergeCell ref="AA17:AB17"/>
    <mergeCell ref="AC17:AC18"/>
    <mergeCell ref="A19:J19"/>
    <mergeCell ref="A17:J18"/>
    <mergeCell ref="K17:L17"/>
    <mergeCell ref="M17:N17"/>
    <mergeCell ref="O17:P17"/>
    <mergeCell ref="Q17:R17"/>
    <mergeCell ref="S17:T17"/>
    <mergeCell ref="A15:J15"/>
    <mergeCell ref="K15:L15"/>
    <mergeCell ref="M15:N15"/>
    <mergeCell ref="O15:Q15"/>
    <mergeCell ref="R15:T15"/>
    <mergeCell ref="U15:W15"/>
    <mergeCell ref="X15:Y15"/>
    <mergeCell ref="Z15:AA15"/>
    <mergeCell ref="AB15:AC15"/>
    <mergeCell ref="A14:J14"/>
    <mergeCell ref="K14:L14"/>
    <mergeCell ref="M14:N14"/>
    <mergeCell ref="O14:Q14"/>
    <mergeCell ref="R14:T14"/>
    <mergeCell ref="U14:W14"/>
    <mergeCell ref="X14:Y14"/>
    <mergeCell ref="Z14:AA14"/>
    <mergeCell ref="AB14:AC14"/>
    <mergeCell ref="A13:J13"/>
    <mergeCell ref="K13:L13"/>
    <mergeCell ref="M13:N13"/>
    <mergeCell ref="O13:Q13"/>
    <mergeCell ref="R13:T13"/>
    <mergeCell ref="U13:W13"/>
    <mergeCell ref="X13:Y13"/>
    <mergeCell ref="Z13:AA13"/>
    <mergeCell ref="AB13:AC13"/>
    <mergeCell ref="A12:J12"/>
    <mergeCell ref="K12:L12"/>
    <mergeCell ref="M12:N12"/>
    <mergeCell ref="O12:Q12"/>
    <mergeCell ref="R12:T12"/>
    <mergeCell ref="U12:W12"/>
    <mergeCell ref="X12:Y12"/>
    <mergeCell ref="Z12:AA12"/>
    <mergeCell ref="AB12:AC12"/>
    <mergeCell ref="AB8:AC10"/>
    <mergeCell ref="A9:J10"/>
    <mergeCell ref="U9:W10"/>
    <mergeCell ref="X9:Y10"/>
    <mergeCell ref="Z9:AA10"/>
    <mergeCell ref="A11:J11"/>
    <mergeCell ref="K11:L11"/>
    <mergeCell ref="M11:N11"/>
    <mergeCell ref="O11:Q11"/>
    <mergeCell ref="R11:T11"/>
    <mergeCell ref="A8:J8"/>
    <mergeCell ref="K8:L10"/>
    <mergeCell ref="M8:N10"/>
    <mergeCell ref="O8:Q10"/>
    <mergeCell ref="R8:T10"/>
    <mergeCell ref="U8:AA8"/>
    <mergeCell ref="U11:W11"/>
    <mergeCell ref="X11:Y11"/>
    <mergeCell ref="Z11:AA11"/>
    <mergeCell ref="AB11:AC11"/>
    <mergeCell ref="Y4:AA5"/>
    <mergeCell ref="AB4:AC5"/>
    <mergeCell ref="A6:G6"/>
    <mergeCell ref="H6:N6"/>
    <mergeCell ref="T6:Y6"/>
    <mergeCell ref="Z6:AC6"/>
    <mergeCell ref="A2:AC2"/>
    <mergeCell ref="A3:W3"/>
    <mergeCell ref="Y3:Z3"/>
    <mergeCell ref="A4:D4"/>
    <mergeCell ref="E4:H4"/>
    <mergeCell ref="I4:J4"/>
    <mergeCell ref="K4:L4"/>
    <mergeCell ref="M4:N4"/>
    <mergeCell ref="O4:R4"/>
    <mergeCell ref="T4:X5"/>
  </mergeCells>
  <printOptions horizontalCentered="1"/>
  <pageMargins left="0.25" right="0.25" top="0.25" bottom="0.25" header="0.25" footer="0.25"/>
  <pageSetup paperSize="9" scale="63" orientation="landscape" r:id="rId1"/>
  <rowBreaks count="4" manualBreakCount="4">
    <brk id="40" max="16383" man="1"/>
    <brk id="79" max="16383" man="1"/>
    <brk id="118" max="28" man="1"/>
    <brk id="157" max="28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8000"/>
  </sheetPr>
  <dimension ref="A1:AF196"/>
  <sheetViews>
    <sheetView view="pageBreakPreview" topLeftCell="A25" zoomScale="85" zoomScaleNormal="100" zoomScaleSheetLayoutView="85" workbookViewId="0">
      <selection activeCell="N37" sqref="N37:P40"/>
    </sheetView>
  </sheetViews>
  <sheetFormatPr defaultColWidth="9.109375" defaultRowHeight="14.4" x14ac:dyDescent="0.3"/>
  <cols>
    <col min="1" max="1" width="7.88671875" style="1" customWidth="1"/>
    <col min="2" max="2" width="11.44140625" style="1" customWidth="1"/>
    <col min="3" max="3" width="11" style="1" customWidth="1"/>
    <col min="4" max="7" width="7.33203125" style="1" customWidth="1"/>
    <col min="8" max="8" width="7.6640625" style="1" customWidth="1"/>
    <col min="9" max="9" width="8.33203125" style="1" customWidth="1"/>
    <col min="10" max="10" width="7.33203125" style="1" customWidth="1"/>
    <col min="11" max="11" width="9.6640625" style="1" customWidth="1"/>
    <col min="12" max="12" width="8" style="1" customWidth="1"/>
    <col min="13" max="13" width="7.33203125" style="1" customWidth="1"/>
    <col min="14" max="14" width="6.33203125" style="1" customWidth="1"/>
    <col min="15" max="19" width="5.33203125" style="1" customWidth="1"/>
    <col min="20" max="20" width="6.33203125" style="1" customWidth="1"/>
    <col min="21" max="22" width="5.33203125" style="1" customWidth="1"/>
    <col min="23" max="29" width="7.33203125" style="1" customWidth="1"/>
    <col min="30" max="16384" width="9.109375" style="1"/>
  </cols>
  <sheetData>
    <row r="1" spans="1:32" ht="7.5" customHeight="1" x14ac:dyDescent="0.3"/>
    <row r="2" spans="1:32" ht="18" customHeight="1" x14ac:dyDescent="0.45">
      <c r="A2" s="158" t="s">
        <v>15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</row>
    <row r="3" spans="1:32" ht="21" customHeight="1" x14ac:dyDescent="0.3">
      <c r="A3" s="159" t="s">
        <v>16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2"/>
      <c r="Y3" s="160" t="s">
        <v>17</v>
      </c>
      <c r="Z3" s="160"/>
      <c r="AA3" s="2"/>
      <c r="AB3" s="2"/>
      <c r="AC3" s="2"/>
    </row>
    <row r="4" spans="1:32" ht="30.9" customHeight="1" x14ac:dyDescent="0.3">
      <c r="A4" s="326" t="s">
        <v>18</v>
      </c>
      <c r="B4" s="326"/>
      <c r="C4" s="326"/>
      <c r="D4" s="326"/>
      <c r="E4" s="439" t="s">
        <v>104</v>
      </c>
      <c r="F4" s="439"/>
      <c r="G4" s="439"/>
      <c r="H4" s="439"/>
      <c r="I4" s="328" t="s">
        <v>20</v>
      </c>
      <c r="J4" s="328"/>
      <c r="K4" s="329" t="s">
        <v>85</v>
      </c>
      <c r="L4" s="329"/>
      <c r="M4" s="328" t="s">
        <v>21</v>
      </c>
      <c r="N4" s="328"/>
      <c r="O4" s="340" t="s">
        <v>92</v>
      </c>
      <c r="P4" s="340"/>
      <c r="Q4" s="340"/>
      <c r="R4" s="340"/>
      <c r="S4" s="43"/>
      <c r="T4" s="166" t="s">
        <v>22</v>
      </c>
      <c r="U4" s="166"/>
      <c r="V4" s="166"/>
      <c r="W4" s="166"/>
      <c r="X4" s="166"/>
      <c r="Y4" s="152" t="s">
        <v>23</v>
      </c>
      <c r="Z4" s="152"/>
      <c r="AA4" s="152"/>
      <c r="AB4" s="153" t="s">
        <v>83</v>
      </c>
      <c r="AC4" s="153"/>
    </row>
    <row r="5" spans="1:32" ht="5.25" customHeight="1" x14ac:dyDescent="0.3">
      <c r="T5" s="166"/>
      <c r="U5" s="166"/>
      <c r="V5" s="166"/>
      <c r="W5" s="166"/>
      <c r="X5" s="166"/>
      <c r="Y5" s="152"/>
      <c r="Z5" s="152"/>
      <c r="AA5" s="152"/>
      <c r="AB5" s="153"/>
      <c r="AC5" s="153"/>
    </row>
    <row r="6" spans="1:32" ht="15.75" customHeight="1" x14ac:dyDescent="0.3">
      <c r="A6" s="324" t="s">
        <v>24</v>
      </c>
      <c r="B6" s="324"/>
      <c r="C6" s="324"/>
      <c r="D6" s="324"/>
      <c r="E6" s="324"/>
      <c r="F6" s="324"/>
      <c r="G6" s="324"/>
      <c r="H6" s="347" t="s">
        <v>25</v>
      </c>
      <c r="I6" s="347"/>
      <c r="J6" s="347"/>
      <c r="K6" s="347"/>
      <c r="L6" s="347"/>
      <c r="M6" s="347"/>
      <c r="N6" s="347"/>
      <c r="O6" s="44"/>
      <c r="P6" s="44"/>
      <c r="T6" s="156" t="s">
        <v>26</v>
      </c>
      <c r="U6" s="156"/>
      <c r="V6" s="156"/>
      <c r="W6" s="156"/>
      <c r="X6" s="156"/>
      <c r="Y6" s="156"/>
      <c r="Z6" s="265" t="s">
        <v>27</v>
      </c>
      <c r="AA6" s="265"/>
      <c r="AB6" s="265"/>
      <c r="AC6" s="265"/>
      <c r="AE6" s="1" t="s">
        <v>28</v>
      </c>
      <c r="AF6" s="1" t="s">
        <v>28</v>
      </c>
    </row>
    <row r="7" spans="1:32" ht="7.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32" ht="15" customHeight="1" x14ac:dyDescent="0.3">
      <c r="A8" s="284" t="s">
        <v>29</v>
      </c>
      <c r="B8" s="285"/>
      <c r="C8" s="285"/>
      <c r="D8" s="285"/>
      <c r="E8" s="285"/>
      <c r="F8" s="285"/>
      <c r="G8" s="285"/>
      <c r="H8" s="285"/>
      <c r="I8" s="285"/>
      <c r="J8" s="286"/>
      <c r="K8" s="273" t="s">
        <v>30</v>
      </c>
      <c r="L8" s="274"/>
      <c r="M8" s="273" t="s">
        <v>31</v>
      </c>
      <c r="N8" s="274"/>
      <c r="O8" s="287" t="s">
        <v>32</v>
      </c>
      <c r="P8" s="288"/>
      <c r="Q8" s="289"/>
      <c r="R8" s="273" t="s">
        <v>33</v>
      </c>
      <c r="S8" s="296"/>
      <c r="T8" s="274"/>
      <c r="U8" s="224" t="s">
        <v>34</v>
      </c>
      <c r="V8" s="225"/>
      <c r="W8" s="225"/>
      <c r="X8" s="225"/>
      <c r="Y8" s="225"/>
      <c r="Z8" s="225"/>
      <c r="AA8" s="226"/>
      <c r="AB8" s="273" t="s">
        <v>7</v>
      </c>
      <c r="AC8" s="274"/>
    </row>
    <row r="9" spans="1:32" ht="23.25" customHeight="1" x14ac:dyDescent="0.3">
      <c r="A9" s="169" t="s">
        <v>35</v>
      </c>
      <c r="B9" s="173"/>
      <c r="C9" s="173"/>
      <c r="D9" s="173"/>
      <c r="E9" s="173"/>
      <c r="F9" s="173"/>
      <c r="G9" s="173"/>
      <c r="H9" s="173"/>
      <c r="I9" s="173"/>
      <c r="J9" s="170"/>
      <c r="K9" s="275"/>
      <c r="L9" s="276"/>
      <c r="M9" s="275"/>
      <c r="N9" s="276"/>
      <c r="O9" s="290"/>
      <c r="P9" s="291"/>
      <c r="Q9" s="292"/>
      <c r="R9" s="275"/>
      <c r="S9" s="297"/>
      <c r="T9" s="276"/>
      <c r="U9" s="279" t="s">
        <v>36</v>
      </c>
      <c r="V9" s="279"/>
      <c r="W9" s="279"/>
      <c r="X9" s="279" t="s">
        <v>37</v>
      </c>
      <c r="Y9" s="279"/>
      <c r="Z9" s="279" t="s">
        <v>38</v>
      </c>
      <c r="AA9" s="279"/>
      <c r="AB9" s="275"/>
      <c r="AC9" s="276"/>
    </row>
    <row r="10" spans="1:32" x14ac:dyDescent="0.3">
      <c r="A10" s="171"/>
      <c r="B10" s="174"/>
      <c r="C10" s="174"/>
      <c r="D10" s="174"/>
      <c r="E10" s="174"/>
      <c r="F10" s="174"/>
      <c r="G10" s="174"/>
      <c r="H10" s="174"/>
      <c r="I10" s="174"/>
      <c r="J10" s="172"/>
      <c r="K10" s="277"/>
      <c r="L10" s="278"/>
      <c r="M10" s="277"/>
      <c r="N10" s="278"/>
      <c r="O10" s="293"/>
      <c r="P10" s="294"/>
      <c r="Q10" s="295"/>
      <c r="R10" s="277"/>
      <c r="S10" s="298"/>
      <c r="T10" s="278"/>
      <c r="U10" s="280"/>
      <c r="V10" s="280"/>
      <c r="W10" s="280"/>
      <c r="X10" s="280"/>
      <c r="Y10" s="280"/>
      <c r="Z10" s="280"/>
      <c r="AA10" s="280"/>
      <c r="AB10" s="277"/>
      <c r="AC10" s="278"/>
    </row>
    <row r="11" spans="1:32" ht="24.9" customHeight="1" x14ac:dyDescent="0.3">
      <c r="A11" s="281" t="s">
        <v>39</v>
      </c>
      <c r="B11" s="282"/>
      <c r="C11" s="282"/>
      <c r="D11" s="282"/>
      <c r="E11" s="282"/>
      <c r="F11" s="282"/>
      <c r="G11" s="282"/>
      <c r="H11" s="282"/>
      <c r="I11" s="282"/>
      <c r="J11" s="283"/>
      <c r="K11" s="224">
        <v>24</v>
      </c>
      <c r="L11" s="226"/>
      <c r="M11" s="224">
        <v>2</v>
      </c>
      <c r="N11" s="226"/>
      <c r="O11" s="224">
        <v>0</v>
      </c>
      <c r="P11" s="225"/>
      <c r="Q11" s="226"/>
      <c r="R11" s="224">
        <v>26</v>
      </c>
      <c r="S11" s="225"/>
      <c r="T11" s="226"/>
      <c r="U11" s="224">
        <v>0</v>
      </c>
      <c r="V11" s="225"/>
      <c r="W11" s="226"/>
      <c r="X11" s="224">
        <v>0</v>
      </c>
      <c r="Y11" s="226"/>
      <c r="Z11" s="224">
        <v>0</v>
      </c>
      <c r="AA11" s="226"/>
      <c r="AB11" s="299">
        <v>26</v>
      </c>
      <c r="AC11" s="300"/>
    </row>
    <row r="12" spans="1:32" ht="24.9" customHeight="1" x14ac:dyDescent="0.3">
      <c r="A12" s="281" t="s">
        <v>40</v>
      </c>
      <c r="B12" s="282"/>
      <c r="C12" s="282"/>
      <c r="D12" s="282"/>
      <c r="E12" s="282"/>
      <c r="F12" s="282"/>
      <c r="G12" s="282"/>
      <c r="H12" s="282"/>
      <c r="I12" s="282"/>
      <c r="J12" s="283"/>
      <c r="K12" s="224">
        <v>21</v>
      </c>
      <c r="L12" s="226"/>
      <c r="M12" s="224">
        <v>0</v>
      </c>
      <c r="N12" s="226"/>
      <c r="O12" s="224">
        <v>0</v>
      </c>
      <c r="P12" s="225"/>
      <c r="Q12" s="226"/>
      <c r="R12" s="224">
        <v>21</v>
      </c>
      <c r="S12" s="225"/>
      <c r="T12" s="226"/>
      <c r="U12" s="224">
        <v>0</v>
      </c>
      <c r="V12" s="225"/>
      <c r="W12" s="226"/>
      <c r="X12" s="224">
        <v>0</v>
      </c>
      <c r="Y12" s="226"/>
      <c r="Z12" s="224">
        <v>0</v>
      </c>
      <c r="AA12" s="226"/>
      <c r="AB12" s="299">
        <v>21</v>
      </c>
      <c r="AC12" s="300"/>
    </row>
    <row r="13" spans="1:32" ht="24.9" customHeight="1" x14ac:dyDescent="0.3">
      <c r="A13" s="281" t="s">
        <v>41</v>
      </c>
      <c r="B13" s="282"/>
      <c r="C13" s="282"/>
      <c r="D13" s="282"/>
      <c r="E13" s="282"/>
      <c r="F13" s="282"/>
      <c r="G13" s="282"/>
      <c r="H13" s="282"/>
      <c r="I13" s="282"/>
      <c r="J13" s="283"/>
      <c r="K13" s="224">
        <v>0</v>
      </c>
      <c r="L13" s="226"/>
      <c r="M13" s="224">
        <v>0</v>
      </c>
      <c r="N13" s="226"/>
      <c r="O13" s="224">
        <v>0</v>
      </c>
      <c r="P13" s="225"/>
      <c r="Q13" s="226"/>
      <c r="R13" s="224">
        <v>0</v>
      </c>
      <c r="S13" s="225"/>
      <c r="T13" s="226"/>
      <c r="U13" s="224">
        <v>0</v>
      </c>
      <c r="V13" s="225"/>
      <c r="W13" s="226"/>
      <c r="X13" s="224">
        <v>0</v>
      </c>
      <c r="Y13" s="226"/>
      <c r="Z13" s="224">
        <v>0</v>
      </c>
      <c r="AA13" s="226"/>
      <c r="AB13" s="299">
        <v>0</v>
      </c>
      <c r="AC13" s="300"/>
    </row>
    <row r="14" spans="1:32" ht="24.9" customHeight="1" x14ac:dyDescent="0.3">
      <c r="A14" s="281" t="s">
        <v>42</v>
      </c>
      <c r="B14" s="282"/>
      <c r="C14" s="282"/>
      <c r="D14" s="282"/>
      <c r="E14" s="282"/>
      <c r="F14" s="282"/>
      <c r="G14" s="282"/>
      <c r="H14" s="282"/>
      <c r="I14" s="282"/>
      <c r="J14" s="283"/>
      <c r="K14" s="224">
        <v>43</v>
      </c>
      <c r="L14" s="226"/>
      <c r="M14" s="224">
        <v>1</v>
      </c>
      <c r="N14" s="226"/>
      <c r="O14" s="224">
        <v>0</v>
      </c>
      <c r="P14" s="225"/>
      <c r="Q14" s="226"/>
      <c r="R14" s="224">
        <v>44</v>
      </c>
      <c r="S14" s="225"/>
      <c r="T14" s="226"/>
      <c r="U14" s="224">
        <v>0</v>
      </c>
      <c r="V14" s="225"/>
      <c r="W14" s="226"/>
      <c r="X14" s="224">
        <v>0</v>
      </c>
      <c r="Y14" s="226"/>
      <c r="Z14" s="224">
        <v>0</v>
      </c>
      <c r="AA14" s="226"/>
      <c r="AB14" s="299">
        <v>44</v>
      </c>
      <c r="AC14" s="300"/>
    </row>
    <row r="15" spans="1:32" ht="24.9" customHeight="1" x14ac:dyDescent="0.3">
      <c r="A15" s="281" t="s">
        <v>7</v>
      </c>
      <c r="B15" s="282"/>
      <c r="C15" s="282"/>
      <c r="D15" s="282"/>
      <c r="E15" s="282"/>
      <c r="F15" s="282"/>
      <c r="G15" s="282"/>
      <c r="H15" s="282"/>
      <c r="I15" s="282"/>
      <c r="J15" s="283"/>
      <c r="K15" s="224">
        <v>88</v>
      </c>
      <c r="L15" s="226"/>
      <c r="M15" s="224">
        <v>3</v>
      </c>
      <c r="N15" s="226"/>
      <c r="O15" s="224">
        <v>0</v>
      </c>
      <c r="P15" s="225"/>
      <c r="Q15" s="226"/>
      <c r="R15" s="224">
        <v>91</v>
      </c>
      <c r="S15" s="225"/>
      <c r="T15" s="226"/>
      <c r="U15" s="224">
        <v>0</v>
      </c>
      <c r="V15" s="225"/>
      <c r="W15" s="226"/>
      <c r="X15" s="224">
        <v>0</v>
      </c>
      <c r="Y15" s="226"/>
      <c r="Z15" s="224">
        <v>0</v>
      </c>
      <c r="AA15" s="226"/>
      <c r="AB15" s="299">
        <v>91</v>
      </c>
      <c r="AC15" s="300"/>
    </row>
    <row r="16" spans="1:32" ht="15.6" x14ac:dyDescent="0.3">
      <c r="A16" s="45" t="s">
        <v>43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7"/>
      <c r="V16" s="47"/>
      <c r="W16" s="47"/>
      <c r="X16" s="47"/>
      <c r="Y16" s="47"/>
      <c r="Z16" s="47"/>
      <c r="AA16" s="47"/>
      <c r="AB16" s="47"/>
      <c r="AC16" s="4"/>
    </row>
    <row r="17" spans="1:32" ht="21.75" customHeight="1" x14ac:dyDescent="0.3">
      <c r="A17" s="205"/>
      <c r="B17" s="206"/>
      <c r="C17" s="206"/>
      <c r="D17" s="206"/>
      <c r="E17" s="206"/>
      <c r="F17" s="206"/>
      <c r="G17" s="206"/>
      <c r="H17" s="206"/>
      <c r="I17" s="206"/>
      <c r="J17" s="207"/>
      <c r="K17" s="224" t="s">
        <v>0</v>
      </c>
      <c r="L17" s="226"/>
      <c r="M17" s="305" t="s">
        <v>1</v>
      </c>
      <c r="N17" s="306"/>
      <c r="O17" s="301" t="s">
        <v>2</v>
      </c>
      <c r="P17" s="302"/>
      <c r="Q17" s="301" t="s">
        <v>3</v>
      </c>
      <c r="R17" s="302"/>
      <c r="S17" s="301" t="s">
        <v>4</v>
      </c>
      <c r="T17" s="302"/>
      <c r="U17" s="301" t="s">
        <v>5</v>
      </c>
      <c r="V17" s="302"/>
      <c r="W17" s="301" t="s">
        <v>6</v>
      </c>
      <c r="X17" s="302"/>
      <c r="Y17" s="301" t="s">
        <v>44</v>
      </c>
      <c r="Z17" s="302"/>
      <c r="AA17" s="301" t="s">
        <v>7</v>
      </c>
      <c r="AB17" s="302"/>
      <c r="AC17" s="303" t="s">
        <v>86</v>
      </c>
      <c r="AD17" s="5"/>
      <c r="AE17" s="6"/>
      <c r="AF17" s="6"/>
    </row>
    <row r="18" spans="1:32" x14ac:dyDescent="0.3">
      <c r="A18" s="208"/>
      <c r="B18" s="209"/>
      <c r="C18" s="209"/>
      <c r="D18" s="209"/>
      <c r="E18" s="209"/>
      <c r="F18" s="209"/>
      <c r="G18" s="209"/>
      <c r="H18" s="209"/>
      <c r="I18" s="209"/>
      <c r="J18" s="210"/>
      <c r="K18" s="7" t="s">
        <v>9</v>
      </c>
      <c r="L18" s="7" t="s">
        <v>10</v>
      </c>
      <c r="M18" s="7" t="s">
        <v>9</v>
      </c>
      <c r="N18" s="7" t="s">
        <v>10</v>
      </c>
      <c r="O18" s="7" t="s">
        <v>9</v>
      </c>
      <c r="P18" s="7" t="s">
        <v>10</v>
      </c>
      <c r="Q18" s="7" t="s">
        <v>9</v>
      </c>
      <c r="R18" s="7" t="s">
        <v>10</v>
      </c>
      <c r="S18" s="7" t="s">
        <v>9</v>
      </c>
      <c r="T18" s="7" t="s">
        <v>10</v>
      </c>
      <c r="U18" s="7" t="s">
        <v>9</v>
      </c>
      <c r="V18" s="7" t="s">
        <v>10</v>
      </c>
      <c r="W18" s="7" t="s">
        <v>9</v>
      </c>
      <c r="X18" s="7" t="s">
        <v>10</v>
      </c>
      <c r="Y18" s="7" t="s">
        <v>9</v>
      </c>
      <c r="Z18" s="7" t="s">
        <v>10</v>
      </c>
      <c r="AA18" s="7" t="s">
        <v>9</v>
      </c>
      <c r="AB18" s="7" t="s">
        <v>10</v>
      </c>
      <c r="AC18" s="304"/>
    </row>
    <row r="19" spans="1:32" ht="24.9" customHeight="1" x14ac:dyDescent="0.3">
      <c r="A19" s="281" t="s">
        <v>39</v>
      </c>
      <c r="B19" s="282"/>
      <c r="C19" s="282"/>
      <c r="D19" s="282"/>
      <c r="E19" s="282"/>
      <c r="F19" s="282"/>
      <c r="G19" s="282"/>
      <c r="H19" s="282"/>
      <c r="I19" s="282"/>
      <c r="J19" s="283"/>
      <c r="K19" s="7">
        <v>0</v>
      </c>
      <c r="L19" s="7">
        <v>0</v>
      </c>
      <c r="M19" s="7">
        <v>0</v>
      </c>
      <c r="N19" s="7">
        <v>0</v>
      </c>
      <c r="O19" s="7">
        <v>6</v>
      </c>
      <c r="P19" s="7">
        <v>5</v>
      </c>
      <c r="Q19" s="7">
        <v>4</v>
      </c>
      <c r="R19" s="7">
        <v>3</v>
      </c>
      <c r="S19" s="7">
        <v>2</v>
      </c>
      <c r="T19" s="7">
        <v>1</v>
      </c>
      <c r="U19" s="7">
        <v>2</v>
      </c>
      <c r="V19" s="7">
        <v>1</v>
      </c>
      <c r="W19" s="7">
        <v>0</v>
      </c>
      <c r="X19" s="7">
        <v>0</v>
      </c>
      <c r="Y19" s="7">
        <v>2</v>
      </c>
      <c r="Z19" s="7">
        <v>0</v>
      </c>
      <c r="AA19" s="7">
        <v>16</v>
      </c>
      <c r="AB19" s="7">
        <v>10</v>
      </c>
      <c r="AC19" s="7">
        <v>26</v>
      </c>
    </row>
    <row r="20" spans="1:32" ht="24.9" customHeight="1" x14ac:dyDescent="0.3">
      <c r="A20" s="281" t="s">
        <v>40</v>
      </c>
      <c r="B20" s="282"/>
      <c r="C20" s="282"/>
      <c r="D20" s="282"/>
      <c r="E20" s="282"/>
      <c r="F20" s="282"/>
      <c r="G20" s="282"/>
      <c r="H20" s="282"/>
      <c r="I20" s="282"/>
      <c r="J20" s="283"/>
      <c r="K20" s="7">
        <v>0</v>
      </c>
      <c r="L20" s="7">
        <v>0</v>
      </c>
      <c r="M20" s="7">
        <v>0</v>
      </c>
      <c r="N20" s="7">
        <v>0</v>
      </c>
      <c r="O20" s="7">
        <v>3</v>
      </c>
      <c r="P20" s="7">
        <v>2</v>
      </c>
      <c r="Q20" s="7">
        <v>3</v>
      </c>
      <c r="R20" s="7">
        <v>2</v>
      </c>
      <c r="S20" s="7">
        <v>5</v>
      </c>
      <c r="T20" s="7">
        <v>0</v>
      </c>
      <c r="U20" s="7">
        <v>1</v>
      </c>
      <c r="V20" s="7">
        <v>1</v>
      </c>
      <c r="W20" s="7">
        <v>1</v>
      </c>
      <c r="X20" s="7">
        <v>1</v>
      </c>
      <c r="Y20" s="7">
        <v>1</v>
      </c>
      <c r="Z20" s="7">
        <v>1</v>
      </c>
      <c r="AA20" s="7">
        <v>14</v>
      </c>
      <c r="AB20" s="7">
        <v>7</v>
      </c>
      <c r="AC20" s="7">
        <v>21</v>
      </c>
    </row>
    <row r="21" spans="1:32" ht="24.9" customHeight="1" x14ac:dyDescent="0.3">
      <c r="A21" s="281" t="s">
        <v>41</v>
      </c>
      <c r="B21" s="282"/>
      <c r="C21" s="282"/>
      <c r="D21" s="282"/>
      <c r="E21" s="282"/>
      <c r="F21" s="282"/>
      <c r="G21" s="282"/>
      <c r="H21" s="282"/>
      <c r="I21" s="282"/>
      <c r="J21" s="283"/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</row>
    <row r="22" spans="1:32" ht="24.9" customHeight="1" x14ac:dyDescent="0.3">
      <c r="A22" s="281" t="s">
        <v>42</v>
      </c>
      <c r="B22" s="282"/>
      <c r="C22" s="282"/>
      <c r="D22" s="282"/>
      <c r="E22" s="282"/>
      <c r="F22" s="282"/>
      <c r="G22" s="282"/>
      <c r="H22" s="282"/>
      <c r="I22" s="282"/>
      <c r="J22" s="283"/>
      <c r="K22" s="7">
        <v>1</v>
      </c>
      <c r="L22" s="7">
        <v>0</v>
      </c>
      <c r="M22" s="7">
        <v>2</v>
      </c>
      <c r="N22" s="7">
        <v>7</v>
      </c>
      <c r="O22" s="7">
        <v>5</v>
      </c>
      <c r="P22" s="7">
        <v>1</v>
      </c>
      <c r="Q22" s="7">
        <v>3</v>
      </c>
      <c r="R22" s="7">
        <v>5</v>
      </c>
      <c r="S22" s="7">
        <v>2</v>
      </c>
      <c r="T22" s="7">
        <v>4</v>
      </c>
      <c r="U22" s="7">
        <v>4</v>
      </c>
      <c r="V22" s="7">
        <v>1</v>
      </c>
      <c r="W22" s="7">
        <v>1</v>
      </c>
      <c r="X22" s="7">
        <v>3</v>
      </c>
      <c r="Y22" s="7">
        <v>4</v>
      </c>
      <c r="Z22" s="7">
        <v>1</v>
      </c>
      <c r="AA22" s="7">
        <v>22</v>
      </c>
      <c r="AB22" s="7">
        <v>22</v>
      </c>
      <c r="AC22" s="7">
        <v>44</v>
      </c>
    </row>
    <row r="23" spans="1:32" ht="24.9" customHeight="1" x14ac:dyDescent="0.3">
      <c r="A23" s="224" t="s">
        <v>7</v>
      </c>
      <c r="B23" s="225"/>
      <c r="C23" s="225"/>
      <c r="D23" s="225"/>
      <c r="E23" s="225"/>
      <c r="F23" s="225"/>
      <c r="G23" s="225"/>
      <c r="H23" s="225"/>
      <c r="I23" s="225"/>
      <c r="J23" s="226"/>
      <c r="K23" s="7">
        <v>1</v>
      </c>
      <c r="L23" s="7">
        <v>0</v>
      </c>
      <c r="M23" s="7">
        <v>2</v>
      </c>
      <c r="N23" s="7">
        <v>7</v>
      </c>
      <c r="O23" s="7">
        <v>14</v>
      </c>
      <c r="P23" s="7">
        <v>8</v>
      </c>
      <c r="Q23" s="7">
        <v>10</v>
      </c>
      <c r="R23" s="7">
        <v>10</v>
      </c>
      <c r="S23" s="7">
        <v>9</v>
      </c>
      <c r="T23" s="7">
        <v>5</v>
      </c>
      <c r="U23" s="7">
        <v>7</v>
      </c>
      <c r="V23" s="7">
        <v>3</v>
      </c>
      <c r="W23" s="7">
        <v>2</v>
      </c>
      <c r="X23" s="7">
        <v>4</v>
      </c>
      <c r="Y23" s="7">
        <v>7</v>
      </c>
      <c r="Z23" s="7">
        <v>2</v>
      </c>
      <c r="AA23" s="7">
        <v>52</v>
      </c>
      <c r="AB23" s="7">
        <v>39</v>
      </c>
      <c r="AC23" s="7">
        <v>91</v>
      </c>
    </row>
    <row r="24" spans="1:32" ht="6.75" customHeight="1" x14ac:dyDescent="0.3">
      <c r="A24" s="8"/>
      <c r="B24" s="9"/>
      <c r="C24" s="9"/>
      <c r="D24" s="9"/>
      <c r="E24" s="9"/>
      <c r="F24" s="10"/>
      <c r="G24" s="11"/>
      <c r="H24" s="11"/>
      <c r="I24" s="11"/>
      <c r="J24" s="11"/>
      <c r="K24" s="11"/>
      <c r="L24" s="11"/>
      <c r="M24" s="50"/>
      <c r="N24" s="11"/>
      <c r="O24" s="227"/>
      <c r="P24" s="228"/>
      <c r="Q24" s="12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3"/>
    </row>
    <row r="25" spans="1:32" ht="18" customHeight="1" x14ac:dyDescent="0.3">
      <c r="A25" s="14" t="s">
        <v>45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6"/>
      <c r="M25" s="17"/>
      <c r="N25" s="14" t="s">
        <v>46</v>
      </c>
      <c r="O25" s="15"/>
      <c r="P25" s="15"/>
      <c r="Q25" s="15"/>
      <c r="R25" s="15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9"/>
    </row>
    <row r="26" spans="1:32" ht="42.75" customHeight="1" x14ac:dyDescent="0.3">
      <c r="A26" s="307" t="s">
        <v>47</v>
      </c>
      <c r="B26" s="312" t="s">
        <v>48</v>
      </c>
      <c r="C26" s="313"/>
      <c r="D26" s="314" t="s">
        <v>49</v>
      </c>
      <c r="E26" s="315"/>
      <c r="F26" s="316"/>
      <c r="G26" s="314" t="s">
        <v>50</v>
      </c>
      <c r="H26" s="315"/>
      <c r="I26" s="315"/>
      <c r="J26" s="316"/>
      <c r="K26" s="307" t="s">
        <v>51</v>
      </c>
      <c r="L26" s="307" t="s">
        <v>52</v>
      </c>
      <c r="M26" s="20"/>
      <c r="N26" s="309" t="s">
        <v>53</v>
      </c>
      <c r="O26" s="310"/>
      <c r="P26" s="311"/>
      <c r="Q26" s="309" t="s">
        <v>54</v>
      </c>
      <c r="R26" s="310"/>
      <c r="S26" s="311"/>
      <c r="T26" s="309" t="s">
        <v>55</v>
      </c>
      <c r="U26" s="310"/>
      <c r="V26" s="310"/>
      <c r="W26" s="310"/>
      <c r="X26" s="310"/>
      <c r="Y26" s="310"/>
      <c r="Z26" s="310"/>
      <c r="AA26" s="310"/>
      <c r="AB26" s="310"/>
      <c r="AC26" s="311"/>
    </row>
    <row r="27" spans="1:32" ht="48" customHeight="1" x14ac:dyDescent="0.3">
      <c r="A27" s="308"/>
      <c r="B27" s="21" t="s">
        <v>7</v>
      </c>
      <c r="C27" s="22" t="s">
        <v>87</v>
      </c>
      <c r="D27" s="22" t="s">
        <v>56</v>
      </c>
      <c r="E27" s="22" t="s">
        <v>88</v>
      </c>
      <c r="F27" s="22" t="s">
        <v>89</v>
      </c>
      <c r="G27" s="23" t="s">
        <v>56</v>
      </c>
      <c r="H27" s="22" t="s">
        <v>90</v>
      </c>
      <c r="I27" s="23" t="s">
        <v>57</v>
      </c>
      <c r="J27" s="23" t="s">
        <v>58</v>
      </c>
      <c r="K27" s="308"/>
      <c r="L27" s="308"/>
      <c r="M27" s="20"/>
      <c r="N27" s="309">
        <v>0</v>
      </c>
      <c r="O27" s="310"/>
      <c r="P27" s="311"/>
      <c r="Q27" s="309">
        <v>0</v>
      </c>
      <c r="R27" s="310"/>
      <c r="S27" s="311"/>
      <c r="T27" s="309">
        <v>0</v>
      </c>
      <c r="U27" s="310"/>
      <c r="V27" s="310"/>
      <c r="W27" s="310"/>
      <c r="X27" s="310"/>
      <c r="Y27" s="310"/>
      <c r="Z27" s="310"/>
      <c r="AA27" s="310"/>
      <c r="AB27" s="310"/>
      <c r="AC27" s="311"/>
    </row>
    <row r="28" spans="1:32" ht="38.25" customHeight="1" x14ac:dyDescent="0.3">
      <c r="A28" s="270">
        <v>765</v>
      </c>
      <c r="B28" s="270">
        <v>170</v>
      </c>
      <c r="C28" s="270">
        <v>9</v>
      </c>
      <c r="D28" s="270">
        <v>127</v>
      </c>
      <c r="E28" s="270">
        <v>0</v>
      </c>
      <c r="F28" s="270">
        <v>0</v>
      </c>
      <c r="G28" s="270">
        <v>14</v>
      </c>
      <c r="H28" s="270">
        <v>2</v>
      </c>
      <c r="I28" s="270">
        <v>10</v>
      </c>
      <c r="J28" s="440">
        <v>26</v>
      </c>
      <c r="K28" s="270">
        <v>16</v>
      </c>
      <c r="L28" s="270">
        <v>34</v>
      </c>
      <c r="M28" s="20"/>
      <c r="N28" s="309" t="s">
        <v>59</v>
      </c>
      <c r="O28" s="310"/>
      <c r="P28" s="311"/>
      <c r="Q28" s="309" t="s">
        <v>60</v>
      </c>
      <c r="R28" s="310"/>
      <c r="S28" s="311"/>
      <c r="T28" s="293" t="s">
        <v>61</v>
      </c>
      <c r="U28" s="294"/>
      <c r="V28" s="294"/>
      <c r="W28" s="295"/>
      <c r="X28" s="293" t="s">
        <v>62</v>
      </c>
      <c r="Y28" s="294"/>
      <c r="Z28" s="294"/>
      <c r="AA28" s="294"/>
      <c r="AB28" s="294"/>
      <c r="AC28" s="295"/>
    </row>
    <row r="29" spans="1:32" ht="19.5" customHeight="1" x14ac:dyDescent="0.3">
      <c r="A29" s="271"/>
      <c r="B29" s="271"/>
      <c r="C29" s="271"/>
      <c r="D29" s="271"/>
      <c r="E29" s="271"/>
      <c r="F29" s="271"/>
      <c r="G29" s="271"/>
      <c r="H29" s="271"/>
      <c r="I29" s="271"/>
      <c r="J29" s="441"/>
      <c r="K29" s="271"/>
      <c r="L29" s="271"/>
      <c r="M29" s="54"/>
      <c r="N29" s="287">
        <v>0</v>
      </c>
      <c r="O29" s="288"/>
      <c r="P29" s="289"/>
      <c r="Q29" s="287">
        <v>0</v>
      </c>
      <c r="R29" s="288"/>
      <c r="S29" s="289"/>
      <c r="T29" s="287">
        <v>0</v>
      </c>
      <c r="U29" s="288"/>
      <c r="V29" s="288"/>
      <c r="W29" s="289"/>
      <c r="X29" s="24"/>
      <c r="Y29" s="309" t="s">
        <v>0</v>
      </c>
      <c r="Z29" s="311"/>
      <c r="AA29" s="25" t="s">
        <v>1</v>
      </c>
      <c r="AB29" s="309" t="s">
        <v>63</v>
      </c>
      <c r="AC29" s="311"/>
    </row>
    <row r="30" spans="1:32" ht="18" customHeight="1" x14ac:dyDescent="0.3">
      <c r="A30" s="271"/>
      <c r="B30" s="271"/>
      <c r="C30" s="271"/>
      <c r="D30" s="271"/>
      <c r="E30" s="271"/>
      <c r="F30" s="271"/>
      <c r="G30" s="271"/>
      <c r="H30" s="271"/>
      <c r="I30" s="271"/>
      <c r="J30" s="441"/>
      <c r="K30" s="271"/>
      <c r="L30" s="271"/>
      <c r="M30" s="54"/>
      <c r="N30" s="290"/>
      <c r="O30" s="291"/>
      <c r="P30" s="292"/>
      <c r="Q30" s="290"/>
      <c r="R30" s="291"/>
      <c r="S30" s="292"/>
      <c r="T30" s="290"/>
      <c r="U30" s="291"/>
      <c r="V30" s="291"/>
      <c r="W30" s="292"/>
      <c r="X30" s="26" t="s">
        <v>64</v>
      </c>
      <c r="Y30" s="317">
        <v>0</v>
      </c>
      <c r="Z30" s="317"/>
      <c r="AA30" s="7">
        <v>0</v>
      </c>
      <c r="AB30" s="317">
        <v>0</v>
      </c>
      <c r="AC30" s="317"/>
    </row>
    <row r="31" spans="1:32" ht="18" customHeight="1" x14ac:dyDescent="0.3">
      <c r="A31" s="271"/>
      <c r="B31" s="271"/>
      <c r="C31" s="271"/>
      <c r="D31" s="271"/>
      <c r="E31" s="271"/>
      <c r="F31" s="271"/>
      <c r="G31" s="271"/>
      <c r="H31" s="271"/>
      <c r="I31" s="271"/>
      <c r="J31" s="441"/>
      <c r="K31" s="271"/>
      <c r="L31" s="271"/>
      <c r="M31" s="54"/>
      <c r="N31" s="290"/>
      <c r="O31" s="291"/>
      <c r="P31" s="292"/>
      <c r="Q31" s="290"/>
      <c r="R31" s="291"/>
      <c r="S31" s="292"/>
      <c r="T31" s="290"/>
      <c r="U31" s="291"/>
      <c r="V31" s="291"/>
      <c r="W31" s="292"/>
      <c r="X31" s="26" t="s">
        <v>65</v>
      </c>
      <c r="Y31" s="317">
        <v>0</v>
      </c>
      <c r="Z31" s="317"/>
      <c r="AA31" s="7">
        <v>0</v>
      </c>
      <c r="AB31" s="317">
        <v>0</v>
      </c>
      <c r="AC31" s="317"/>
    </row>
    <row r="32" spans="1:32" ht="18" customHeight="1" x14ac:dyDescent="0.3">
      <c r="A32" s="272"/>
      <c r="B32" s="272"/>
      <c r="C32" s="272"/>
      <c r="D32" s="272"/>
      <c r="E32" s="272"/>
      <c r="F32" s="272"/>
      <c r="G32" s="272"/>
      <c r="H32" s="272"/>
      <c r="I32" s="272"/>
      <c r="J32" s="442"/>
      <c r="K32" s="272"/>
      <c r="L32" s="272"/>
      <c r="M32" s="54"/>
      <c r="N32" s="293"/>
      <c r="O32" s="294"/>
      <c r="P32" s="295"/>
      <c r="Q32" s="293"/>
      <c r="R32" s="294"/>
      <c r="S32" s="295"/>
      <c r="T32" s="293"/>
      <c r="U32" s="294"/>
      <c r="V32" s="294"/>
      <c r="W32" s="295"/>
      <c r="X32" s="26" t="s">
        <v>66</v>
      </c>
      <c r="Y32" s="317">
        <v>0</v>
      </c>
      <c r="Z32" s="317"/>
      <c r="AA32" s="7">
        <v>0</v>
      </c>
      <c r="AB32" s="317">
        <v>0</v>
      </c>
      <c r="AC32" s="317"/>
    </row>
    <row r="33" spans="1:29" ht="8.25" customHeight="1" x14ac:dyDescent="0.3">
      <c r="A33" s="27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59"/>
      <c r="N33" s="28"/>
      <c r="O33" s="28"/>
      <c r="P33" s="28"/>
      <c r="Q33" s="28"/>
      <c r="R33" s="28"/>
      <c r="S33" s="28"/>
      <c r="T33" s="28"/>
      <c r="U33" s="29"/>
      <c r="V33" s="29"/>
      <c r="W33" s="29"/>
      <c r="X33" s="29"/>
      <c r="Y33" s="29"/>
      <c r="Z33" s="29"/>
      <c r="AA33" s="28"/>
      <c r="AB33" s="28"/>
      <c r="AC33" s="4"/>
    </row>
    <row r="34" spans="1:29" ht="18" customHeight="1" x14ac:dyDescent="0.3">
      <c r="A34" s="14" t="s">
        <v>67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6"/>
      <c r="M34" s="30"/>
      <c r="N34" s="14" t="s">
        <v>68</v>
      </c>
      <c r="O34" s="16"/>
      <c r="P34" s="15"/>
      <c r="Q34" s="31"/>
      <c r="R34" s="15"/>
      <c r="S34" s="15"/>
      <c r="T34" s="15"/>
      <c r="U34" s="15"/>
      <c r="V34" s="15"/>
      <c r="W34" s="15"/>
      <c r="X34" s="15"/>
      <c r="Y34" s="15"/>
      <c r="Z34" s="15"/>
      <c r="AA34" s="18"/>
      <c r="AB34" s="18"/>
      <c r="AC34" s="32"/>
    </row>
    <row r="35" spans="1:29" ht="57" customHeight="1" x14ac:dyDescent="0.3">
      <c r="A35" s="205"/>
      <c r="B35" s="206"/>
      <c r="C35" s="206"/>
      <c r="D35" s="206"/>
      <c r="E35" s="206"/>
      <c r="F35" s="207"/>
      <c r="G35" s="224" t="s">
        <v>11</v>
      </c>
      <c r="H35" s="226"/>
      <c r="I35" s="224" t="s">
        <v>12</v>
      </c>
      <c r="J35" s="226"/>
      <c r="K35" s="33" t="s">
        <v>69</v>
      </c>
      <c r="L35" s="34"/>
      <c r="M35" s="62"/>
      <c r="N35" s="314" t="s">
        <v>70</v>
      </c>
      <c r="O35" s="315"/>
      <c r="P35" s="316"/>
      <c r="Q35" s="314" t="s">
        <v>71</v>
      </c>
      <c r="R35" s="315"/>
      <c r="S35" s="316"/>
      <c r="T35" s="314" t="s">
        <v>72</v>
      </c>
      <c r="U35" s="315"/>
      <c r="V35" s="316"/>
      <c r="W35" s="314" t="s">
        <v>73</v>
      </c>
      <c r="X35" s="315"/>
      <c r="Y35" s="315"/>
      <c r="Z35" s="316"/>
      <c r="AA35" s="314" t="s">
        <v>74</v>
      </c>
      <c r="AB35" s="315"/>
      <c r="AC35" s="316"/>
    </row>
    <row r="36" spans="1:29" ht="13.5" customHeight="1" x14ac:dyDescent="0.3">
      <c r="A36" s="208"/>
      <c r="B36" s="209"/>
      <c r="C36" s="209"/>
      <c r="D36" s="209"/>
      <c r="E36" s="209"/>
      <c r="F36" s="210"/>
      <c r="G36" s="7" t="s">
        <v>75</v>
      </c>
      <c r="H36" s="7" t="s">
        <v>13</v>
      </c>
      <c r="I36" s="7" t="s">
        <v>75</v>
      </c>
      <c r="J36" s="7" t="s">
        <v>13</v>
      </c>
      <c r="K36" s="7" t="s">
        <v>75</v>
      </c>
      <c r="L36" s="7" t="s">
        <v>13</v>
      </c>
      <c r="M36" s="63"/>
      <c r="N36" s="35" t="s">
        <v>0</v>
      </c>
      <c r="O36" s="36" t="s">
        <v>1</v>
      </c>
      <c r="P36" s="36" t="s">
        <v>91</v>
      </c>
      <c r="Q36" s="35" t="s">
        <v>0</v>
      </c>
      <c r="R36" s="36" t="s">
        <v>1</v>
      </c>
      <c r="S36" s="36" t="s">
        <v>91</v>
      </c>
      <c r="T36" s="35" t="s">
        <v>0</v>
      </c>
      <c r="U36" s="36" t="s">
        <v>1</v>
      </c>
      <c r="V36" s="36" t="s">
        <v>91</v>
      </c>
      <c r="W36" s="37"/>
      <c r="X36" s="35" t="s">
        <v>0</v>
      </c>
      <c r="Y36" s="38" t="s">
        <v>1</v>
      </c>
      <c r="Z36" s="39" t="s">
        <v>76</v>
      </c>
      <c r="AA36" s="35" t="s">
        <v>0</v>
      </c>
      <c r="AB36" s="38" t="s">
        <v>1</v>
      </c>
      <c r="AC36" s="39" t="s">
        <v>76</v>
      </c>
    </row>
    <row r="37" spans="1:29" ht="24.9" customHeight="1" x14ac:dyDescent="0.3">
      <c r="A37" s="299" t="s">
        <v>77</v>
      </c>
      <c r="B37" s="318"/>
      <c r="C37" s="318"/>
      <c r="D37" s="318"/>
      <c r="E37" s="318"/>
      <c r="F37" s="300"/>
      <c r="G37" s="7">
        <v>19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63"/>
      <c r="N37" s="321">
        <v>0</v>
      </c>
      <c r="O37" s="321">
        <v>500</v>
      </c>
      <c r="P37" s="321">
        <v>97</v>
      </c>
      <c r="Q37" s="321">
        <v>0</v>
      </c>
      <c r="R37" s="321">
        <v>40</v>
      </c>
      <c r="S37" s="321">
        <v>33</v>
      </c>
      <c r="T37" s="321">
        <v>0</v>
      </c>
      <c r="U37" s="321">
        <v>11</v>
      </c>
      <c r="V37" s="321">
        <v>1</v>
      </c>
      <c r="W37" s="40" t="s">
        <v>64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</row>
    <row r="38" spans="1:29" ht="24.9" customHeight="1" x14ac:dyDescent="0.3">
      <c r="A38" s="299" t="s">
        <v>8</v>
      </c>
      <c r="B38" s="318"/>
      <c r="C38" s="318"/>
      <c r="D38" s="318"/>
      <c r="E38" s="318"/>
      <c r="F38" s="300"/>
      <c r="G38" s="7">
        <v>2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63"/>
      <c r="N38" s="322"/>
      <c r="O38" s="322"/>
      <c r="P38" s="322"/>
      <c r="Q38" s="322"/>
      <c r="R38" s="322"/>
      <c r="S38" s="322"/>
      <c r="T38" s="322"/>
      <c r="U38" s="322"/>
      <c r="V38" s="322"/>
      <c r="W38" s="40" t="s">
        <v>65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</row>
    <row r="39" spans="1:29" ht="24.9" customHeight="1" x14ac:dyDescent="0.3">
      <c r="A39" s="309" t="s">
        <v>78</v>
      </c>
      <c r="B39" s="310"/>
      <c r="C39" s="310"/>
      <c r="D39" s="310"/>
      <c r="E39" s="310"/>
      <c r="F39" s="311"/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63"/>
      <c r="N39" s="322"/>
      <c r="O39" s="322"/>
      <c r="P39" s="322"/>
      <c r="Q39" s="322"/>
      <c r="R39" s="322"/>
      <c r="S39" s="322"/>
      <c r="T39" s="322"/>
      <c r="U39" s="322"/>
      <c r="V39" s="322"/>
      <c r="W39" s="319" t="s">
        <v>66</v>
      </c>
      <c r="X39" s="321">
        <v>0</v>
      </c>
      <c r="Y39" s="321">
        <v>0</v>
      </c>
      <c r="Z39" s="321">
        <v>0</v>
      </c>
      <c r="AA39" s="321">
        <v>0</v>
      </c>
      <c r="AB39" s="321">
        <v>0</v>
      </c>
      <c r="AC39" s="321">
        <v>0</v>
      </c>
    </row>
    <row r="40" spans="1:29" ht="24.9" customHeight="1" x14ac:dyDescent="0.3">
      <c r="A40" s="224" t="s">
        <v>7</v>
      </c>
      <c r="B40" s="225"/>
      <c r="C40" s="225"/>
      <c r="D40" s="225"/>
      <c r="E40" s="225"/>
      <c r="F40" s="226"/>
      <c r="G40" s="7">
        <v>21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63"/>
      <c r="N40" s="323"/>
      <c r="O40" s="323"/>
      <c r="P40" s="323"/>
      <c r="Q40" s="323"/>
      <c r="R40" s="323"/>
      <c r="S40" s="323"/>
      <c r="T40" s="323"/>
      <c r="U40" s="323"/>
      <c r="V40" s="323"/>
      <c r="W40" s="320"/>
      <c r="X40" s="323"/>
      <c r="Y40" s="323"/>
      <c r="Z40" s="323"/>
      <c r="AA40" s="323"/>
      <c r="AB40" s="323"/>
      <c r="AC40" s="323"/>
    </row>
    <row r="41" spans="1:29" ht="23.4" x14ac:dyDescent="0.45">
      <c r="A41" s="158" t="s">
        <v>15</v>
      </c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  <c r="AA41" s="158"/>
      <c r="AB41" s="158"/>
      <c r="AC41" s="158"/>
    </row>
    <row r="42" spans="1:29" ht="23.4" x14ac:dyDescent="0.3">
      <c r="A42" s="159" t="s">
        <v>16</v>
      </c>
      <c r="B42" s="159"/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2"/>
      <c r="Y42" s="160" t="s">
        <v>17</v>
      </c>
      <c r="Z42" s="160"/>
      <c r="AA42" s="2"/>
      <c r="AB42" s="2"/>
      <c r="AC42" s="2"/>
    </row>
    <row r="43" spans="1:29" ht="30.9" customHeight="1" x14ac:dyDescent="0.3">
      <c r="A43" s="326" t="s">
        <v>18</v>
      </c>
      <c r="B43" s="326"/>
      <c r="C43" s="326"/>
      <c r="D43" s="326"/>
      <c r="E43" s="439" t="s">
        <v>104</v>
      </c>
      <c r="F43" s="439"/>
      <c r="G43" s="439"/>
      <c r="H43" s="439"/>
      <c r="I43" s="328" t="s">
        <v>20</v>
      </c>
      <c r="J43" s="328"/>
      <c r="K43" s="329" t="s">
        <v>85</v>
      </c>
      <c r="L43" s="329"/>
      <c r="M43" s="328" t="s">
        <v>21</v>
      </c>
      <c r="N43" s="328"/>
      <c r="O43" s="340" t="s">
        <v>92</v>
      </c>
      <c r="P43" s="340"/>
      <c r="Q43" s="340"/>
      <c r="R43" s="340"/>
      <c r="S43" s="43"/>
      <c r="T43" s="166" t="s">
        <v>22</v>
      </c>
      <c r="U43" s="166"/>
      <c r="V43" s="166"/>
      <c r="W43" s="166"/>
      <c r="X43" s="166"/>
      <c r="Y43" s="152" t="s">
        <v>79</v>
      </c>
      <c r="Z43" s="152"/>
      <c r="AA43" s="152"/>
      <c r="AB43" s="153" t="s">
        <v>83</v>
      </c>
      <c r="AC43" s="153"/>
    </row>
    <row r="44" spans="1:29" x14ac:dyDescent="0.3">
      <c r="T44" s="166"/>
      <c r="U44" s="166"/>
      <c r="V44" s="166"/>
      <c r="W44" s="166"/>
      <c r="X44" s="166"/>
      <c r="Y44" s="152"/>
      <c r="Z44" s="152"/>
      <c r="AA44" s="152"/>
      <c r="AB44" s="153"/>
      <c r="AC44" s="153"/>
    </row>
    <row r="45" spans="1:29" ht="15.6" x14ac:dyDescent="0.3">
      <c r="A45" s="324" t="s">
        <v>24</v>
      </c>
      <c r="B45" s="324"/>
      <c r="C45" s="324"/>
      <c r="D45" s="324"/>
      <c r="E45" s="324"/>
      <c r="F45" s="324"/>
      <c r="G45" s="324"/>
      <c r="H45" s="347" t="s">
        <v>25</v>
      </c>
      <c r="I45" s="347"/>
      <c r="J45" s="347"/>
      <c r="K45" s="347"/>
      <c r="L45" s="347"/>
      <c r="M45" s="347"/>
      <c r="N45" s="347"/>
      <c r="O45" s="44"/>
      <c r="P45" s="44"/>
      <c r="T45" s="156" t="s">
        <v>26</v>
      </c>
      <c r="U45" s="156"/>
      <c r="V45" s="156"/>
      <c r="W45" s="156"/>
      <c r="X45" s="156"/>
      <c r="Y45" s="156"/>
      <c r="Z45" s="265" t="s">
        <v>27</v>
      </c>
      <c r="AA45" s="265"/>
      <c r="AB45" s="265"/>
      <c r="AC45" s="265"/>
    </row>
    <row r="46" spans="1:29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" customHeight="1" x14ac:dyDescent="0.3">
      <c r="A47" s="284" t="s">
        <v>29</v>
      </c>
      <c r="B47" s="285"/>
      <c r="C47" s="285"/>
      <c r="D47" s="285"/>
      <c r="E47" s="285"/>
      <c r="F47" s="285"/>
      <c r="G47" s="285"/>
      <c r="H47" s="285"/>
      <c r="I47" s="285"/>
      <c r="J47" s="286"/>
      <c r="K47" s="273" t="s">
        <v>30</v>
      </c>
      <c r="L47" s="274"/>
      <c r="M47" s="273" t="s">
        <v>31</v>
      </c>
      <c r="N47" s="274"/>
      <c r="O47" s="287" t="s">
        <v>32</v>
      </c>
      <c r="P47" s="288"/>
      <c r="Q47" s="289"/>
      <c r="R47" s="273" t="s">
        <v>33</v>
      </c>
      <c r="S47" s="296"/>
      <c r="T47" s="274"/>
      <c r="U47" s="224" t="s">
        <v>34</v>
      </c>
      <c r="V47" s="225"/>
      <c r="W47" s="225"/>
      <c r="X47" s="225"/>
      <c r="Y47" s="225"/>
      <c r="Z47" s="225"/>
      <c r="AA47" s="226"/>
      <c r="AB47" s="273" t="s">
        <v>7</v>
      </c>
      <c r="AC47" s="274"/>
    </row>
    <row r="48" spans="1:29" ht="23.25" customHeight="1" x14ac:dyDescent="0.3">
      <c r="A48" s="169" t="s">
        <v>35</v>
      </c>
      <c r="B48" s="173"/>
      <c r="C48" s="173"/>
      <c r="D48" s="173"/>
      <c r="E48" s="173"/>
      <c r="F48" s="173"/>
      <c r="G48" s="173"/>
      <c r="H48" s="173"/>
      <c r="I48" s="173"/>
      <c r="J48" s="170"/>
      <c r="K48" s="275"/>
      <c r="L48" s="276"/>
      <c r="M48" s="275"/>
      <c r="N48" s="276"/>
      <c r="O48" s="290"/>
      <c r="P48" s="291"/>
      <c r="Q48" s="292"/>
      <c r="R48" s="275"/>
      <c r="S48" s="297"/>
      <c r="T48" s="276"/>
      <c r="U48" s="279" t="s">
        <v>36</v>
      </c>
      <c r="V48" s="279"/>
      <c r="W48" s="279"/>
      <c r="X48" s="279" t="s">
        <v>37</v>
      </c>
      <c r="Y48" s="279"/>
      <c r="Z48" s="279" t="s">
        <v>38</v>
      </c>
      <c r="AA48" s="279"/>
      <c r="AB48" s="275"/>
      <c r="AC48" s="276"/>
    </row>
    <row r="49" spans="1:32" x14ac:dyDescent="0.3">
      <c r="A49" s="171"/>
      <c r="B49" s="174"/>
      <c r="C49" s="174"/>
      <c r="D49" s="174"/>
      <c r="E49" s="174"/>
      <c r="F49" s="174"/>
      <c r="G49" s="174"/>
      <c r="H49" s="174"/>
      <c r="I49" s="174"/>
      <c r="J49" s="172"/>
      <c r="K49" s="277"/>
      <c r="L49" s="278"/>
      <c r="M49" s="277"/>
      <c r="N49" s="278"/>
      <c r="O49" s="293"/>
      <c r="P49" s="294"/>
      <c r="Q49" s="295"/>
      <c r="R49" s="277"/>
      <c r="S49" s="298"/>
      <c r="T49" s="278"/>
      <c r="U49" s="280"/>
      <c r="V49" s="280"/>
      <c r="W49" s="280"/>
      <c r="X49" s="280"/>
      <c r="Y49" s="280"/>
      <c r="Z49" s="280"/>
      <c r="AA49" s="280"/>
      <c r="AB49" s="277"/>
      <c r="AC49" s="278"/>
    </row>
    <row r="50" spans="1:32" ht="24.9" customHeight="1" x14ac:dyDescent="0.3">
      <c r="A50" s="281" t="s">
        <v>39</v>
      </c>
      <c r="B50" s="282"/>
      <c r="C50" s="282"/>
      <c r="D50" s="282"/>
      <c r="E50" s="282"/>
      <c r="F50" s="282"/>
      <c r="G50" s="282"/>
      <c r="H50" s="282"/>
      <c r="I50" s="282"/>
      <c r="J50" s="283"/>
      <c r="K50" s="224">
        <v>32</v>
      </c>
      <c r="L50" s="226"/>
      <c r="M50" s="224">
        <v>1</v>
      </c>
      <c r="N50" s="226"/>
      <c r="O50" s="224">
        <v>0</v>
      </c>
      <c r="P50" s="225"/>
      <c r="Q50" s="226"/>
      <c r="R50" s="224">
        <v>33</v>
      </c>
      <c r="S50" s="225"/>
      <c r="T50" s="226"/>
      <c r="U50" s="224">
        <v>0</v>
      </c>
      <c r="V50" s="225"/>
      <c r="W50" s="226"/>
      <c r="X50" s="224">
        <v>0</v>
      </c>
      <c r="Y50" s="226"/>
      <c r="Z50" s="224">
        <v>0</v>
      </c>
      <c r="AA50" s="226"/>
      <c r="AB50" s="299">
        <v>33</v>
      </c>
      <c r="AC50" s="300"/>
    </row>
    <row r="51" spans="1:32" ht="24.9" customHeight="1" x14ac:dyDescent="0.3">
      <c r="A51" s="281" t="s">
        <v>40</v>
      </c>
      <c r="B51" s="282"/>
      <c r="C51" s="282"/>
      <c r="D51" s="282"/>
      <c r="E51" s="282"/>
      <c r="F51" s="282"/>
      <c r="G51" s="282"/>
      <c r="H51" s="282"/>
      <c r="I51" s="282"/>
      <c r="J51" s="283"/>
      <c r="K51" s="224">
        <v>39</v>
      </c>
      <c r="L51" s="226"/>
      <c r="M51" s="224">
        <v>0</v>
      </c>
      <c r="N51" s="226"/>
      <c r="O51" s="224">
        <v>0</v>
      </c>
      <c r="P51" s="225"/>
      <c r="Q51" s="226"/>
      <c r="R51" s="224">
        <v>39</v>
      </c>
      <c r="S51" s="225"/>
      <c r="T51" s="226"/>
      <c r="U51" s="224">
        <v>0</v>
      </c>
      <c r="V51" s="225"/>
      <c r="W51" s="226"/>
      <c r="X51" s="224">
        <v>0</v>
      </c>
      <c r="Y51" s="226"/>
      <c r="Z51" s="224">
        <v>0</v>
      </c>
      <c r="AA51" s="226"/>
      <c r="AB51" s="299">
        <v>39</v>
      </c>
      <c r="AC51" s="300"/>
    </row>
    <row r="52" spans="1:32" ht="24.9" customHeight="1" x14ac:dyDescent="0.3">
      <c r="A52" s="281" t="s">
        <v>41</v>
      </c>
      <c r="B52" s="282"/>
      <c r="C52" s="282"/>
      <c r="D52" s="282"/>
      <c r="E52" s="282"/>
      <c r="F52" s="282"/>
      <c r="G52" s="282"/>
      <c r="H52" s="282"/>
      <c r="I52" s="282"/>
      <c r="J52" s="283"/>
      <c r="K52" s="224">
        <v>0</v>
      </c>
      <c r="L52" s="226"/>
      <c r="M52" s="224">
        <v>0</v>
      </c>
      <c r="N52" s="226"/>
      <c r="O52" s="224">
        <v>0</v>
      </c>
      <c r="P52" s="225"/>
      <c r="Q52" s="226"/>
      <c r="R52" s="224">
        <v>0</v>
      </c>
      <c r="S52" s="225"/>
      <c r="T52" s="226"/>
      <c r="U52" s="224">
        <v>0</v>
      </c>
      <c r="V52" s="225"/>
      <c r="W52" s="226"/>
      <c r="X52" s="224">
        <v>0</v>
      </c>
      <c r="Y52" s="226"/>
      <c r="Z52" s="224">
        <v>0</v>
      </c>
      <c r="AA52" s="226"/>
      <c r="AB52" s="299">
        <v>0</v>
      </c>
      <c r="AC52" s="300"/>
    </row>
    <row r="53" spans="1:32" ht="24.9" customHeight="1" x14ac:dyDescent="0.3">
      <c r="A53" s="281" t="s">
        <v>42</v>
      </c>
      <c r="B53" s="282"/>
      <c r="C53" s="282"/>
      <c r="D53" s="282"/>
      <c r="E53" s="282"/>
      <c r="F53" s="282"/>
      <c r="G53" s="282"/>
      <c r="H53" s="282"/>
      <c r="I53" s="282"/>
      <c r="J53" s="283"/>
      <c r="K53" s="224">
        <v>50</v>
      </c>
      <c r="L53" s="226"/>
      <c r="M53" s="224">
        <v>1</v>
      </c>
      <c r="N53" s="226"/>
      <c r="O53" s="224">
        <v>0</v>
      </c>
      <c r="P53" s="225"/>
      <c r="Q53" s="226"/>
      <c r="R53" s="224">
        <v>51</v>
      </c>
      <c r="S53" s="225"/>
      <c r="T53" s="226"/>
      <c r="U53" s="224">
        <v>0</v>
      </c>
      <c r="V53" s="225"/>
      <c r="W53" s="226"/>
      <c r="X53" s="224">
        <v>0</v>
      </c>
      <c r="Y53" s="226"/>
      <c r="Z53" s="224">
        <v>0</v>
      </c>
      <c r="AA53" s="226"/>
      <c r="AB53" s="299">
        <v>51</v>
      </c>
      <c r="AC53" s="300"/>
    </row>
    <row r="54" spans="1:32" ht="24.9" customHeight="1" x14ac:dyDescent="0.3">
      <c r="A54" s="281" t="s">
        <v>7</v>
      </c>
      <c r="B54" s="282"/>
      <c r="C54" s="282"/>
      <c r="D54" s="282"/>
      <c r="E54" s="282"/>
      <c r="F54" s="282"/>
      <c r="G54" s="282"/>
      <c r="H54" s="282"/>
      <c r="I54" s="282"/>
      <c r="J54" s="283"/>
      <c r="K54" s="224">
        <v>121</v>
      </c>
      <c r="L54" s="226"/>
      <c r="M54" s="224">
        <v>2</v>
      </c>
      <c r="N54" s="226"/>
      <c r="O54" s="224">
        <v>0</v>
      </c>
      <c r="P54" s="225"/>
      <c r="Q54" s="226"/>
      <c r="R54" s="224">
        <v>123</v>
      </c>
      <c r="S54" s="225"/>
      <c r="T54" s="226"/>
      <c r="U54" s="224">
        <v>0</v>
      </c>
      <c r="V54" s="225"/>
      <c r="W54" s="226"/>
      <c r="X54" s="224">
        <v>0</v>
      </c>
      <c r="Y54" s="226"/>
      <c r="Z54" s="224">
        <v>0</v>
      </c>
      <c r="AA54" s="226"/>
      <c r="AB54" s="299">
        <v>123</v>
      </c>
      <c r="AC54" s="300"/>
    </row>
    <row r="55" spans="1:32" ht="15.6" x14ac:dyDescent="0.3">
      <c r="A55" s="45" t="s">
        <v>43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7"/>
      <c r="V55" s="47"/>
      <c r="W55" s="47"/>
      <c r="X55" s="47"/>
      <c r="Y55" s="47"/>
      <c r="Z55" s="47"/>
      <c r="AA55" s="47"/>
      <c r="AB55" s="47"/>
      <c r="AC55" s="4"/>
    </row>
    <row r="56" spans="1:32" ht="21.75" customHeight="1" x14ac:dyDescent="0.3">
      <c r="A56" s="205"/>
      <c r="B56" s="206"/>
      <c r="C56" s="206"/>
      <c r="D56" s="206"/>
      <c r="E56" s="206"/>
      <c r="F56" s="206"/>
      <c r="G56" s="206"/>
      <c r="H56" s="206"/>
      <c r="I56" s="206"/>
      <c r="J56" s="207"/>
      <c r="K56" s="224" t="s">
        <v>0</v>
      </c>
      <c r="L56" s="226"/>
      <c r="M56" s="305" t="s">
        <v>1</v>
      </c>
      <c r="N56" s="306"/>
      <c r="O56" s="301" t="s">
        <v>2</v>
      </c>
      <c r="P56" s="302"/>
      <c r="Q56" s="301" t="s">
        <v>3</v>
      </c>
      <c r="R56" s="302"/>
      <c r="S56" s="301" t="s">
        <v>4</v>
      </c>
      <c r="T56" s="302"/>
      <c r="U56" s="301" t="s">
        <v>5</v>
      </c>
      <c r="V56" s="302"/>
      <c r="W56" s="301" t="s">
        <v>6</v>
      </c>
      <c r="X56" s="302"/>
      <c r="Y56" s="301" t="s">
        <v>44</v>
      </c>
      <c r="Z56" s="302"/>
      <c r="AA56" s="301" t="s">
        <v>7</v>
      </c>
      <c r="AB56" s="302"/>
      <c r="AC56" s="303" t="s">
        <v>86</v>
      </c>
      <c r="AD56" s="5"/>
      <c r="AE56" s="6"/>
      <c r="AF56" s="6"/>
    </row>
    <row r="57" spans="1:32" x14ac:dyDescent="0.3">
      <c r="A57" s="208"/>
      <c r="B57" s="209"/>
      <c r="C57" s="209"/>
      <c r="D57" s="209"/>
      <c r="E57" s="209"/>
      <c r="F57" s="209"/>
      <c r="G57" s="209"/>
      <c r="H57" s="209"/>
      <c r="I57" s="209"/>
      <c r="J57" s="210"/>
      <c r="K57" s="7" t="s">
        <v>9</v>
      </c>
      <c r="L57" s="7" t="s">
        <v>10</v>
      </c>
      <c r="M57" s="7" t="s">
        <v>9</v>
      </c>
      <c r="N57" s="7" t="s">
        <v>10</v>
      </c>
      <c r="O57" s="7" t="s">
        <v>9</v>
      </c>
      <c r="P57" s="7" t="s">
        <v>10</v>
      </c>
      <c r="Q57" s="7" t="s">
        <v>9</v>
      </c>
      <c r="R57" s="7" t="s">
        <v>10</v>
      </c>
      <c r="S57" s="7" t="s">
        <v>9</v>
      </c>
      <c r="T57" s="7" t="s">
        <v>10</v>
      </c>
      <c r="U57" s="7" t="s">
        <v>9</v>
      </c>
      <c r="V57" s="7" t="s">
        <v>10</v>
      </c>
      <c r="W57" s="7" t="s">
        <v>9</v>
      </c>
      <c r="X57" s="7" t="s">
        <v>10</v>
      </c>
      <c r="Y57" s="7" t="s">
        <v>9</v>
      </c>
      <c r="Z57" s="7" t="s">
        <v>10</v>
      </c>
      <c r="AA57" s="7" t="s">
        <v>9</v>
      </c>
      <c r="AB57" s="7" t="s">
        <v>10</v>
      </c>
      <c r="AC57" s="304"/>
    </row>
    <row r="58" spans="1:32" ht="24.9" customHeight="1" x14ac:dyDescent="0.3">
      <c r="A58" s="281" t="s">
        <v>39</v>
      </c>
      <c r="B58" s="282"/>
      <c r="C58" s="282"/>
      <c r="D58" s="282"/>
      <c r="E58" s="282"/>
      <c r="F58" s="282"/>
      <c r="G58" s="282"/>
      <c r="H58" s="282"/>
      <c r="I58" s="282"/>
      <c r="J58" s="283"/>
      <c r="K58" s="7">
        <v>0</v>
      </c>
      <c r="L58" s="7">
        <v>0</v>
      </c>
      <c r="M58" s="7">
        <v>0</v>
      </c>
      <c r="N58" s="7">
        <v>0</v>
      </c>
      <c r="O58" s="7">
        <v>2</v>
      </c>
      <c r="P58" s="7">
        <v>5</v>
      </c>
      <c r="Q58" s="7">
        <v>9</v>
      </c>
      <c r="R58" s="7">
        <v>1</v>
      </c>
      <c r="S58" s="7">
        <v>4</v>
      </c>
      <c r="T58" s="7">
        <v>4</v>
      </c>
      <c r="U58" s="7">
        <v>3</v>
      </c>
      <c r="V58" s="7">
        <v>0</v>
      </c>
      <c r="W58" s="7">
        <v>0</v>
      </c>
      <c r="X58" s="7">
        <v>2</v>
      </c>
      <c r="Y58" s="7">
        <v>2</v>
      </c>
      <c r="Z58" s="7">
        <v>1</v>
      </c>
      <c r="AA58" s="7">
        <v>20</v>
      </c>
      <c r="AB58" s="7">
        <v>13</v>
      </c>
      <c r="AC58" s="7">
        <v>33</v>
      </c>
    </row>
    <row r="59" spans="1:32" ht="24.9" customHeight="1" x14ac:dyDescent="0.3">
      <c r="A59" s="281" t="s">
        <v>40</v>
      </c>
      <c r="B59" s="282"/>
      <c r="C59" s="282"/>
      <c r="D59" s="282"/>
      <c r="E59" s="282"/>
      <c r="F59" s="282"/>
      <c r="G59" s="282"/>
      <c r="H59" s="282"/>
      <c r="I59" s="282"/>
      <c r="J59" s="283"/>
      <c r="K59" s="7">
        <v>0</v>
      </c>
      <c r="L59" s="7">
        <v>0</v>
      </c>
      <c r="M59" s="7">
        <v>3</v>
      </c>
      <c r="N59" s="7">
        <v>2</v>
      </c>
      <c r="O59" s="7">
        <v>3</v>
      </c>
      <c r="P59" s="7">
        <v>8</v>
      </c>
      <c r="Q59" s="7">
        <v>5</v>
      </c>
      <c r="R59" s="7">
        <v>3</v>
      </c>
      <c r="S59" s="7">
        <v>5</v>
      </c>
      <c r="T59" s="7">
        <v>2</v>
      </c>
      <c r="U59" s="7">
        <v>2</v>
      </c>
      <c r="V59" s="7">
        <v>0</v>
      </c>
      <c r="W59" s="7">
        <v>2</v>
      </c>
      <c r="X59" s="7">
        <v>1</v>
      </c>
      <c r="Y59" s="7">
        <v>1</v>
      </c>
      <c r="Z59" s="7">
        <v>2</v>
      </c>
      <c r="AA59" s="7">
        <v>21</v>
      </c>
      <c r="AB59" s="7">
        <v>18</v>
      </c>
      <c r="AC59" s="7">
        <v>39</v>
      </c>
    </row>
    <row r="60" spans="1:32" ht="24.9" customHeight="1" x14ac:dyDescent="0.3">
      <c r="A60" s="281" t="s">
        <v>41</v>
      </c>
      <c r="B60" s="282"/>
      <c r="C60" s="282"/>
      <c r="D60" s="282"/>
      <c r="E60" s="282"/>
      <c r="F60" s="282"/>
      <c r="G60" s="282"/>
      <c r="H60" s="282"/>
      <c r="I60" s="282"/>
      <c r="J60" s="283"/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</row>
    <row r="61" spans="1:32" ht="24.9" customHeight="1" x14ac:dyDescent="0.3">
      <c r="A61" s="281" t="s">
        <v>42</v>
      </c>
      <c r="B61" s="282"/>
      <c r="C61" s="282"/>
      <c r="D61" s="282"/>
      <c r="E61" s="282"/>
      <c r="F61" s="282"/>
      <c r="G61" s="282"/>
      <c r="H61" s="282"/>
      <c r="I61" s="282"/>
      <c r="J61" s="283"/>
      <c r="K61" s="7">
        <v>4</v>
      </c>
      <c r="L61" s="7">
        <v>1</v>
      </c>
      <c r="M61" s="7">
        <v>8</v>
      </c>
      <c r="N61" s="7">
        <v>2</v>
      </c>
      <c r="O61" s="7">
        <v>2</v>
      </c>
      <c r="P61" s="7">
        <v>9</v>
      </c>
      <c r="Q61" s="7">
        <v>5</v>
      </c>
      <c r="R61" s="7">
        <v>5</v>
      </c>
      <c r="S61" s="7">
        <v>5</v>
      </c>
      <c r="T61" s="7">
        <v>5</v>
      </c>
      <c r="U61" s="7">
        <v>1</v>
      </c>
      <c r="V61" s="7">
        <v>1</v>
      </c>
      <c r="W61" s="7">
        <v>0</v>
      </c>
      <c r="X61" s="7">
        <v>1</v>
      </c>
      <c r="Y61" s="7">
        <v>1</v>
      </c>
      <c r="Z61" s="7">
        <v>1</v>
      </c>
      <c r="AA61" s="7">
        <v>26</v>
      </c>
      <c r="AB61" s="7">
        <v>25</v>
      </c>
      <c r="AC61" s="7">
        <v>51</v>
      </c>
    </row>
    <row r="62" spans="1:32" ht="24.9" customHeight="1" x14ac:dyDescent="0.3">
      <c r="A62" s="224" t="s">
        <v>7</v>
      </c>
      <c r="B62" s="225"/>
      <c r="C62" s="225"/>
      <c r="D62" s="225"/>
      <c r="E62" s="225"/>
      <c r="F62" s="225"/>
      <c r="G62" s="225"/>
      <c r="H62" s="225"/>
      <c r="I62" s="225"/>
      <c r="J62" s="226"/>
      <c r="K62" s="7">
        <v>4</v>
      </c>
      <c r="L62" s="7">
        <v>1</v>
      </c>
      <c r="M62" s="7">
        <v>11</v>
      </c>
      <c r="N62" s="7">
        <v>4</v>
      </c>
      <c r="O62" s="7">
        <v>7</v>
      </c>
      <c r="P62" s="7">
        <v>22</v>
      </c>
      <c r="Q62" s="7">
        <v>19</v>
      </c>
      <c r="R62" s="7">
        <v>9</v>
      </c>
      <c r="S62" s="7">
        <v>14</v>
      </c>
      <c r="T62" s="7">
        <v>11</v>
      </c>
      <c r="U62" s="7">
        <v>6</v>
      </c>
      <c r="V62" s="7">
        <v>1</v>
      </c>
      <c r="W62" s="7">
        <v>2</v>
      </c>
      <c r="X62" s="7">
        <v>4</v>
      </c>
      <c r="Y62" s="7">
        <v>4</v>
      </c>
      <c r="Z62" s="7">
        <v>4</v>
      </c>
      <c r="AA62" s="7">
        <v>67</v>
      </c>
      <c r="AB62" s="7">
        <v>56</v>
      </c>
      <c r="AC62" s="7">
        <v>123</v>
      </c>
    </row>
    <row r="63" spans="1:32" ht="6.75" customHeight="1" x14ac:dyDescent="0.3">
      <c r="A63" s="8"/>
      <c r="B63" s="9"/>
      <c r="C63" s="9"/>
      <c r="D63" s="9"/>
      <c r="E63" s="9"/>
      <c r="F63" s="10"/>
      <c r="G63" s="11"/>
      <c r="H63" s="11"/>
      <c r="I63" s="11"/>
      <c r="J63" s="11"/>
      <c r="K63" s="11"/>
      <c r="L63" s="11"/>
      <c r="M63" s="50"/>
      <c r="N63" s="11"/>
      <c r="O63" s="227"/>
      <c r="P63" s="228"/>
      <c r="Q63" s="12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3"/>
    </row>
    <row r="64" spans="1:32" ht="18" customHeight="1" x14ac:dyDescent="0.3">
      <c r="A64" s="14" t="s">
        <v>45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6"/>
      <c r="M64" s="17"/>
      <c r="N64" s="14" t="s">
        <v>46</v>
      </c>
      <c r="O64" s="15"/>
      <c r="P64" s="15"/>
      <c r="Q64" s="15"/>
      <c r="R64" s="15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9"/>
    </row>
    <row r="65" spans="1:29" ht="42.75" customHeight="1" x14ac:dyDescent="0.3">
      <c r="A65" s="307" t="s">
        <v>47</v>
      </c>
      <c r="B65" s="312" t="s">
        <v>48</v>
      </c>
      <c r="C65" s="313"/>
      <c r="D65" s="314" t="s">
        <v>49</v>
      </c>
      <c r="E65" s="315"/>
      <c r="F65" s="316"/>
      <c r="G65" s="314" t="s">
        <v>50</v>
      </c>
      <c r="H65" s="315"/>
      <c r="I65" s="315"/>
      <c r="J65" s="316"/>
      <c r="K65" s="307" t="s">
        <v>51</v>
      </c>
      <c r="L65" s="307" t="s">
        <v>52</v>
      </c>
      <c r="M65" s="20"/>
      <c r="N65" s="309" t="s">
        <v>53</v>
      </c>
      <c r="O65" s="310"/>
      <c r="P65" s="311"/>
      <c r="Q65" s="309" t="s">
        <v>54</v>
      </c>
      <c r="R65" s="310"/>
      <c r="S65" s="311"/>
      <c r="T65" s="309" t="s">
        <v>55</v>
      </c>
      <c r="U65" s="310"/>
      <c r="V65" s="310"/>
      <c r="W65" s="310"/>
      <c r="X65" s="310"/>
      <c r="Y65" s="310"/>
      <c r="Z65" s="310"/>
      <c r="AA65" s="310"/>
      <c r="AB65" s="310"/>
      <c r="AC65" s="311"/>
    </row>
    <row r="66" spans="1:29" ht="48" customHeight="1" x14ac:dyDescent="0.3">
      <c r="A66" s="308"/>
      <c r="B66" s="21" t="s">
        <v>7</v>
      </c>
      <c r="C66" s="22" t="s">
        <v>87</v>
      </c>
      <c r="D66" s="22" t="s">
        <v>56</v>
      </c>
      <c r="E66" s="22" t="s">
        <v>88</v>
      </c>
      <c r="F66" s="22" t="s">
        <v>89</v>
      </c>
      <c r="G66" s="23" t="s">
        <v>56</v>
      </c>
      <c r="H66" s="22" t="s">
        <v>90</v>
      </c>
      <c r="I66" s="23" t="s">
        <v>57</v>
      </c>
      <c r="J66" s="23" t="s">
        <v>58</v>
      </c>
      <c r="K66" s="308"/>
      <c r="L66" s="308"/>
      <c r="M66" s="20"/>
      <c r="N66" s="309">
        <v>0</v>
      </c>
      <c r="O66" s="310"/>
      <c r="P66" s="311"/>
      <c r="Q66" s="309">
        <v>0</v>
      </c>
      <c r="R66" s="310"/>
      <c r="S66" s="311"/>
      <c r="T66" s="309">
        <v>0</v>
      </c>
      <c r="U66" s="310"/>
      <c r="V66" s="310"/>
      <c r="W66" s="310"/>
      <c r="X66" s="310"/>
      <c r="Y66" s="310"/>
      <c r="Z66" s="310"/>
      <c r="AA66" s="310"/>
      <c r="AB66" s="310"/>
      <c r="AC66" s="311"/>
    </row>
    <row r="67" spans="1:29" ht="38.25" customHeight="1" x14ac:dyDescent="0.3">
      <c r="A67" s="270">
        <v>757</v>
      </c>
      <c r="B67" s="270">
        <v>196</v>
      </c>
      <c r="C67" s="270">
        <v>0</v>
      </c>
      <c r="D67" s="270">
        <v>163</v>
      </c>
      <c r="E67" s="270">
        <v>0</v>
      </c>
      <c r="F67" s="270">
        <v>0</v>
      </c>
      <c r="G67" s="270">
        <v>18</v>
      </c>
      <c r="H67" s="270">
        <v>15</v>
      </c>
      <c r="I67" s="270">
        <v>0</v>
      </c>
      <c r="J67" s="440">
        <v>33</v>
      </c>
      <c r="K67" s="270">
        <v>20</v>
      </c>
      <c r="L67" s="270">
        <v>75</v>
      </c>
      <c r="M67" s="20"/>
      <c r="N67" s="309" t="s">
        <v>59</v>
      </c>
      <c r="O67" s="310"/>
      <c r="P67" s="311"/>
      <c r="Q67" s="309" t="s">
        <v>60</v>
      </c>
      <c r="R67" s="310"/>
      <c r="S67" s="311"/>
      <c r="T67" s="293" t="s">
        <v>61</v>
      </c>
      <c r="U67" s="294"/>
      <c r="V67" s="294"/>
      <c r="W67" s="295"/>
      <c r="X67" s="293" t="s">
        <v>62</v>
      </c>
      <c r="Y67" s="294"/>
      <c r="Z67" s="294"/>
      <c r="AA67" s="294"/>
      <c r="AB67" s="294"/>
      <c r="AC67" s="295"/>
    </row>
    <row r="68" spans="1:29" ht="19.5" customHeight="1" x14ac:dyDescent="0.3">
      <c r="A68" s="271"/>
      <c r="B68" s="271"/>
      <c r="C68" s="271"/>
      <c r="D68" s="271"/>
      <c r="E68" s="271"/>
      <c r="F68" s="271"/>
      <c r="G68" s="271"/>
      <c r="H68" s="271"/>
      <c r="I68" s="271"/>
      <c r="J68" s="441"/>
      <c r="K68" s="271"/>
      <c r="L68" s="271"/>
      <c r="M68" s="54"/>
      <c r="N68" s="287">
        <v>0</v>
      </c>
      <c r="O68" s="288"/>
      <c r="P68" s="289"/>
      <c r="Q68" s="287">
        <v>0</v>
      </c>
      <c r="R68" s="288"/>
      <c r="S68" s="289"/>
      <c r="T68" s="287">
        <v>0</v>
      </c>
      <c r="U68" s="288"/>
      <c r="V68" s="288"/>
      <c r="W68" s="289"/>
      <c r="X68" s="24"/>
      <c r="Y68" s="309" t="s">
        <v>0</v>
      </c>
      <c r="Z68" s="311"/>
      <c r="AA68" s="25" t="s">
        <v>1</v>
      </c>
      <c r="AB68" s="309" t="s">
        <v>63</v>
      </c>
      <c r="AC68" s="311"/>
    </row>
    <row r="69" spans="1:29" ht="18" customHeight="1" x14ac:dyDescent="0.3">
      <c r="A69" s="271"/>
      <c r="B69" s="271"/>
      <c r="C69" s="271"/>
      <c r="D69" s="271"/>
      <c r="E69" s="271"/>
      <c r="F69" s="271"/>
      <c r="G69" s="271"/>
      <c r="H69" s="271"/>
      <c r="I69" s="271"/>
      <c r="J69" s="441"/>
      <c r="K69" s="271"/>
      <c r="L69" s="271"/>
      <c r="M69" s="54"/>
      <c r="N69" s="290"/>
      <c r="O69" s="291"/>
      <c r="P69" s="292"/>
      <c r="Q69" s="290"/>
      <c r="R69" s="291"/>
      <c r="S69" s="292"/>
      <c r="T69" s="290"/>
      <c r="U69" s="291"/>
      <c r="V69" s="291"/>
      <c r="W69" s="292"/>
      <c r="X69" s="26" t="s">
        <v>64</v>
      </c>
      <c r="Y69" s="317">
        <v>0</v>
      </c>
      <c r="Z69" s="317"/>
      <c r="AA69" s="7">
        <v>0</v>
      </c>
      <c r="AB69" s="317">
        <v>0</v>
      </c>
      <c r="AC69" s="317"/>
    </row>
    <row r="70" spans="1:29" ht="18" customHeight="1" x14ac:dyDescent="0.3">
      <c r="A70" s="271"/>
      <c r="B70" s="271"/>
      <c r="C70" s="271"/>
      <c r="D70" s="271"/>
      <c r="E70" s="271"/>
      <c r="F70" s="271"/>
      <c r="G70" s="271"/>
      <c r="H70" s="271"/>
      <c r="I70" s="271"/>
      <c r="J70" s="441"/>
      <c r="K70" s="271"/>
      <c r="L70" s="271"/>
      <c r="M70" s="54"/>
      <c r="N70" s="290"/>
      <c r="O70" s="291"/>
      <c r="P70" s="292"/>
      <c r="Q70" s="290"/>
      <c r="R70" s="291"/>
      <c r="S70" s="292"/>
      <c r="T70" s="290"/>
      <c r="U70" s="291"/>
      <c r="V70" s="291"/>
      <c r="W70" s="292"/>
      <c r="X70" s="26" t="s">
        <v>65</v>
      </c>
      <c r="Y70" s="317">
        <v>0</v>
      </c>
      <c r="Z70" s="317"/>
      <c r="AA70" s="7">
        <v>0</v>
      </c>
      <c r="AB70" s="317">
        <v>0</v>
      </c>
      <c r="AC70" s="317"/>
    </row>
    <row r="71" spans="1:29" ht="18" customHeight="1" x14ac:dyDescent="0.3">
      <c r="A71" s="272"/>
      <c r="B71" s="272"/>
      <c r="C71" s="272"/>
      <c r="D71" s="272"/>
      <c r="E71" s="272"/>
      <c r="F71" s="272"/>
      <c r="G71" s="272"/>
      <c r="H71" s="272"/>
      <c r="I71" s="272"/>
      <c r="J71" s="442"/>
      <c r="K71" s="272"/>
      <c r="L71" s="272"/>
      <c r="M71" s="54"/>
      <c r="N71" s="293"/>
      <c r="O71" s="294"/>
      <c r="P71" s="295"/>
      <c r="Q71" s="293"/>
      <c r="R71" s="294"/>
      <c r="S71" s="295"/>
      <c r="T71" s="293"/>
      <c r="U71" s="294"/>
      <c r="V71" s="294"/>
      <c r="W71" s="295"/>
      <c r="X71" s="26" t="s">
        <v>66</v>
      </c>
      <c r="Y71" s="317">
        <v>0</v>
      </c>
      <c r="Z71" s="317"/>
      <c r="AA71" s="7">
        <v>0</v>
      </c>
      <c r="AB71" s="317">
        <v>0</v>
      </c>
      <c r="AC71" s="317"/>
    </row>
    <row r="72" spans="1:29" ht="8.25" customHeight="1" x14ac:dyDescent="0.3">
      <c r="A72" s="27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59"/>
      <c r="N72" s="28"/>
      <c r="O72" s="28"/>
      <c r="P72" s="28"/>
      <c r="Q72" s="28"/>
      <c r="R72" s="28"/>
      <c r="S72" s="28"/>
      <c r="T72" s="28"/>
      <c r="U72" s="29"/>
      <c r="V72" s="29"/>
      <c r="W72" s="29"/>
      <c r="X72" s="29"/>
      <c r="Y72" s="29"/>
      <c r="Z72" s="29"/>
      <c r="AA72" s="28"/>
      <c r="AB72" s="28"/>
      <c r="AC72" s="4"/>
    </row>
    <row r="73" spans="1:29" ht="18" customHeight="1" x14ac:dyDescent="0.3">
      <c r="A73" s="14" t="s">
        <v>67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6"/>
      <c r="M73" s="30"/>
      <c r="N73" s="14" t="s">
        <v>68</v>
      </c>
      <c r="O73" s="16"/>
      <c r="P73" s="15"/>
      <c r="Q73" s="31"/>
      <c r="R73" s="15"/>
      <c r="S73" s="15"/>
      <c r="T73" s="15"/>
      <c r="U73" s="15"/>
      <c r="V73" s="15"/>
      <c r="W73" s="15"/>
      <c r="X73" s="15"/>
      <c r="Y73" s="15"/>
      <c r="Z73" s="15"/>
      <c r="AA73" s="18"/>
      <c r="AB73" s="18"/>
      <c r="AC73" s="32"/>
    </row>
    <row r="74" spans="1:29" ht="57" customHeight="1" x14ac:dyDescent="0.3">
      <c r="A74" s="205"/>
      <c r="B74" s="206"/>
      <c r="C74" s="206"/>
      <c r="D74" s="206"/>
      <c r="E74" s="206"/>
      <c r="F74" s="207"/>
      <c r="G74" s="224" t="s">
        <v>11</v>
      </c>
      <c r="H74" s="226"/>
      <c r="I74" s="224" t="s">
        <v>12</v>
      </c>
      <c r="J74" s="226"/>
      <c r="K74" s="33" t="s">
        <v>69</v>
      </c>
      <c r="L74" s="34"/>
      <c r="M74" s="62"/>
      <c r="N74" s="314" t="s">
        <v>70</v>
      </c>
      <c r="O74" s="315"/>
      <c r="P74" s="316"/>
      <c r="Q74" s="314" t="s">
        <v>71</v>
      </c>
      <c r="R74" s="315"/>
      <c r="S74" s="316"/>
      <c r="T74" s="314" t="s">
        <v>72</v>
      </c>
      <c r="U74" s="315"/>
      <c r="V74" s="316"/>
      <c r="W74" s="314" t="s">
        <v>73</v>
      </c>
      <c r="X74" s="315"/>
      <c r="Y74" s="315"/>
      <c r="Z74" s="316"/>
      <c r="AA74" s="314" t="s">
        <v>74</v>
      </c>
      <c r="AB74" s="315"/>
      <c r="AC74" s="316"/>
    </row>
    <row r="75" spans="1:29" ht="13.5" customHeight="1" x14ac:dyDescent="0.3">
      <c r="A75" s="208"/>
      <c r="B75" s="209"/>
      <c r="C75" s="209"/>
      <c r="D75" s="209"/>
      <c r="E75" s="209"/>
      <c r="F75" s="210"/>
      <c r="G75" s="7" t="s">
        <v>75</v>
      </c>
      <c r="H75" s="7" t="s">
        <v>13</v>
      </c>
      <c r="I75" s="7" t="s">
        <v>75</v>
      </c>
      <c r="J75" s="7" t="s">
        <v>13</v>
      </c>
      <c r="K75" s="7" t="s">
        <v>75</v>
      </c>
      <c r="L75" s="7" t="s">
        <v>13</v>
      </c>
      <c r="M75" s="63"/>
      <c r="N75" s="35" t="s">
        <v>0</v>
      </c>
      <c r="O75" s="36" t="s">
        <v>1</v>
      </c>
      <c r="P75" s="36" t="s">
        <v>91</v>
      </c>
      <c r="Q75" s="35" t="s">
        <v>0</v>
      </c>
      <c r="R75" s="36" t="s">
        <v>1</v>
      </c>
      <c r="S75" s="36" t="s">
        <v>91</v>
      </c>
      <c r="T75" s="35" t="s">
        <v>0</v>
      </c>
      <c r="U75" s="36" t="s">
        <v>1</v>
      </c>
      <c r="V75" s="36" t="s">
        <v>91</v>
      </c>
      <c r="W75" s="37"/>
      <c r="X75" s="35" t="s">
        <v>0</v>
      </c>
      <c r="Y75" s="38" t="s">
        <v>1</v>
      </c>
      <c r="Z75" s="39" t="s">
        <v>76</v>
      </c>
      <c r="AA75" s="35" t="s">
        <v>0</v>
      </c>
      <c r="AB75" s="38" t="s">
        <v>1</v>
      </c>
      <c r="AC75" s="39" t="s">
        <v>76</v>
      </c>
    </row>
    <row r="76" spans="1:29" ht="24.9" customHeight="1" x14ac:dyDescent="0.3">
      <c r="A76" s="299" t="s">
        <v>77</v>
      </c>
      <c r="B76" s="318"/>
      <c r="C76" s="318"/>
      <c r="D76" s="318"/>
      <c r="E76" s="318"/>
      <c r="F76" s="300"/>
      <c r="G76" s="7">
        <v>27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63"/>
      <c r="N76" s="321">
        <v>0</v>
      </c>
      <c r="O76" s="321">
        <v>33</v>
      </c>
      <c r="P76" s="321">
        <v>726</v>
      </c>
      <c r="Q76" s="321">
        <v>0</v>
      </c>
      <c r="R76" s="321">
        <v>14</v>
      </c>
      <c r="S76" s="321">
        <v>103</v>
      </c>
      <c r="T76" s="321">
        <v>0</v>
      </c>
      <c r="U76" s="321">
        <v>1</v>
      </c>
      <c r="V76" s="321">
        <v>25</v>
      </c>
      <c r="W76" s="40" t="s">
        <v>64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</row>
    <row r="77" spans="1:29" ht="24.9" customHeight="1" x14ac:dyDescent="0.3">
      <c r="A77" s="299" t="s">
        <v>8</v>
      </c>
      <c r="B77" s="318"/>
      <c r="C77" s="318"/>
      <c r="D77" s="318"/>
      <c r="E77" s="318"/>
      <c r="F77" s="300"/>
      <c r="G77" s="7">
        <v>1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63"/>
      <c r="N77" s="322"/>
      <c r="O77" s="322"/>
      <c r="P77" s="322"/>
      <c r="Q77" s="322"/>
      <c r="R77" s="322"/>
      <c r="S77" s="322"/>
      <c r="T77" s="322"/>
      <c r="U77" s="322"/>
      <c r="V77" s="322"/>
      <c r="W77" s="40" t="s">
        <v>65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</row>
    <row r="78" spans="1:29" ht="24.9" customHeight="1" x14ac:dyDescent="0.3">
      <c r="A78" s="309" t="s">
        <v>78</v>
      </c>
      <c r="B78" s="310"/>
      <c r="C78" s="310"/>
      <c r="D78" s="310"/>
      <c r="E78" s="310"/>
      <c r="F78" s="311"/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63"/>
      <c r="N78" s="322"/>
      <c r="O78" s="322"/>
      <c r="P78" s="322"/>
      <c r="Q78" s="322"/>
      <c r="R78" s="322"/>
      <c r="S78" s="322"/>
      <c r="T78" s="322"/>
      <c r="U78" s="322"/>
      <c r="V78" s="322"/>
      <c r="W78" s="319" t="s">
        <v>66</v>
      </c>
      <c r="X78" s="321">
        <v>0</v>
      </c>
      <c r="Y78" s="321">
        <v>0</v>
      </c>
      <c r="Z78" s="321">
        <v>0</v>
      </c>
      <c r="AA78" s="321">
        <v>0</v>
      </c>
      <c r="AB78" s="321">
        <v>0</v>
      </c>
      <c r="AC78" s="321">
        <v>0</v>
      </c>
    </row>
    <row r="79" spans="1:29" ht="24.9" customHeight="1" x14ac:dyDescent="0.3">
      <c r="A79" s="224" t="s">
        <v>7</v>
      </c>
      <c r="B79" s="225"/>
      <c r="C79" s="225"/>
      <c r="D79" s="225"/>
      <c r="E79" s="225"/>
      <c r="F79" s="226"/>
      <c r="G79" s="7">
        <v>28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63"/>
      <c r="N79" s="323"/>
      <c r="O79" s="323"/>
      <c r="P79" s="323"/>
      <c r="Q79" s="323"/>
      <c r="R79" s="323"/>
      <c r="S79" s="323"/>
      <c r="T79" s="323"/>
      <c r="U79" s="323"/>
      <c r="V79" s="323"/>
      <c r="W79" s="320"/>
      <c r="X79" s="323"/>
      <c r="Y79" s="323"/>
      <c r="Z79" s="323"/>
      <c r="AA79" s="323"/>
      <c r="AB79" s="323"/>
      <c r="AC79" s="323"/>
    </row>
    <row r="80" spans="1:29" ht="23.4" x14ac:dyDescent="0.45">
      <c r="A80" s="158" t="s">
        <v>15</v>
      </c>
      <c r="B80" s="158"/>
      <c r="C80" s="158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  <c r="AA80" s="158"/>
      <c r="AB80" s="158"/>
      <c r="AC80" s="158"/>
    </row>
    <row r="81" spans="1:32" ht="23.4" x14ac:dyDescent="0.3">
      <c r="A81" s="159" t="s">
        <v>16</v>
      </c>
      <c r="B81" s="159"/>
      <c r="C81" s="159"/>
      <c r="D81" s="159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2"/>
      <c r="Y81" s="160" t="s">
        <v>17</v>
      </c>
      <c r="Z81" s="160"/>
      <c r="AA81" s="2"/>
      <c r="AB81" s="2"/>
      <c r="AC81" s="2"/>
    </row>
    <row r="82" spans="1:32" ht="30.9" customHeight="1" x14ac:dyDescent="0.3">
      <c r="A82" s="326" t="s">
        <v>18</v>
      </c>
      <c r="B82" s="326"/>
      <c r="C82" s="326"/>
      <c r="D82" s="326"/>
      <c r="E82" s="439" t="s">
        <v>104</v>
      </c>
      <c r="F82" s="439"/>
      <c r="G82" s="439"/>
      <c r="H82" s="439"/>
      <c r="I82" s="328" t="s">
        <v>20</v>
      </c>
      <c r="J82" s="328"/>
      <c r="K82" s="329" t="s">
        <v>85</v>
      </c>
      <c r="L82" s="329"/>
      <c r="M82" s="328" t="s">
        <v>21</v>
      </c>
      <c r="N82" s="328"/>
      <c r="O82" s="340" t="s">
        <v>92</v>
      </c>
      <c r="P82" s="340"/>
      <c r="Q82" s="340"/>
      <c r="R82" s="340"/>
      <c r="S82" s="43"/>
      <c r="T82" s="166" t="s">
        <v>22</v>
      </c>
      <c r="U82" s="166"/>
      <c r="V82" s="166"/>
      <c r="W82" s="166"/>
      <c r="X82" s="166"/>
      <c r="Y82" s="152" t="s">
        <v>80</v>
      </c>
      <c r="Z82" s="152"/>
      <c r="AA82" s="152"/>
      <c r="AB82" s="153" t="s">
        <v>83</v>
      </c>
      <c r="AC82" s="153"/>
    </row>
    <row r="83" spans="1:32" ht="15" customHeight="1" x14ac:dyDescent="0.3">
      <c r="T83" s="166"/>
      <c r="U83" s="166"/>
      <c r="V83" s="166"/>
      <c r="W83" s="166"/>
      <c r="X83" s="166"/>
      <c r="Y83" s="152"/>
      <c r="Z83" s="152"/>
      <c r="AA83" s="152"/>
      <c r="AB83" s="153"/>
      <c r="AC83" s="153"/>
    </row>
    <row r="84" spans="1:32" ht="15.6" x14ac:dyDescent="0.3">
      <c r="A84" s="324" t="s">
        <v>24</v>
      </c>
      <c r="B84" s="324"/>
      <c r="C84" s="324"/>
      <c r="D84" s="324"/>
      <c r="E84" s="324"/>
      <c r="F84" s="324"/>
      <c r="G84" s="324"/>
      <c r="H84" s="347" t="s">
        <v>25</v>
      </c>
      <c r="I84" s="347"/>
      <c r="J84" s="347"/>
      <c r="K84" s="347"/>
      <c r="L84" s="347"/>
      <c r="M84" s="347"/>
      <c r="N84" s="347"/>
      <c r="O84" s="44"/>
      <c r="P84" s="44"/>
      <c r="T84" s="156" t="s">
        <v>26</v>
      </c>
      <c r="U84" s="156"/>
      <c r="V84" s="156"/>
      <c r="W84" s="156"/>
      <c r="X84" s="156"/>
      <c r="Y84" s="156"/>
      <c r="Z84" s="265" t="s">
        <v>27</v>
      </c>
      <c r="AA84" s="265"/>
      <c r="AB84" s="265"/>
      <c r="AC84" s="265"/>
    </row>
    <row r="85" spans="1:32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32" ht="15" customHeight="1" x14ac:dyDescent="0.3">
      <c r="A86" s="284" t="s">
        <v>29</v>
      </c>
      <c r="B86" s="285"/>
      <c r="C86" s="285"/>
      <c r="D86" s="285"/>
      <c r="E86" s="285"/>
      <c r="F86" s="285"/>
      <c r="G86" s="285"/>
      <c r="H86" s="285"/>
      <c r="I86" s="285"/>
      <c r="J86" s="286"/>
      <c r="K86" s="273" t="s">
        <v>30</v>
      </c>
      <c r="L86" s="274"/>
      <c r="M86" s="273" t="s">
        <v>31</v>
      </c>
      <c r="N86" s="274"/>
      <c r="O86" s="287" t="s">
        <v>32</v>
      </c>
      <c r="P86" s="288"/>
      <c r="Q86" s="289"/>
      <c r="R86" s="273" t="s">
        <v>33</v>
      </c>
      <c r="S86" s="296"/>
      <c r="T86" s="274"/>
      <c r="U86" s="224" t="s">
        <v>34</v>
      </c>
      <c r="V86" s="225"/>
      <c r="W86" s="225"/>
      <c r="X86" s="225"/>
      <c r="Y86" s="225"/>
      <c r="Z86" s="225"/>
      <c r="AA86" s="226"/>
      <c r="AB86" s="273" t="s">
        <v>7</v>
      </c>
      <c r="AC86" s="274"/>
    </row>
    <row r="87" spans="1:32" ht="23.25" customHeight="1" x14ac:dyDescent="0.3">
      <c r="A87" s="169" t="s">
        <v>35</v>
      </c>
      <c r="B87" s="173"/>
      <c r="C87" s="173"/>
      <c r="D87" s="173"/>
      <c r="E87" s="173"/>
      <c r="F87" s="173"/>
      <c r="G87" s="173"/>
      <c r="H87" s="173"/>
      <c r="I87" s="173"/>
      <c r="J87" s="170"/>
      <c r="K87" s="275"/>
      <c r="L87" s="276"/>
      <c r="M87" s="275"/>
      <c r="N87" s="276"/>
      <c r="O87" s="290"/>
      <c r="P87" s="291"/>
      <c r="Q87" s="292"/>
      <c r="R87" s="275"/>
      <c r="S87" s="297"/>
      <c r="T87" s="276"/>
      <c r="U87" s="279" t="s">
        <v>36</v>
      </c>
      <c r="V87" s="279"/>
      <c r="W87" s="279"/>
      <c r="X87" s="279" t="s">
        <v>37</v>
      </c>
      <c r="Y87" s="279"/>
      <c r="Z87" s="279" t="s">
        <v>38</v>
      </c>
      <c r="AA87" s="279"/>
      <c r="AB87" s="275"/>
      <c r="AC87" s="276"/>
    </row>
    <row r="88" spans="1:32" x14ac:dyDescent="0.3">
      <c r="A88" s="171"/>
      <c r="B88" s="174"/>
      <c r="C88" s="174"/>
      <c r="D88" s="174"/>
      <c r="E88" s="174"/>
      <c r="F88" s="174"/>
      <c r="G88" s="174"/>
      <c r="H88" s="174"/>
      <c r="I88" s="174"/>
      <c r="J88" s="172"/>
      <c r="K88" s="277"/>
      <c r="L88" s="278"/>
      <c r="M88" s="277"/>
      <c r="N88" s="278"/>
      <c r="O88" s="293"/>
      <c r="P88" s="294"/>
      <c r="Q88" s="295"/>
      <c r="R88" s="277"/>
      <c r="S88" s="298"/>
      <c r="T88" s="278"/>
      <c r="U88" s="280"/>
      <c r="V88" s="280"/>
      <c r="W88" s="280"/>
      <c r="X88" s="280"/>
      <c r="Y88" s="280"/>
      <c r="Z88" s="280"/>
      <c r="AA88" s="280"/>
      <c r="AB88" s="277"/>
      <c r="AC88" s="278"/>
    </row>
    <row r="89" spans="1:32" ht="24.9" customHeight="1" x14ac:dyDescent="0.3">
      <c r="A89" s="281" t="s">
        <v>39</v>
      </c>
      <c r="B89" s="282"/>
      <c r="C89" s="282"/>
      <c r="D89" s="282"/>
      <c r="E89" s="282"/>
      <c r="F89" s="282"/>
      <c r="G89" s="282"/>
      <c r="H89" s="282"/>
      <c r="I89" s="282"/>
      <c r="J89" s="283"/>
      <c r="K89" s="224">
        <v>23</v>
      </c>
      <c r="L89" s="226"/>
      <c r="M89" s="224">
        <v>1</v>
      </c>
      <c r="N89" s="226"/>
      <c r="O89" s="224">
        <v>0</v>
      </c>
      <c r="P89" s="225"/>
      <c r="Q89" s="226"/>
      <c r="R89" s="224">
        <v>24</v>
      </c>
      <c r="S89" s="225"/>
      <c r="T89" s="226"/>
      <c r="U89" s="224">
        <v>0</v>
      </c>
      <c r="V89" s="225"/>
      <c r="W89" s="226"/>
      <c r="X89" s="224">
        <v>0</v>
      </c>
      <c r="Y89" s="226"/>
      <c r="Z89" s="224">
        <v>0</v>
      </c>
      <c r="AA89" s="226"/>
      <c r="AB89" s="299">
        <v>24</v>
      </c>
      <c r="AC89" s="300"/>
    </row>
    <row r="90" spans="1:32" ht="24.9" customHeight="1" x14ac:dyDescent="0.3">
      <c r="A90" s="281" t="s">
        <v>40</v>
      </c>
      <c r="B90" s="282"/>
      <c r="C90" s="282"/>
      <c r="D90" s="282"/>
      <c r="E90" s="282"/>
      <c r="F90" s="282"/>
      <c r="G90" s="282"/>
      <c r="H90" s="282"/>
      <c r="I90" s="282"/>
      <c r="J90" s="283"/>
      <c r="K90" s="224">
        <v>39</v>
      </c>
      <c r="L90" s="226"/>
      <c r="M90" s="224">
        <v>0</v>
      </c>
      <c r="N90" s="226"/>
      <c r="O90" s="224">
        <v>0</v>
      </c>
      <c r="P90" s="225"/>
      <c r="Q90" s="226"/>
      <c r="R90" s="224">
        <v>39</v>
      </c>
      <c r="S90" s="225"/>
      <c r="T90" s="226"/>
      <c r="U90" s="224">
        <v>0</v>
      </c>
      <c r="V90" s="225"/>
      <c r="W90" s="226"/>
      <c r="X90" s="224">
        <v>0</v>
      </c>
      <c r="Y90" s="226"/>
      <c r="Z90" s="224">
        <v>0</v>
      </c>
      <c r="AA90" s="226"/>
      <c r="AB90" s="299">
        <v>39</v>
      </c>
      <c r="AC90" s="300"/>
    </row>
    <row r="91" spans="1:32" ht="24.9" customHeight="1" x14ac:dyDescent="0.3">
      <c r="A91" s="281" t="s">
        <v>41</v>
      </c>
      <c r="B91" s="282"/>
      <c r="C91" s="282"/>
      <c r="D91" s="282"/>
      <c r="E91" s="282"/>
      <c r="F91" s="282"/>
      <c r="G91" s="282"/>
      <c r="H91" s="282"/>
      <c r="I91" s="282"/>
      <c r="J91" s="283"/>
      <c r="K91" s="224">
        <v>0</v>
      </c>
      <c r="L91" s="226"/>
      <c r="M91" s="224">
        <v>0</v>
      </c>
      <c r="N91" s="226"/>
      <c r="O91" s="224">
        <v>0</v>
      </c>
      <c r="P91" s="225"/>
      <c r="Q91" s="226"/>
      <c r="R91" s="224">
        <v>0</v>
      </c>
      <c r="S91" s="225"/>
      <c r="T91" s="226"/>
      <c r="U91" s="224">
        <v>0</v>
      </c>
      <c r="V91" s="225"/>
      <c r="W91" s="226"/>
      <c r="X91" s="224">
        <v>0</v>
      </c>
      <c r="Y91" s="226"/>
      <c r="Z91" s="224">
        <v>0</v>
      </c>
      <c r="AA91" s="226"/>
      <c r="AB91" s="299">
        <v>0</v>
      </c>
      <c r="AC91" s="300"/>
    </row>
    <row r="92" spans="1:32" ht="24.9" customHeight="1" x14ac:dyDescent="0.3">
      <c r="A92" s="281" t="s">
        <v>42</v>
      </c>
      <c r="B92" s="282"/>
      <c r="C92" s="282"/>
      <c r="D92" s="282"/>
      <c r="E92" s="282"/>
      <c r="F92" s="282"/>
      <c r="G92" s="282"/>
      <c r="H92" s="282"/>
      <c r="I92" s="282"/>
      <c r="J92" s="283"/>
      <c r="K92" s="224">
        <v>43</v>
      </c>
      <c r="L92" s="226"/>
      <c r="M92" s="224">
        <v>2</v>
      </c>
      <c r="N92" s="226"/>
      <c r="O92" s="224">
        <v>0</v>
      </c>
      <c r="P92" s="225"/>
      <c r="Q92" s="226"/>
      <c r="R92" s="224">
        <v>45</v>
      </c>
      <c r="S92" s="225"/>
      <c r="T92" s="226"/>
      <c r="U92" s="224">
        <v>0</v>
      </c>
      <c r="V92" s="225"/>
      <c r="W92" s="226"/>
      <c r="X92" s="224">
        <v>0</v>
      </c>
      <c r="Y92" s="226"/>
      <c r="Z92" s="224">
        <v>0</v>
      </c>
      <c r="AA92" s="226"/>
      <c r="AB92" s="299">
        <v>45</v>
      </c>
      <c r="AC92" s="300"/>
    </row>
    <row r="93" spans="1:32" ht="24.9" customHeight="1" x14ac:dyDescent="0.3">
      <c r="A93" s="281" t="s">
        <v>7</v>
      </c>
      <c r="B93" s="282"/>
      <c r="C93" s="282"/>
      <c r="D93" s="282"/>
      <c r="E93" s="282"/>
      <c r="F93" s="282"/>
      <c r="G93" s="282"/>
      <c r="H93" s="282"/>
      <c r="I93" s="282"/>
      <c r="J93" s="283"/>
      <c r="K93" s="224">
        <v>105</v>
      </c>
      <c r="L93" s="226"/>
      <c r="M93" s="224">
        <v>3</v>
      </c>
      <c r="N93" s="226"/>
      <c r="O93" s="224">
        <v>0</v>
      </c>
      <c r="P93" s="225"/>
      <c r="Q93" s="226"/>
      <c r="R93" s="224">
        <v>108</v>
      </c>
      <c r="S93" s="225"/>
      <c r="T93" s="226"/>
      <c r="U93" s="224">
        <v>0</v>
      </c>
      <c r="V93" s="225"/>
      <c r="W93" s="226"/>
      <c r="X93" s="224">
        <v>0</v>
      </c>
      <c r="Y93" s="226"/>
      <c r="Z93" s="224">
        <v>0</v>
      </c>
      <c r="AA93" s="226"/>
      <c r="AB93" s="299">
        <v>108</v>
      </c>
      <c r="AC93" s="300"/>
    </row>
    <row r="94" spans="1:32" ht="15.6" x14ac:dyDescent="0.3">
      <c r="A94" s="45" t="s">
        <v>43</v>
      </c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7"/>
      <c r="V94" s="47"/>
      <c r="W94" s="47"/>
      <c r="X94" s="47"/>
      <c r="Y94" s="47"/>
      <c r="Z94" s="47"/>
      <c r="AA94" s="47"/>
      <c r="AB94" s="47"/>
      <c r="AC94" s="4"/>
    </row>
    <row r="95" spans="1:32" ht="21.75" customHeight="1" x14ac:dyDescent="0.3">
      <c r="A95" s="205"/>
      <c r="B95" s="206"/>
      <c r="C95" s="206"/>
      <c r="D95" s="206"/>
      <c r="E95" s="206"/>
      <c r="F95" s="206"/>
      <c r="G95" s="206"/>
      <c r="H95" s="206"/>
      <c r="I95" s="206"/>
      <c r="J95" s="207"/>
      <c r="K95" s="224" t="s">
        <v>0</v>
      </c>
      <c r="L95" s="226"/>
      <c r="M95" s="305" t="s">
        <v>1</v>
      </c>
      <c r="N95" s="306"/>
      <c r="O95" s="301" t="s">
        <v>2</v>
      </c>
      <c r="P95" s="302"/>
      <c r="Q95" s="301" t="s">
        <v>3</v>
      </c>
      <c r="R95" s="302"/>
      <c r="S95" s="301" t="s">
        <v>4</v>
      </c>
      <c r="T95" s="302"/>
      <c r="U95" s="301" t="s">
        <v>5</v>
      </c>
      <c r="V95" s="302"/>
      <c r="W95" s="301" t="s">
        <v>6</v>
      </c>
      <c r="X95" s="302"/>
      <c r="Y95" s="301" t="s">
        <v>44</v>
      </c>
      <c r="Z95" s="302"/>
      <c r="AA95" s="301" t="s">
        <v>7</v>
      </c>
      <c r="AB95" s="302"/>
      <c r="AC95" s="303" t="s">
        <v>86</v>
      </c>
      <c r="AD95" s="5"/>
      <c r="AE95" s="6"/>
      <c r="AF95" s="6"/>
    </row>
    <row r="96" spans="1:32" x14ac:dyDescent="0.3">
      <c r="A96" s="208"/>
      <c r="B96" s="209"/>
      <c r="C96" s="209"/>
      <c r="D96" s="209"/>
      <c r="E96" s="209"/>
      <c r="F96" s="209"/>
      <c r="G96" s="209"/>
      <c r="H96" s="209"/>
      <c r="I96" s="209"/>
      <c r="J96" s="210"/>
      <c r="K96" s="7" t="s">
        <v>9</v>
      </c>
      <c r="L96" s="7" t="s">
        <v>10</v>
      </c>
      <c r="M96" s="7" t="s">
        <v>9</v>
      </c>
      <c r="N96" s="7" t="s">
        <v>10</v>
      </c>
      <c r="O96" s="7" t="s">
        <v>9</v>
      </c>
      <c r="P96" s="7" t="s">
        <v>10</v>
      </c>
      <c r="Q96" s="7" t="s">
        <v>9</v>
      </c>
      <c r="R96" s="7" t="s">
        <v>10</v>
      </c>
      <c r="S96" s="7" t="s">
        <v>9</v>
      </c>
      <c r="T96" s="7" t="s">
        <v>10</v>
      </c>
      <c r="U96" s="7" t="s">
        <v>9</v>
      </c>
      <c r="V96" s="7" t="s">
        <v>10</v>
      </c>
      <c r="W96" s="7" t="s">
        <v>9</v>
      </c>
      <c r="X96" s="7" t="s">
        <v>10</v>
      </c>
      <c r="Y96" s="7" t="s">
        <v>9</v>
      </c>
      <c r="Z96" s="7" t="s">
        <v>10</v>
      </c>
      <c r="AA96" s="7" t="s">
        <v>9</v>
      </c>
      <c r="AB96" s="7" t="s">
        <v>10</v>
      </c>
      <c r="AC96" s="304"/>
    </row>
    <row r="97" spans="1:29" ht="24.9" customHeight="1" x14ac:dyDescent="0.3">
      <c r="A97" s="281" t="s">
        <v>39</v>
      </c>
      <c r="B97" s="282"/>
      <c r="C97" s="282"/>
      <c r="D97" s="282"/>
      <c r="E97" s="282"/>
      <c r="F97" s="282"/>
      <c r="G97" s="282"/>
      <c r="H97" s="282"/>
      <c r="I97" s="282"/>
      <c r="J97" s="283"/>
      <c r="K97" s="7">
        <v>0</v>
      </c>
      <c r="L97" s="7">
        <v>0</v>
      </c>
      <c r="M97" s="7">
        <v>0</v>
      </c>
      <c r="N97" s="7">
        <v>1</v>
      </c>
      <c r="O97" s="7">
        <v>3</v>
      </c>
      <c r="P97" s="7">
        <v>1</v>
      </c>
      <c r="Q97" s="7">
        <v>2</v>
      </c>
      <c r="R97" s="7">
        <v>2</v>
      </c>
      <c r="S97" s="7">
        <v>5</v>
      </c>
      <c r="T97" s="7">
        <v>0</v>
      </c>
      <c r="U97" s="7">
        <v>3</v>
      </c>
      <c r="V97" s="7">
        <v>1</v>
      </c>
      <c r="W97" s="7">
        <v>4</v>
      </c>
      <c r="X97" s="7">
        <v>0</v>
      </c>
      <c r="Y97" s="7">
        <v>1</v>
      </c>
      <c r="Z97" s="7">
        <v>1</v>
      </c>
      <c r="AA97" s="7">
        <v>18</v>
      </c>
      <c r="AB97" s="7">
        <v>6</v>
      </c>
      <c r="AC97" s="7">
        <v>24</v>
      </c>
    </row>
    <row r="98" spans="1:29" ht="24.9" customHeight="1" x14ac:dyDescent="0.3">
      <c r="A98" s="281" t="s">
        <v>40</v>
      </c>
      <c r="B98" s="282"/>
      <c r="C98" s="282"/>
      <c r="D98" s="282"/>
      <c r="E98" s="282"/>
      <c r="F98" s="282"/>
      <c r="G98" s="282"/>
      <c r="H98" s="282"/>
      <c r="I98" s="282"/>
      <c r="J98" s="283"/>
      <c r="K98" s="7">
        <v>1</v>
      </c>
      <c r="L98" s="7">
        <v>1</v>
      </c>
      <c r="M98" s="7">
        <v>0</v>
      </c>
      <c r="N98" s="7">
        <v>3</v>
      </c>
      <c r="O98" s="7">
        <v>6</v>
      </c>
      <c r="P98" s="7">
        <v>4</v>
      </c>
      <c r="Q98" s="7">
        <v>5</v>
      </c>
      <c r="R98" s="7">
        <v>4</v>
      </c>
      <c r="S98" s="7">
        <v>5</v>
      </c>
      <c r="T98" s="7">
        <v>3</v>
      </c>
      <c r="U98" s="7">
        <v>4</v>
      </c>
      <c r="V98" s="7">
        <v>1</v>
      </c>
      <c r="W98" s="7">
        <v>2</v>
      </c>
      <c r="X98" s="7">
        <v>0</v>
      </c>
      <c r="Y98" s="7">
        <v>0</v>
      </c>
      <c r="Z98" s="7">
        <v>0</v>
      </c>
      <c r="AA98" s="7">
        <v>23</v>
      </c>
      <c r="AB98" s="7">
        <v>16</v>
      </c>
      <c r="AC98" s="7">
        <v>39</v>
      </c>
    </row>
    <row r="99" spans="1:29" ht="24.9" customHeight="1" x14ac:dyDescent="0.3">
      <c r="A99" s="281" t="s">
        <v>41</v>
      </c>
      <c r="B99" s="282"/>
      <c r="C99" s="282"/>
      <c r="D99" s="282"/>
      <c r="E99" s="282"/>
      <c r="F99" s="282"/>
      <c r="G99" s="282"/>
      <c r="H99" s="282"/>
      <c r="I99" s="282"/>
      <c r="J99" s="283"/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</row>
    <row r="100" spans="1:29" ht="24.9" customHeight="1" x14ac:dyDescent="0.3">
      <c r="A100" s="281" t="s">
        <v>42</v>
      </c>
      <c r="B100" s="282"/>
      <c r="C100" s="282"/>
      <c r="D100" s="282"/>
      <c r="E100" s="282"/>
      <c r="F100" s="282"/>
      <c r="G100" s="282"/>
      <c r="H100" s="282"/>
      <c r="I100" s="282"/>
      <c r="J100" s="283"/>
      <c r="K100" s="7">
        <v>6</v>
      </c>
      <c r="L100" s="7">
        <v>1</v>
      </c>
      <c r="M100" s="7">
        <v>6</v>
      </c>
      <c r="N100" s="7">
        <v>5</v>
      </c>
      <c r="O100" s="7">
        <v>5</v>
      </c>
      <c r="P100" s="7">
        <v>3</v>
      </c>
      <c r="Q100" s="7">
        <v>3</v>
      </c>
      <c r="R100" s="7">
        <v>3</v>
      </c>
      <c r="S100" s="7">
        <v>0</v>
      </c>
      <c r="T100" s="7">
        <v>4</v>
      </c>
      <c r="U100" s="7">
        <v>3</v>
      </c>
      <c r="V100" s="7">
        <v>1</v>
      </c>
      <c r="W100" s="7">
        <v>2</v>
      </c>
      <c r="X100" s="7">
        <v>0</v>
      </c>
      <c r="Y100" s="7">
        <v>3</v>
      </c>
      <c r="Z100" s="7">
        <v>0</v>
      </c>
      <c r="AA100" s="7">
        <v>28</v>
      </c>
      <c r="AB100" s="7">
        <v>17</v>
      </c>
      <c r="AC100" s="7">
        <v>45</v>
      </c>
    </row>
    <row r="101" spans="1:29" ht="24.9" customHeight="1" x14ac:dyDescent="0.3">
      <c r="A101" s="224" t="s">
        <v>7</v>
      </c>
      <c r="B101" s="225"/>
      <c r="C101" s="225"/>
      <c r="D101" s="225"/>
      <c r="E101" s="225"/>
      <c r="F101" s="225"/>
      <c r="G101" s="225"/>
      <c r="H101" s="225"/>
      <c r="I101" s="225"/>
      <c r="J101" s="226"/>
      <c r="K101" s="7">
        <v>7</v>
      </c>
      <c r="L101" s="7">
        <v>2</v>
      </c>
      <c r="M101" s="7">
        <v>6</v>
      </c>
      <c r="N101" s="7">
        <v>9</v>
      </c>
      <c r="O101" s="7">
        <v>14</v>
      </c>
      <c r="P101" s="7">
        <v>8</v>
      </c>
      <c r="Q101" s="7">
        <v>10</v>
      </c>
      <c r="R101" s="7">
        <v>9</v>
      </c>
      <c r="S101" s="7">
        <v>10</v>
      </c>
      <c r="T101" s="7">
        <v>7</v>
      </c>
      <c r="U101" s="7">
        <v>10</v>
      </c>
      <c r="V101" s="7">
        <v>3</v>
      </c>
      <c r="W101" s="7">
        <v>8</v>
      </c>
      <c r="X101" s="7">
        <v>0</v>
      </c>
      <c r="Y101" s="7">
        <v>4</v>
      </c>
      <c r="Z101" s="7">
        <v>1</v>
      </c>
      <c r="AA101" s="7">
        <v>69</v>
      </c>
      <c r="AB101" s="7">
        <v>39</v>
      </c>
      <c r="AC101" s="7">
        <v>108</v>
      </c>
    </row>
    <row r="102" spans="1:29" ht="6.75" customHeight="1" x14ac:dyDescent="0.3">
      <c r="A102" s="8"/>
      <c r="B102" s="9"/>
      <c r="C102" s="9"/>
      <c r="D102" s="9"/>
      <c r="E102" s="9"/>
      <c r="F102" s="10"/>
      <c r="G102" s="11"/>
      <c r="H102" s="11"/>
      <c r="I102" s="11"/>
      <c r="J102" s="11"/>
      <c r="K102" s="11"/>
      <c r="L102" s="11"/>
      <c r="M102" s="50"/>
      <c r="N102" s="11"/>
      <c r="O102" s="227"/>
      <c r="P102" s="228"/>
      <c r="Q102" s="12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3"/>
    </row>
    <row r="103" spans="1:29" ht="18" customHeight="1" x14ac:dyDescent="0.3">
      <c r="A103" s="14" t="s">
        <v>45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6"/>
      <c r="M103" s="17"/>
      <c r="N103" s="14" t="s">
        <v>46</v>
      </c>
      <c r="O103" s="15"/>
      <c r="P103" s="15"/>
      <c r="Q103" s="15"/>
      <c r="R103" s="15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9"/>
    </row>
    <row r="104" spans="1:29" ht="42.75" customHeight="1" x14ac:dyDescent="0.3">
      <c r="A104" s="307" t="s">
        <v>47</v>
      </c>
      <c r="B104" s="312" t="s">
        <v>48</v>
      </c>
      <c r="C104" s="313"/>
      <c r="D104" s="314" t="s">
        <v>49</v>
      </c>
      <c r="E104" s="315"/>
      <c r="F104" s="316"/>
      <c r="G104" s="314" t="s">
        <v>50</v>
      </c>
      <c r="H104" s="315"/>
      <c r="I104" s="315"/>
      <c r="J104" s="316"/>
      <c r="K104" s="307" t="s">
        <v>51</v>
      </c>
      <c r="L104" s="307" t="s">
        <v>52</v>
      </c>
      <c r="M104" s="20"/>
      <c r="N104" s="309" t="s">
        <v>53</v>
      </c>
      <c r="O104" s="310"/>
      <c r="P104" s="311"/>
      <c r="Q104" s="309" t="s">
        <v>54</v>
      </c>
      <c r="R104" s="310"/>
      <c r="S104" s="311"/>
      <c r="T104" s="309" t="s">
        <v>55</v>
      </c>
      <c r="U104" s="310"/>
      <c r="V104" s="310"/>
      <c r="W104" s="310"/>
      <c r="X104" s="310"/>
      <c r="Y104" s="310"/>
      <c r="Z104" s="310"/>
      <c r="AA104" s="310"/>
      <c r="AB104" s="310"/>
      <c r="AC104" s="311"/>
    </row>
    <row r="105" spans="1:29" ht="48" customHeight="1" x14ac:dyDescent="0.3">
      <c r="A105" s="308"/>
      <c r="B105" s="21" t="s">
        <v>7</v>
      </c>
      <c r="C105" s="22" t="s">
        <v>87</v>
      </c>
      <c r="D105" s="22" t="s">
        <v>56</v>
      </c>
      <c r="E105" s="22" t="s">
        <v>88</v>
      </c>
      <c r="F105" s="22" t="s">
        <v>89</v>
      </c>
      <c r="G105" s="23" t="s">
        <v>56</v>
      </c>
      <c r="H105" s="22" t="s">
        <v>90</v>
      </c>
      <c r="I105" s="23" t="s">
        <v>57</v>
      </c>
      <c r="J105" s="23" t="s">
        <v>58</v>
      </c>
      <c r="K105" s="308"/>
      <c r="L105" s="308"/>
      <c r="M105" s="20"/>
      <c r="N105" s="309">
        <v>0</v>
      </c>
      <c r="O105" s="310"/>
      <c r="P105" s="311"/>
      <c r="Q105" s="309">
        <v>0</v>
      </c>
      <c r="R105" s="310"/>
      <c r="S105" s="311"/>
      <c r="T105" s="309">
        <v>0</v>
      </c>
      <c r="U105" s="310"/>
      <c r="V105" s="310"/>
      <c r="W105" s="310"/>
      <c r="X105" s="310"/>
      <c r="Y105" s="310"/>
      <c r="Z105" s="310"/>
      <c r="AA105" s="310"/>
      <c r="AB105" s="310"/>
      <c r="AC105" s="311"/>
    </row>
    <row r="106" spans="1:29" ht="38.25" customHeight="1" x14ac:dyDescent="0.3">
      <c r="A106" s="270">
        <v>851</v>
      </c>
      <c r="B106" s="270">
        <v>187</v>
      </c>
      <c r="C106" s="270">
        <v>8</v>
      </c>
      <c r="D106" s="270">
        <v>187</v>
      </c>
      <c r="E106" s="270">
        <v>76</v>
      </c>
      <c r="F106" s="270">
        <v>25</v>
      </c>
      <c r="G106" s="270">
        <v>14</v>
      </c>
      <c r="H106" s="270">
        <v>19</v>
      </c>
      <c r="I106" s="270">
        <v>0</v>
      </c>
      <c r="J106" s="440">
        <v>33</v>
      </c>
      <c r="K106" s="270">
        <v>24</v>
      </c>
      <c r="L106" s="270">
        <v>101</v>
      </c>
      <c r="M106" s="20"/>
      <c r="N106" s="309" t="s">
        <v>59</v>
      </c>
      <c r="O106" s="310"/>
      <c r="P106" s="311"/>
      <c r="Q106" s="309" t="s">
        <v>60</v>
      </c>
      <c r="R106" s="310"/>
      <c r="S106" s="311"/>
      <c r="T106" s="293" t="s">
        <v>61</v>
      </c>
      <c r="U106" s="294"/>
      <c r="V106" s="294"/>
      <c r="W106" s="295"/>
      <c r="X106" s="293" t="s">
        <v>62</v>
      </c>
      <c r="Y106" s="294"/>
      <c r="Z106" s="294"/>
      <c r="AA106" s="294"/>
      <c r="AB106" s="294"/>
      <c r="AC106" s="295"/>
    </row>
    <row r="107" spans="1:29" ht="19.5" customHeight="1" x14ac:dyDescent="0.3">
      <c r="A107" s="271"/>
      <c r="B107" s="271"/>
      <c r="C107" s="271"/>
      <c r="D107" s="271"/>
      <c r="E107" s="271"/>
      <c r="F107" s="271"/>
      <c r="G107" s="271"/>
      <c r="H107" s="271"/>
      <c r="I107" s="271"/>
      <c r="J107" s="441"/>
      <c r="K107" s="271"/>
      <c r="L107" s="271"/>
      <c r="M107" s="54"/>
      <c r="N107" s="287">
        <v>0</v>
      </c>
      <c r="O107" s="288"/>
      <c r="P107" s="289"/>
      <c r="Q107" s="287">
        <v>0</v>
      </c>
      <c r="R107" s="288"/>
      <c r="S107" s="289"/>
      <c r="T107" s="287">
        <v>0</v>
      </c>
      <c r="U107" s="288"/>
      <c r="V107" s="288"/>
      <c r="W107" s="289"/>
      <c r="X107" s="24"/>
      <c r="Y107" s="309" t="s">
        <v>0</v>
      </c>
      <c r="Z107" s="311"/>
      <c r="AA107" s="25" t="s">
        <v>1</v>
      </c>
      <c r="AB107" s="309" t="s">
        <v>63</v>
      </c>
      <c r="AC107" s="311"/>
    </row>
    <row r="108" spans="1:29" ht="18" customHeight="1" x14ac:dyDescent="0.3">
      <c r="A108" s="271"/>
      <c r="B108" s="271"/>
      <c r="C108" s="271"/>
      <c r="D108" s="271"/>
      <c r="E108" s="271"/>
      <c r="F108" s="271"/>
      <c r="G108" s="271"/>
      <c r="H108" s="271"/>
      <c r="I108" s="271"/>
      <c r="J108" s="441"/>
      <c r="K108" s="271"/>
      <c r="L108" s="271"/>
      <c r="M108" s="54"/>
      <c r="N108" s="290"/>
      <c r="O108" s="291"/>
      <c r="P108" s="292"/>
      <c r="Q108" s="290"/>
      <c r="R108" s="291"/>
      <c r="S108" s="292"/>
      <c r="T108" s="290"/>
      <c r="U108" s="291"/>
      <c r="V108" s="291"/>
      <c r="W108" s="292"/>
      <c r="X108" s="26" t="s">
        <v>64</v>
      </c>
      <c r="Y108" s="317">
        <v>0</v>
      </c>
      <c r="Z108" s="317"/>
      <c r="AA108" s="7">
        <v>0</v>
      </c>
      <c r="AB108" s="317">
        <v>0</v>
      </c>
      <c r="AC108" s="317"/>
    </row>
    <row r="109" spans="1:29" ht="18" customHeight="1" x14ac:dyDescent="0.3">
      <c r="A109" s="271"/>
      <c r="B109" s="271"/>
      <c r="C109" s="271"/>
      <c r="D109" s="271"/>
      <c r="E109" s="271"/>
      <c r="F109" s="271"/>
      <c r="G109" s="271"/>
      <c r="H109" s="271"/>
      <c r="I109" s="271"/>
      <c r="J109" s="441"/>
      <c r="K109" s="271"/>
      <c r="L109" s="271"/>
      <c r="M109" s="54"/>
      <c r="N109" s="290"/>
      <c r="O109" s="291"/>
      <c r="P109" s="292"/>
      <c r="Q109" s="290"/>
      <c r="R109" s="291"/>
      <c r="S109" s="292"/>
      <c r="T109" s="290"/>
      <c r="U109" s="291"/>
      <c r="V109" s="291"/>
      <c r="W109" s="292"/>
      <c r="X109" s="26" t="s">
        <v>65</v>
      </c>
      <c r="Y109" s="317">
        <v>0</v>
      </c>
      <c r="Z109" s="317"/>
      <c r="AA109" s="7">
        <v>0</v>
      </c>
      <c r="AB109" s="317">
        <v>0</v>
      </c>
      <c r="AC109" s="317"/>
    </row>
    <row r="110" spans="1:29" ht="18" customHeight="1" x14ac:dyDescent="0.3">
      <c r="A110" s="272"/>
      <c r="B110" s="272"/>
      <c r="C110" s="272"/>
      <c r="D110" s="272"/>
      <c r="E110" s="272"/>
      <c r="F110" s="272"/>
      <c r="G110" s="272"/>
      <c r="H110" s="272"/>
      <c r="I110" s="272"/>
      <c r="J110" s="442"/>
      <c r="K110" s="272"/>
      <c r="L110" s="272"/>
      <c r="M110" s="54"/>
      <c r="N110" s="293"/>
      <c r="O110" s="294"/>
      <c r="P110" s="295"/>
      <c r="Q110" s="293"/>
      <c r="R110" s="294"/>
      <c r="S110" s="295"/>
      <c r="T110" s="293"/>
      <c r="U110" s="294"/>
      <c r="V110" s="294"/>
      <c r="W110" s="295"/>
      <c r="X110" s="26" t="s">
        <v>66</v>
      </c>
      <c r="Y110" s="317">
        <v>0</v>
      </c>
      <c r="Z110" s="317"/>
      <c r="AA110" s="7">
        <v>0</v>
      </c>
      <c r="AB110" s="317">
        <v>0</v>
      </c>
      <c r="AC110" s="317"/>
    </row>
    <row r="111" spans="1:29" ht="8.25" customHeight="1" x14ac:dyDescent="0.3">
      <c r="A111" s="27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59"/>
      <c r="N111" s="28"/>
      <c r="O111" s="28"/>
      <c r="P111" s="28"/>
      <c r="Q111" s="28"/>
      <c r="R111" s="28"/>
      <c r="S111" s="28"/>
      <c r="T111" s="28"/>
      <c r="U111" s="29"/>
      <c r="V111" s="29"/>
      <c r="W111" s="29"/>
      <c r="X111" s="29"/>
      <c r="Y111" s="29"/>
      <c r="Z111" s="29"/>
      <c r="AA111" s="28"/>
      <c r="AB111" s="28"/>
      <c r="AC111" s="4"/>
    </row>
    <row r="112" spans="1:29" ht="18" customHeight="1" x14ac:dyDescent="0.3">
      <c r="A112" s="14" t="s">
        <v>67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6"/>
      <c r="M112" s="30"/>
      <c r="N112" s="14" t="s">
        <v>68</v>
      </c>
      <c r="O112" s="16"/>
      <c r="P112" s="15"/>
      <c r="Q112" s="31"/>
      <c r="R112" s="15"/>
      <c r="S112" s="15"/>
      <c r="T112" s="15"/>
      <c r="U112" s="15"/>
      <c r="V112" s="15"/>
      <c r="W112" s="15"/>
      <c r="X112" s="15"/>
      <c r="Y112" s="15"/>
      <c r="Z112" s="15"/>
      <c r="AA112" s="18"/>
      <c r="AB112" s="18"/>
      <c r="AC112" s="32"/>
    </row>
    <row r="113" spans="1:29" ht="57" customHeight="1" x14ac:dyDescent="0.3">
      <c r="A113" s="205"/>
      <c r="B113" s="206"/>
      <c r="C113" s="206"/>
      <c r="D113" s="206"/>
      <c r="E113" s="206"/>
      <c r="F113" s="207"/>
      <c r="G113" s="224" t="s">
        <v>11</v>
      </c>
      <c r="H113" s="226"/>
      <c r="I113" s="224" t="s">
        <v>12</v>
      </c>
      <c r="J113" s="226"/>
      <c r="K113" s="33" t="s">
        <v>69</v>
      </c>
      <c r="L113" s="34"/>
      <c r="M113" s="62"/>
      <c r="N113" s="314" t="s">
        <v>70</v>
      </c>
      <c r="O113" s="315"/>
      <c r="P113" s="316"/>
      <c r="Q113" s="314" t="s">
        <v>71</v>
      </c>
      <c r="R113" s="315"/>
      <c r="S113" s="316"/>
      <c r="T113" s="314" t="s">
        <v>72</v>
      </c>
      <c r="U113" s="315"/>
      <c r="V113" s="316"/>
      <c r="W113" s="314" t="s">
        <v>73</v>
      </c>
      <c r="X113" s="315"/>
      <c r="Y113" s="315"/>
      <c r="Z113" s="316"/>
      <c r="AA113" s="314" t="s">
        <v>74</v>
      </c>
      <c r="AB113" s="315"/>
      <c r="AC113" s="316"/>
    </row>
    <row r="114" spans="1:29" ht="15" customHeight="1" x14ac:dyDescent="0.3">
      <c r="A114" s="208"/>
      <c r="B114" s="209"/>
      <c r="C114" s="209"/>
      <c r="D114" s="209"/>
      <c r="E114" s="209"/>
      <c r="F114" s="210"/>
      <c r="G114" s="7" t="s">
        <v>75</v>
      </c>
      <c r="H114" s="7" t="s">
        <v>13</v>
      </c>
      <c r="I114" s="7" t="s">
        <v>75</v>
      </c>
      <c r="J114" s="7" t="s">
        <v>13</v>
      </c>
      <c r="K114" s="7" t="s">
        <v>75</v>
      </c>
      <c r="L114" s="7" t="s">
        <v>13</v>
      </c>
      <c r="M114" s="63"/>
      <c r="N114" s="35" t="s">
        <v>0</v>
      </c>
      <c r="O114" s="36" t="s">
        <v>1</v>
      </c>
      <c r="P114" s="36" t="s">
        <v>91</v>
      </c>
      <c r="Q114" s="35" t="s">
        <v>0</v>
      </c>
      <c r="R114" s="36" t="s">
        <v>1</v>
      </c>
      <c r="S114" s="36" t="s">
        <v>91</v>
      </c>
      <c r="T114" s="35" t="s">
        <v>0</v>
      </c>
      <c r="U114" s="36" t="s">
        <v>1</v>
      </c>
      <c r="V114" s="36" t="s">
        <v>91</v>
      </c>
      <c r="W114" s="37"/>
      <c r="X114" s="35" t="s">
        <v>0</v>
      </c>
      <c r="Y114" s="38" t="s">
        <v>1</v>
      </c>
      <c r="Z114" s="39" t="s">
        <v>76</v>
      </c>
      <c r="AA114" s="35" t="s">
        <v>0</v>
      </c>
      <c r="AB114" s="38" t="s">
        <v>1</v>
      </c>
      <c r="AC114" s="39" t="s">
        <v>76</v>
      </c>
    </row>
    <row r="115" spans="1:29" ht="24.9" customHeight="1" x14ac:dyDescent="0.3">
      <c r="A115" s="299" t="s">
        <v>77</v>
      </c>
      <c r="B115" s="318"/>
      <c r="C115" s="318"/>
      <c r="D115" s="318"/>
      <c r="E115" s="318"/>
      <c r="F115" s="300"/>
      <c r="G115" s="7">
        <v>18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63"/>
      <c r="N115" s="321">
        <v>0</v>
      </c>
      <c r="O115" s="321">
        <v>60</v>
      </c>
      <c r="P115" s="321">
        <v>233</v>
      </c>
      <c r="Q115" s="321">
        <v>0</v>
      </c>
      <c r="R115" s="321">
        <v>18</v>
      </c>
      <c r="S115" s="321">
        <v>90</v>
      </c>
      <c r="T115" s="321">
        <v>0</v>
      </c>
      <c r="U115" s="321">
        <v>0</v>
      </c>
      <c r="V115" s="321">
        <v>14</v>
      </c>
      <c r="W115" s="40" t="s">
        <v>64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</row>
    <row r="116" spans="1:29" ht="24.9" customHeight="1" x14ac:dyDescent="0.3">
      <c r="A116" s="299" t="s">
        <v>8</v>
      </c>
      <c r="B116" s="318"/>
      <c r="C116" s="318"/>
      <c r="D116" s="318"/>
      <c r="E116" s="318"/>
      <c r="F116" s="300"/>
      <c r="G116" s="7">
        <v>1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63"/>
      <c r="N116" s="322"/>
      <c r="O116" s="322"/>
      <c r="P116" s="322"/>
      <c r="Q116" s="322"/>
      <c r="R116" s="322"/>
      <c r="S116" s="322"/>
      <c r="T116" s="322"/>
      <c r="U116" s="322"/>
      <c r="V116" s="322"/>
      <c r="W116" s="40" t="s">
        <v>65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</row>
    <row r="117" spans="1:29" ht="24.9" customHeight="1" x14ac:dyDescent="0.3">
      <c r="A117" s="309" t="s">
        <v>78</v>
      </c>
      <c r="B117" s="310"/>
      <c r="C117" s="310"/>
      <c r="D117" s="310"/>
      <c r="E117" s="310"/>
      <c r="F117" s="311"/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63"/>
      <c r="N117" s="322"/>
      <c r="O117" s="322"/>
      <c r="P117" s="322"/>
      <c r="Q117" s="322"/>
      <c r="R117" s="322"/>
      <c r="S117" s="322"/>
      <c r="T117" s="322"/>
      <c r="U117" s="322"/>
      <c r="V117" s="322"/>
      <c r="W117" s="319" t="s">
        <v>66</v>
      </c>
      <c r="X117" s="321">
        <v>0</v>
      </c>
      <c r="Y117" s="321">
        <v>0</v>
      </c>
      <c r="Z117" s="321">
        <v>0</v>
      </c>
      <c r="AA117" s="321">
        <v>0</v>
      </c>
      <c r="AB117" s="321">
        <v>0</v>
      </c>
      <c r="AC117" s="321">
        <v>0</v>
      </c>
    </row>
    <row r="118" spans="1:29" ht="24.9" customHeight="1" x14ac:dyDescent="0.3">
      <c r="A118" s="224" t="s">
        <v>7</v>
      </c>
      <c r="B118" s="225"/>
      <c r="C118" s="225"/>
      <c r="D118" s="225"/>
      <c r="E118" s="225"/>
      <c r="F118" s="226"/>
      <c r="G118" s="7">
        <v>19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63"/>
      <c r="N118" s="323"/>
      <c r="O118" s="323"/>
      <c r="P118" s="323"/>
      <c r="Q118" s="323"/>
      <c r="R118" s="323"/>
      <c r="S118" s="323"/>
      <c r="T118" s="323"/>
      <c r="U118" s="323"/>
      <c r="V118" s="323"/>
      <c r="W118" s="320"/>
      <c r="X118" s="323"/>
      <c r="Y118" s="323"/>
      <c r="Z118" s="323"/>
      <c r="AA118" s="323"/>
      <c r="AB118" s="323"/>
      <c r="AC118" s="323"/>
    </row>
    <row r="119" spans="1:29" ht="23.4" x14ac:dyDescent="0.45">
      <c r="A119" s="158" t="s">
        <v>15</v>
      </c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  <c r="Z119" s="158"/>
      <c r="AA119" s="158"/>
      <c r="AB119" s="158"/>
      <c r="AC119" s="158"/>
    </row>
    <row r="120" spans="1:29" ht="23.4" x14ac:dyDescent="0.3">
      <c r="A120" s="159" t="s">
        <v>16</v>
      </c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2"/>
      <c r="Y120" s="160" t="s">
        <v>17</v>
      </c>
      <c r="Z120" s="160"/>
      <c r="AA120" s="2"/>
      <c r="AB120" s="2"/>
      <c r="AC120" s="2"/>
    </row>
    <row r="121" spans="1:29" ht="30.9" customHeight="1" x14ac:dyDescent="0.3">
      <c r="A121" s="326" t="s">
        <v>18</v>
      </c>
      <c r="B121" s="326"/>
      <c r="C121" s="326"/>
      <c r="D121" s="326"/>
      <c r="E121" s="439" t="s">
        <v>104</v>
      </c>
      <c r="F121" s="439"/>
      <c r="G121" s="439"/>
      <c r="H121" s="439"/>
      <c r="I121" s="328" t="s">
        <v>20</v>
      </c>
      <c r="J121" s="328"/>
      <c r="K121" s="329" t="s">
        <v>85</v>
      </c>
      <c r="L121" s="329"/>
      <c r="M121" s="328" t="s">
        <v>21</v>
      </c>
      <c r="N121" s="328"/>
      <c r="O121" s="340" t="s">
        <v>92</v>
      </c>
      <c r="P121" s="340"/>
      <c r="Q121" s="340"/>
      <c r="R121" s="340"/>
      <c r="S121" s="43"/>
      <c r="T121" s="166" t="s">
        <v>22</v>
      </c>
      <c r="U121" s="166"/>
      <c r="V121" s="166"/>
      <c r="W121" s="166"/>
      <c r="X121" s="166"/>
      <c r="Y121" s="152" t="s">
        <v>81</v>
      </c>
      <c r="Z121" s="152"/>
      <c r="AA121" s="152"/>
      <c r="AB121" s="153" t="s">
        <v>83</v>
      </c>
      <c r="AC121" s="153"/>
    </row>
    <row r="122" spans="1:29" ht="15" customHeight="1" x14ac:dyDescent="0.3">
      <c r="T122" s="166"/>
      <c r="U122" s="166"/>
      <c r="V122" s="166"/>
      <c r="W122" s="166"/>
      <c r="X122" s="166"/>
      <c r="Y122" s="152"/>
      <c r="Z122" s="152"/>
      <c r="AA122" s="152"/>
      <c r="AB122" s="153"/>
      <c r="AC122" s="153"/>
    </row>
    <row r="123" spans="1:29" ht="15.6" x14ac:dyDescent="0.3">
      <c r="A123" s="324" t="s">
        <v>24</v>
      </c>
      <c r="B123" s="324"/>
      <c r="C123" s="324"/>
      <c r="D123" s="324"/>
      <c r="E123" s="324"/>
      <c r="F123" s="324"/>
      <c r="G123" s="324"/>
      <c r="H123" s="347" t="s">
        <v>25</v>
      </c>
      <c r="I123" s="347"/>
      <c r="J123" s="347"/>
      <c r="K123" s="347"/>
      <c r="L123" s="347"/>
      <c r="M123" s="347"/>
      <c r="N123" s="347"/>
      <c r="O123" s="44"/>
      <c r="P123" s="44"/>
      <c r="T123" s="156" t="s">
        <v>26</v>
      </c>
      <c r="U123" s="156"/>
      <c r="V123" s="156"/>
      <c r="W123" s="156"/>
      <c r="X123" s="156"/>
      <c r="Y123" s="156"/>
      <c r="Z123" s="265" t="s">
        <v>27</v>
      </c>
      <c r="AA123" s="265"/>
      <c r="AB123" s="265"/>
      <c r="AC123" s="265"/>
    </row>
    <row r="124" spans="1:29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5" customHeight="1" x14ac:dyDescent="0.3">
      <c r="A125" s="284" t="s">
        <v>29</v>
      </c>
      <c r="B125" s="285"/>
      <c r="C125" s="285"/>
      <c r="D125" s="285"/>
      <c r="E125" s="285"/>
      <c r="F125" s="285"/>
      <c r="G125" s="285"/>
      <c r="H125" s="285"/>
      <c r="I125" s="285"/>
      <c r="J125" s="286"/>
      <c r="K125" s="273" t="s">
        <v>30</v>
      </c>
      <c r="L125" s="274"/>
      <c r="M125" s="273" t="s">
        <v>31</v>
      </c>
      <c r="N125" s="274"/>
      <c r="O125" s="287" t="s">
        <v>32</v>
      </c>
      <c r="P125" s="288"/>
      <c r="Q125" s="289"/>
      <c r="R125" s="273" t="s">
        <v>33</v>
      </c>
      <c r="S125" s="296"/>
      <c r="T125" s="274"/>
      <c r="U125" s="224" t="s">
        <v>34</v>
      </c>
      <c r="V125" s="225"/>
      <c r="W125" s="225"/>
      <c r="X125" s="225"/>
      <c r="Y125" s="225"/>
      <c r="Z125" s="225"/>
      <c r="AA125" s="226"/>
      <c r="AB125" s="273" t="s">
        <v>7</v>
      </c>
      <c r="AC125" s="274"/>
    </row>
    <row r="126" spans="1:29" ht="23.25" customHeight="1" x14ac:dyDescent="0.3">
      <c r="A126" s="169" t="s">
        <v>35</v>
      </c>
      <c r="B126" s="173"/>
      <c r="C126" s="173"/>
      <c r="D126" s="173"/>
      <c r="E126" s="173"/>
      <c r="F126" s="173"/>
      <c r="G126" s="173"/>
      <c r="H126" s="173"/>
      <c r="I126" s="173"/>
      <c r="J126" s="170"/>
      <c r="K126" s="275"/>
      <c r="L126" s="276"/>
      <c r="M126" s="275"/>
      <c r="N126" s="276"/>
      <c r="O126" s="290"/>
      <c r="P126" s="291"/>
      <c r="Q126" s="292"/>
      <c r="R126" s="275"/>
      <c r="S126" s="297"/>
      <c r="T126" s="276"/>
      <c r="U126" s="279" t="s">
        <v>36</v>
      </c>
      <c r="V126" s="279"/>
      <c r="W126" s="279"/>
      <c r="X126" s="279" t="s">
        <v>37</v>
      </c>
      <c r="Y126" s="279"/>
      <c r="Z126" s="279" t="s">
        <v>38</v>
      </c>
      <c r="AA126" s="279"/>
      <c r="AB126" s="275"/>
      <c r="AC126" s="276"/>
    </row>
    <row r="127" spans="1:29" x14ac:dyDescent="0.3">
      <c r="A127" s="171"/>
      <c r="B127" s="174"/>
      <c r="C127" s="174"/>
      <c r="D127" s="174"/>
      <c r="E127" s="174"/>
      <c r="F127" s="174"/>
      <c r="G127" s="174"/>
      <c r="H127" s="174"/>
      <c r="I127" s="174"/>
      <c r="J127" s="172"/>
      <c r="K127" s="277"/>
      <c r="L127" s="278"/>
      <c r="M127" s="277"/>
      <c r="N127" s="278"/>
      <c r="O127" s="293"/>
      <c r="P127" s="294"/>
      <c r="Q127" s="295"/>
      <c r="R127" s="277"/>
      <c r="S127" s="298"/>
      <c r="T127" s="278"/>
      <c r="U127" s="280"/>
      <c r="V127" s="280"/>
      <c r="W127" s="280"/>
      <c r="X127" s="280"/>
      <c r="Y127" s="280"/>
      <c r="Z127" s="280"/>
      <c r="AA127" s="280"/>
      <c r="AB127" s="277"/>
      <c r="AC127" s="278"/>
    </row>
    <row r="128" spans="1:29" ht="24.9" customHeight="1" x14ac:dyDescent="0.3">
      <c r="A128" s="281" t="s">
        <v>39</v>
      </c>
      <c r="B128" s="282"/>
      <c r="C128" s="282"/>
      <c r="D128" s="282"/>
      <c r="E128" s="282"/>
      <c r="F128" s="282"/>
      <c r="G128" s="282"/>
      <c r="H128" s="282"/>
      <c r="I128" s="282"/>
      <c r="J128" s="283"/>
      <c r="K128" s="224">
        <v>27</v>
      </c>
      <c r="L128" s="226"/>
      <c r="M128" s="224">
        <v>6</v>
      </c>
      <c r="N128" s="226"/>
      <c r="O128" s="224">
        <v>0</v>
      </c>
      <c r="P128" s="225"/>
      <c r="Q128" s="226"/>
      <c r="R128" s="224">
        <v>33</v>
      </c>
      <c r="S128" s="225"/>
      <c r="T128" s="226"/>
      <c r="U128" s="224">
        <v>0</v>
      </c>
      <c r="V128" s="225"/>
      <c r="W128" s="226"/>
      <c r="X128" s="224">
        <v>0</v>
      </c>
      <c r="Y128" s="226"/>
      <c r="Z128" s="224">
        <v>0</v>
      </c>
      <c r="AA128" s="226"/>
      <c r="AB128" s="299">
        <v>33</v>
      </c>
      <c r="AC128" s="300"/>
    </row>
    <row r="129" spans="1:32" ht="24.9" customHeight="1" x14ac:dyDescent="0.3">
      <c r="A129" s="281" t="s">
        <v>40</v>
      </c>
      <c r="B129" s="282"/>
      <c r="C129" s="282"/>
      <c r="D129" s="282"/>
      <c r="E129" s="282"/>
      <c r="F129" s="282"/>
      <c r="G129" s="282"/>
      <c r="H129" s="282"/>
      <c r="I129" s="282"/>
      <c r="J129" s="283"/>
      <c r="K129" s="224">
        <v>32</v>
      </c>
      <c r="L129" s="226"/>
      <c r="M129" s="224">
        <v>0</v>
      </c>
      <c r="N129" s="226"/>
      <c r="O129" s="224">
        <v>0</v>
      </c>
      <c r="P129" s="225"/>
      <c r="Q129" s="226"/>
      <c r="R129" s="224">
        <v>32</v>
      </c>
      <c r="S129" s="225"/>
      <c r="T129" s="226"/>
      <c r="U129" s="224">
        <v>0</v>
      </c>
      <c r="V129" s="225"/>
      <c r="W129" s="226"/>
      <c r="X129" s="224">
        <v>0</v>
      </c>
      <c r="Y129" s="226"/>
      <c r="Z129" s="224">
        <v>0</v>
      </c>
      <c r="AA129" s="226"/>
      <c r="AB129" s="299">
        <v>32</v>
      </c>
      <c r="AC129" s="300"/>
    </row>
    <row r="130" spans="1:32" ht="24.9" customHeight="1" x14ac:dyDescent="0.3">
      <c r="A130" s="281" t="s">
        <v>41</v>
      </c>
      <c r="B130" s="282"/>
      <c r="C130" s="282"/>
      <c r="D130" s="282"/>
      <c r="E130" s="282"/>
      <c r="F130" s="282"/>
      <c r="G130" s="282"/>
      <c r="H130" s="282"/>
      <c r="I130" s="282"/>
      <c r="J130" s="283"/>
      <c r="K130" s="224">
        <v>0</v>
      </c>
      <c r="L130" s="226"/>
      <c r="M130" s="224">
        <v>0</v>
      </c>
      <c r="N130" s="226"/>
      <c r="O130" s="224">
        <v>0</v>
      </c>
      <c r="P130" s="225"/>
      <c r="Q130" s="226"/>
      <c r="R130" s="224">
        <v>0</v>
      </c>
      <c r="S130" s="225"/>
      <c r="T130" s="226"/>
      <c r="U130" s="224">
        <v>0</v>
      </c>
      <c r="V130" s="225"/>
      <c r="W130" s="226"/>
      <c r="X130" s="224">
        <v>0</v>
      </c>
      <c r="Y130" s="226"/>
      <c r="Z130" s="224">
        <v>0</v>
      </c>
      <c r="AA130" s="226"/>
      <c r="AB130" s="299">
        <v>0</v>
      </c>
      <c r="AC130" s="300"/>
    </row>
    <row r="131" spans="1:32" ht="24.9" customHeight="1" x14ac:dyDescent="0.3">
      <c r="A131" s="281" t="s">
        <v>42</v>
      </c>
      <c r="B131" s="282"/>
      <c r="C131" s="282"/>
      <c r="D131" s="282"/>
      <c r="E131" s="282"/>
      <c r="F131" s="282"/>
      <c r="G131" s="282"/>
      <c r="H131" s="282"/>
      <c r="I131" s="282"/>
      <c r="J131" s="283"/>
      <c r="K131" s="224">
        <v>54</v>
      </c>
      <c r="L131" s="226"/>
      <c r="M131" s="224">
        <v>0</v>
      </c>
      <c r="N131" s="226"/>
      <c r="O131" s="224">
        <v>0</v>
      </c>
      <c r="P131" s="225"/>
      <c r="Q131" s="226"/>
      <c r="R131" s="224">
        <v>54</v>
      </c>
      <c r="S131" s="225"/>
      <c r="T131" s="226"/>
      <c r="U131" s="224">
        <v>0</v>
      </c>
      <c r="V131" s="225"/>
      <c r="W131" s="226"/>
      <c r="X131" s="224">
        <v>0</v>
      </c>
      <c r="Y131" s="226"/>
      <c r="Z131" s="224">
        <v>0</v>
      </c>
      <c r="AA131" s="226"/>
      <c r="AB131" s="299">
        <v>54</v>
      </c>
      <c r="AC131" s="300"/>
    </row>
    <row r="132" spans="1:32" ht="24.9" customHeight="1" x14ac:dyDescent="0.3">
      <c r="A132" s="281" t="s">
        <v>7</v>
      </c>
      <c r="B132" s="282"/>
      <c r="C132" s="282"/>
      <c r="D132" s="282"/>
      <c r="E132" s="282"/>
      <c r="F132" s="282"/>
      <c r="G132" s="282"/>
      <c r="H132" s="282"/>
      <c r="I132" s="282"/>
      <c r="J132" s="283"/>
      <c r="K132" s="224">
        <v>113</v>
      </c>
      <c r="L132" s="226"/>
      <c r="M132" s="224">
        <v>6</v>
      </c>
      <c r="N132" s="226"/>
      <c r="O132" s="224">
        <v>0</v>
      </c>
      <c r="P132" s="225"/>
      <c r="Q132" s="226"/>
      <c r="R132" s="224">
        <v>119</v>
      </c>
      <c r="S132" s="225"/>
      <c r="T132" s="226"/>
      <c r="U132" s="224">
        <v>0</v>
      </c>
      <c r="V132" s="225"/>
      <c r="W132" s="226"/>
      <c r="X132" s="224">
        <v>0</v>
      </c>
      <c r="Y132" s="226"/>
      <c r="Z132" s="224">
        <v>0</v>
      </c>
      <c r="AA132" s="226"/>
      <c r="AB132" s="299">
        <v>119</v>
      </c>
      <c r="AC132" s="300"/>
    </row>
    <row r="133" spans="1:32" ht="15.6" x14ac:dyDescent="0.3">
      <c r="A133" s="45" t="s">
        <v>43</v>
      </c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7"/>
      <c r="V133" s="47"/>
      <c r="W133" s="47"/>
      <c r="X133" s="47"/>
      <c r="Y133" s="47"/>
      <c r="Z133" s="47"/>
      <c r="AA133" s="47"/>
      <c r="AB133" s="47"/>
      <c r="AC133" s="4"/>
    </row>
    <row r="134" spans="1:32" ht="21.75" customHeight="1" x14ac:dyDescent="0.3">
      <c r="A134" s="205"/>
      <c r="B134" s="206"/>
      <c r="C134" s="206"/>
      <c r="D134" s="206"/>
      <c r="E134" s="206"/>
      <c r="F134" s="206"/>
      <c r="G134" s="206"/>
      <c r="H134" s="206"/>
      <c r="I134" s="206"/>
      <c r="J134" s="207"/>
      <c r="K134" s="224" t="s">
        <v>0</v>
      </c>
      <c r="L134" s="226"/>
      <c r="M134" s="305" t="s">
        <v>1</v>
      </c>
      <c r="N134" s="306"/>
      <c r="O134" s="301" t="s">
        <v>2</v>
      </c>
      <c r="P134" s="302"/>
      <c r="Q134" s="301" t="s">
        <v>3</v>
      </c>
      <c r="R134" s="302"/>
      <c r="S134" s="301" t="s">
        <v>4</v>
      </c>
      <c r="T134" s="302"/>
      <c r="U134" s="301" t="s">
        <v>5</v>
      </c>
      <c r="V134" s="302"/>
      <c r="W134" s="301" t="s">
        <v>6</v>
      </c>
      <c r="X134" s="302"/>
      <c r="Y134" s="301" t="s">
        <v>44</v>
      </c>
      <c r="Z134" s="302"/>
      <c r="AA134" s="301" t="s">
        <v>7</v>
      </c>
      <c r="AB134" s="302"/>
      <c r="AC134" s="303" t="s">
        <v>86</v>
      </c>
      <c r="AD134" s="5"/>
      <c r="AE134" s="6"/>
      <c r="AF134" s="6"/>
    </row>
    <row r="135" spans="1:32" x14ac:dyDescent="0.3">
      <c r="A135" s="208"/>
      <c r="B135" s="209"/>
      <c r="C135" s="209"/>
      <c r="D135" s="209"/>
      <c r="E135" s="209"/>
      <c r="F135" s="209"/>
      <c r="G135" s="209"/>
      <c r="H135" s="209"/>
      <c r="I135" s="209"/>
      <c r="J135" s="210"/>
      <c r="K135" s="7" t="s">
        <v>9</v>
      </c>
      <c r="L135" s="7" t="s">
        <v>10</v>
      </c>
      <c r="M135" s="7" t="s">
        <v>9</v>
      </c>
      <c r="N135" s="7" t="s">
        <v>10</v>
      </c>
      <c r="O135" s="7" t="s">
        <v>9</v>
      </c>
      <c r="P135" s="7" t="s">
        <v>10</v>
      </c>
      <c r="Q135" s="7" t="s">
        <v>9</v>
      </c>
      <c r="R135" s="7" t="s">
        <v>10</v>
      </c>
      <c r="S135" s="7" t="s">
        <v>9</v>
      </c>
      <c r="T135" s="7" t="s">
        <v>10</v>
      </c>
      <c r="U135" s="7" t="s">
        <v>9</v>
      </c>
      <c r="V135" s="7" t="s">
        <v>10</v>
      </c>
      <c r="W135" s="7" t="s">
        <v>9</v>
      </c>
      <c r="X135" s="7" t="s">
        <v>10</v>
      </c>
      <c r="Y135" s="7" t="s">
        <v>9</v>
      </c>
      <c r="Z135" s="7" t="s">
        <v>10</v>
      </c>
      <c r="AA135" s="7" t="s">
        <v>9</v>
      </c>
      <c r="AB135" s="7" t="s">
        <v>10</v>
      </c>
      <c r="AC135" s="304"/>
    </row>
    <row r="136" spans="1:32" ht="24.9" customHeight="1" x14ac:dyDescent="0.3">
      <c r="A136" s="281" t="s">
        <v>39</v>
      </c>
      <c r="B136" s="282"/>
      <c r="C136" s="282"/>
      <c r="D136" s="282"/>
      <c r="E136" s="282"/>
      <c r="F136" s="282"/>
      <c r="G136" s="282"/>
      <c r="H136" s="282"/>
      <c r="I136" s="282"/>
      <c r="J136" s="283"/>
      <c r="K136" s="7">
        <v>0</v>
      </c>
      <c r="L136" s="7">
        <v>0</v>
      </c>
      <c r="M136" s="7">
        <v>1</v>
      </c>
      <c r="N136" s="7">
        <v>0</v>
      </c>
      <c r="O136" s="7">
        <v>5</v>
      </c>
      <c r="P136" s="7">
        <v>7</v>
      </c>
      <c r="Q136" s="7">
        <v>2</v>
      </c>
      <c r="R136" s="7">
        <v>1</v>
      </c>
      <c r="S136" s="7">
        <v>7</v>
      </c>
      <c r="T136" s="7">
        <v>3</v>
      </c>
      <c r="U136" s="7">
        <v>1</v>
      </c>
      <c r="V136" s="7">
        <v>1</v>
      </c>
      <c r="W136" s="7">
        <v>2</v>
      </c>
      <c r="X136" s="7">
        <v>0</v>
      </c>
      <c r="Y136" s="7">
        <v>0</v>
      </c>
      <c r="Z136" s="7">
        <v>3</v>
      </c>
      <c r="AA136" s="7">
        <v>18</v>
      </c>
      <c r="AB136" s="7">
        <v>15</v>
      </c>
      <c r="AC136" s="7">
        <v>33</v>
      </c>
    </row>
    <row r="137" spans="1:32" ht="24.9" customHeight="1" x14ac:dyDescent="0.3">
      <c r="A137" s="281" t="s">
        <v>40</v>
      </c>
      <c r="B137" s="282"/>
      <c r="C137" s="282"/>
      <c r="D137" s="282"/>
      <c r="E137" s="282"/>
      <c r="F137" s="282"/>
      <c r="G137" s="282"/>
      <c r="H137" s="282"/>
      <c r="I137" s="282"/>
      <c r="J137" s="283"/>
      <c r="K137" s="7">
        <v>1</v>
      </c>
      <c r="L137" s="7">
        <v>0</v>
      </c>
      <c r="M137" s="7">
        <v>2</v>
      </c>
      <c r="N137" s="7">
        <v>0</v>
      </c>
      <c r="O137" s="7">
        <v>7</v>
      </c>
      <c r="P137" s="7">
        <v>3</v>
      </c>
      <c r="Q137" s="7">
        <v>2</v>
      </c>
      <c r="R137" s="7">
        <v>6</v>
      </c>
      <c r="S137" s="7">
        <v>1</v>
      </c>
      <c r="T137" s="7">
        <v>3</v>
      </c>
      <c r="U137" s="7">
        <v>0</v>
      </c>
      <c r="V137" s="7">
        <v>2</v>
      </c>
      <c r="W137" s="7">
        <v>2</v>
      </c>
      <c r="X137" s="7">
        <v>2</v>
      </c>
      <c r="Y137" s="7">
        <v>1</v>
      </c>
      <c r="Z137" s="7">
        <v>0</v>
      </c>
      <c r="AA137" s="7">
        <v>16</v>
      </c>
      <c r="AB137" s="7">
        <v>16</v>
      </c>
      <c r="AC137" s="7">
        <v>32</v>
      </c>
    </row>
    <row r="138" spans="1:32" ht="24.9" customHeight="1" x14ac:dyDescent="0.3">
      <c r="A138" s="281" t="s">
        <v>41</v>
      </c>
      <c r="B138" s="282"/>
      <c r="C138" s="282"/>
      <c r="D138" s="282"/>
      <c r="E138" s="282"/>
      <c r="F138" s="282"/>
      <c r="G138" s="282"/>
      <c r="H138" s="282"/>
      <c r="I138" s="282"/>
      <c r="J138" s="283"/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</row>
    <row r="139" spans="1:32" ht="24.9" customHeight="1" x14ac:dyDescent="0.3">
      <c r="A139" s="281" t="s">
        <v>42</v>
      </c>
      <c r="B139" s="282"/>
      <c r="C139" s="282"/>
      <c r="D139" s="282"/>
      <c r="E139" s="282"/>
      <c r="F139" s="282"/>
      <c r="G139" s="282"/>
      <c r="H139" s="282"/>
      <c r="I139" s="282"/>
      <c r="J139" s="283"/>
      <c r="K139" s="7">
        <v>8</v>
      </c>
      <c r="L139" s="7">
        <v>6</v>
      </c>
      <c r="M139" s="7">
        <v>3</v>
      </c>
      <c r="N139" s="7">
        <v>7</v>
      </c>
      <c r="O139" s="7">
        <v>7</v>
      </c>
      <c r="P139" s="7">
        <v>2</v>
      </c>
      <c r="Q139" s="7">
        <v>6</v>
      </c>
      <c r="R139" s="7">
        <v>3</v>
      </c>
      <c r="S139" s="7">
        <v>3</v>
      </c>
      <c r="T139" s="7">
        <v>1</v>
      </c>
      <c r="U139" s="7">
        <v>1</v>
      </c>
      <c r="V139" s="7">
        <v>3</v>
      </c>
      <c r="W139" s="7">
        <v>1</v>
      </c>
      <c r="X139" s="7">
        <v>1</v>
      </c>
      <c r="Y139" s="7">
        <v>1</v>
      </c>
      <c r="Z139" s="7">
        <v>1</v>
      </c>
      <c r="AA139" s="7">
        <v>30</v>
      </c>
      <c r="AB139" s="7">
        <v>24</v>
      </c>
      <c r="AC139" s="7">
        <v>54</v>
      </c>
    </row>
    <row r="140" spans="1:32" ht="24.9" customHeight="1" x14ac:dyDescent="0.3">
      <c r="A140" s="224" t="s">
        <v>7</v>
      </c>
      <c r="B140" s="225"/>
      <c r="C140" s="225"/>
      <c r="D140" s="225"/>
      <c r="E140" s="225"/>
      <c r="F140" s="225"/>
      <c r="G140" s="225"/>
      <c r="H140" s="225"/>
      <c r="I140" s="225"/>
      <c r="J140" s="226"/>
      <c r="K140" s="7">
        <v>9</v>
      </c>
      <c r="L140" s="7">
        <v>6</v>
      </c>
      <c r="M140" s="7">
        <v>6</v>
      </c>
      <c r="N140" s="7">
        <v>7</v>
      </c>
      <c r="O140" s="7">
        <v>19</v>
      </c>
      <c r="P140" s="7">
        <v>12</v>
      </c>
      <c r="Q140" s="7">
        <v>10</v>
      </c>
      <c r="R140" s="7">
        <v>10</v>
      </c>
      <c r="S140" s="7">
        <v>11</v>
      </c>
      <c r="T140" s="7">
        <v>7</v>
      </c>
      <c r="U140" s="7">
        <v>2</v>
      </c>
      <c r="V140" s="7">
        <v>6</v>
      </c>
      <c r="W140" s="7">
        <v>5</v>
      </c>
      <c r="X140" s="7">
        <v>3</v>
      </c>
      <c r="Y140" s="7">
        <v>2</v>
      </c>
      <c r="Z140" s="7">
        <v>4</v>
      </c>
      <c r="AA140" s="7">
        <v>64</v>
      </c>
      <c r="AB140" s="7">
        <v>55</v>
      </c>
      <c r="AC140" s="7">
        <v>119</v>
      </c>
    </row>
    <row r="141" spans="1:32" ht="6.75" customHeight="1" x14ac:dyDescent="0.3">
      <c r="A141" s="8"/>
      <c r="B141" s="9"/>
      <c r="C141" s="9"/>
      <c r="D141" s="9"/>
      <c r="E141" s="9"/>
      <c r="F141" s="10"/>
      <c r="G141" s="11"/>
      <c r="H141" s="11"/>
      <c r="I141" s="11"/>
      <c r="J141" s="11"/>
      <c r="K141" s="11"/>
      <c r="L141" s="11"/>
      <c r="M141" s="50"/>
      <c r="N141" s="11"/>
      <c r="O141" s="227"/>
      <c r="P141" s="228"/>
      <c r="Q141" s="12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3"/>
    </row>
    <row r="142" spans="1:32" ht="18" customHeight="1" x14ac:dyDescent="0.3">
      <c r="A142" s="14" t="s">
        <v>45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6"/>
      <c r="M142" s="17"/>
      <c r="N142" s="14" t="s">
        <v>46</v>
      </c>
      <c r="O142" s="15"/>
      <c r="P142" s="15"/>
      <c r="Q142" s="15"/>
      <c r="R142" s="15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9"/>
    </row>
    <row r="143" spans="1:32" ht="42.75" customHeight="1" x14ac:dyDescent="0.3">
      <c r="A143" s="307" t="s">
        <v>47</v>
      </c>
      <c r="B143" s="312" t="s">
        <v>48</v>
      </c>
      <c r="C143" s="313"/>
      <c r="D143" s="314" t="s">
        <v>49</v>
      </c>
      <c r="E143" s="315"/>
      <c r="F143" s="316"/>
      <c r="G143" s="314" t="s">
        <v>50</v>
      </c>
      <c r="H143" s="315"/>
      <c r="I143" s="315"/>
      <c r="J143" s="316"/>
      <c r="K143" s="307" t="s">
        <v>51</v>
      </c>
      <c r="L143" s="307" t="s">
        <v>52</v>
      </c>
      <c r="M143" s="20"/>
      <c r="N143" s="309" t="s">
        <v>53</v>
      </c>
      <c r="O143" s="310"/>
      <c r="P143" s="311"/>
      <c r="Q143" s="309" t="s">
        <v>54</v>
      </c>
      <c r="R143" s="310"/>
      <c r="S143" s="311"/>
      <c r="T143" s="309" t="s">
        <v>55</v>
      </c>
      <c r="U143" s="310"/>
      <c r="V143" s="310"/>
      <c r="W143" s="310"/>
      <c r="X143" s="310"/>
      <c r="Y143" s="310"/>
      <c r="Z143" s="310"/>
      <c r="AA143" s="310"/>
      <c r="AB143" s="310"/>
      <c r="AC143" s="311"/>
    </row>
    <row r="144" spans="1:32" ht="48" customHeight="1" x14ac:dyDescent="0.3">
      <c r="A144" s="308"/>
      <c r="B144" s="21" t="s">
        <v>7</v>
      </c>
      <c r="C144" s="22" t="s">
        <v>87</v>
      </c>
      <c r="D144" s="22" t="s">
        <v>56</v>
      </c>
      <c r="E144" s="22" t="s">
        <v>88</v>
      </c>
      <c r="F144" s="22" t="s">
        <v>89</v>
      </c>
      <c r="G144" s="23" t="s">
        <v>56</v>
      </c>
      <c r="H144" s="22" t="s">
        <v>90</v>
      </c>
      <c r="I144" s="23" t="s">
        <v>57</v>
      </c>
      <c r="J144" s="23" t="s">
        <v>58</v>
      </c>
      <c r="K144" s="308"/>
      <c r="L144" s="308"/>
      <c r="M144" s="20"/>
      <c r="N144" s="309">
        <v>0</v>
      </c>
      <c r="O144" s="310"/>
      <c r="P144" s="311"/>
      <c r="Q144" s="309">
        <v>0</v>
      </c>
      <c r="R144" s="310"/>
      <c r="S144" s="311"/>
      <c r="T144" s="309">
        <v>0</v>
      </c>
      <c r="U144" s="310"/>
      <c r="V144" s="310"/>
      <c r="W144" s="310"/>
      <c r="X144" s="310"/>
      <c r="Y144" s="310"/>
      <c r="Z144" s="310"/>
      <c r="AA144" s="310"/>
      <c r="AB144" s="310"/>
      <c r="AC144" s="311"/>
    </row>
    <row r="145" spans="1:29" ht="38.25" customHeight="1" x14ac:dyDescent="0.3">
      <c r="A145" s="270">
        <v>1028</v>
      </c>
      <c r="B145" s="270">
        <v>192</v>
      </c>
      <c r="C145" s="270">
        <v>3</v>
      </c>
      <c r="D145" s="270">
        <v>140</v>
      </c>
      <c r="E145" s="270">
        <v>99</v>
      </c>
      <c r="F145" s="270">
        <v>52</v>
      </c>
      <c r="G145" s="270">
        <v>19</v>
      </c>
      <c r="H145" s="270">
        <v>3</v>
      </c>
      <c r="I145" s="270">
        <v>11</v>
      </c>
      <c r="J145" s="440">
        <v>33</v>
      </c>
      <c r="K145" s="270">
        <v>33</v>
      </c>
      <c r="L145" s="270">
        <v>63</v>
      </c>
      <c r="M145" s="20"/>
      <c r="N145" s="309" t="s">
        <v>59</v>
      </c>
      <c r="O145" s="310"/>
      <c r="P145" s="311"/>
      <c r="Q145" s="309" t="s">
        <v>60</v>
      </c>
      <c r="R145" s="310"/>
      <c r="S145" s="311"/>
      <c r="T145" s="293" t="s">
        <v>61</v>
      </c>
      <c r="U145" s="294"/>
      <c r="V145" s="294"/>
      <c r="W145" s="295"/>
      <c r="X145" s="293" t="s">
        <v>62</v>
      </c>
      <c r="Y145" s="294"/>
      <c r="Z145" s="294"/>
      <c r="AA145" s="294"/>
      <c r="AB145" s="294"/>
      <c r="AC145" s="295"/>
    </row>
    <row r="146" spans="1:29" ht="19.5" customHeight="1" x14ac:dyDescent="0.3">
      <c r="A146" s="271"/>
      <c r="B146" s="271"/>
      <c r="C146" s="271"/>
      <c r="D146" s="271"/>
      <c r="E146" s="271"/>
      <c r="F146" s="271"/>
      <c r="G146" s="271"/>
      <c r="H146" s="271"/>
      <c r="I146" s="271"/>
      <c r="J146" s="441"/>
      <c r="K146" s="271"/>
      <c r="L146" s="271"/>
      <c r="M146" s="54"/>
      <c r="N146" s="287">
        <v>0</v>
      </c>
      <c r="O146" s="288"/>
      <c r="P146" s="289"/>
      <c r="Q146" s="287">
        <v>0</v>
      </c>
      <c r="R146" s="288"/>
      <c r="S146" s="289"/>
      <c r="T146" s="287">
        <v>0</v>
      </c>
      <c r="U146" s="288"/>
      <c r="V146" s="288"/>
      <c r="W146" s="289"/>
      <c r="X146" s="24"/>
      <c r="Y146" s="309" t="s">
        <v>0</v>
      </c>
      <c r="Z146" s="311"/>
      <c r="AA146" s="25" t="s">
        <v>1</v>
      </c>
      <c r="AB146" s="309" t="s">
        <v>63</v>
      </c>
      <c r="AC146" s="311"/>
    </row>
    <row r="147" spans="1:29" ht="18" customHeight="1" x14ac:dyDescent="0.3">
      <c r="A147" s="271"/>
      <c r="B147" s="271"/>
      <c r="C147" s="271"/>
      <c r="D147" s="271"/>
      <c r="E147" s="271"/>
      <c r="F147" s="271"/>
      <c r="G147" s="271"/>
      <c r="H147" s="271"/>
      <c r="I147" s="271"/>
      <c r="J147" s="441"/>
      <c r="K147" s="271"/>
      <c r="L147" s="271"/>
      <c r="M147" s="54"/>
      <c r="N147" s="290"/>
      <c r="O147" s="291"/>
      <c r="P147" s="292"/>
      <c r="Q147" s="290"/>
      <c r="R147" s="291"/>
      <c r="S147" s="292"/>
      <c r="T147" s="290"/>
      <c r="U147" s="291"/>
      <c r="V147" s="291"/>
      <c r="W147" s="292"/>
      <c r="X147" s="26" t="s">
        <v>64</v>
      </c>
      <c r="Y147" s="317">
        <v>0</v>
      </c>
      <c r="Z147" s="317"/>
      <c r="AA147" s="7">
        <v>0</v>
      </c>
      <c r="AB147" s="317">
        <v>0</v>
      </c>
      <c r="AC147" s="317"/>
    </row>
    <row r="148" spans="1:29" ht="18" customHeight="1" x14ac:dyDescent="0.3">
      <c r="A148" s="271"/>
      <c r="B148" s="271"/>
      <c r="C148" s="271"/>
      <c r="D148" s="271"/>
      <c r="E148" s="271"/>
      <c r="F148" s="271"/>
      <c r="G148" s="271"/>
      <c r="H148" s="271"/>
      <c r="I148" s="271"/>
      <c r="J148" s="441"/>
      <c r="K148" s="271"/>
      <c r="L148" s="271"/>
      <c r="M148" s="54"/>
      <c r="N148" s="290"/>
      <c r="O148" s="291"/>
      <c r="P148" s="292"/>
      <c r="Q148" s="290"/>
      <c r="R148" s="291"/>
      <c r="S148" s="292"/>
      <c r="T148" s="290"/>
      <c r="U148" s="291"/>
      <c r="V148" s="291"/>
      <c r="W148" s="292"/>
      <c r="X148" s="26" t="s">
        <v>65</v>
      </c>
      <c r="Y148" s="317">
        <v>0</v>
      </c>
      <c r="Z148" s="317"/>
      <c r="AA148" s="7">
        <v>0</v>
      </c>
      <c r="AB148" s="317">
        <v>0</v>
      </c>
      <c r="AC148" s="317"/>
    </row>
    <row r="149" spans="1:29" ht="18" customHeight="1" x14ac:dyDescent="0.3">
      <c r="A149" s="272"/>
      <c r="B149" s="272"/>
      <c r="C149" s="272"/>
      <c r="D149" s="272"/>
      <c r="E149" s="272"/>
      <c r="F149" s="272"/>
      <c r="G149" s="272"/>
      <c r="H149" s="272"/>
      <c r="I149" s="272"/>
      <c r="J149" s="442"/>
      <c r="K149" s="272"/>
      <c r="L149" s="272"/>
      <c r="M149" s="54"/>
      <c r="N149" s="293"/>
      <c r="O149" s="294"/>
      <c r="P149" s="295"/>
      <c r="Q149" s="293"/>
      <c r="R149" s="294"/>
      <c r="S149" s="295"/>
      <c r="T149" s="293"/>
      <c r="U149" s="294"/>
      <c r="V149" s="294"/>
      <c r="W149" s="295"/>
      <c r="X149" s="26" t="s">
        <v>66</v>
      </c>
      <c r="Y149" s="317">
        <v>0</v>
      </c>
      <c r="Z149" s="317"/>
      <c r="AA149" s="7">
        <v>0</v>
      </c>
      <c r="AB149" s="317">
        <v>0</v>
      </c>
      <c r="AC149" s="317"/>
    </row>
    <row r="150" spans="1:29" ht="8.25" customHeight="1" x14ac:dyDescent="0.3">
      <c r="A150" s="27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59"/>
      <c r="N150" s="28"/>
      <c r="O150" s="28"/>
      <c r="P150" s="28"/>
      <c r="Q150" s="28"/>
      <c r="R150" s="28"/>
      <c r="S150" s="28"/>
      <c r="T150" s="28"/>
      <c r="U150" s="29"/>
      <c r="V150" s="29"/>
      <c r="W150" s="29"/>
      <c r="X150" s="29"/>
      <c r="Y150" s="29"/>
      <c r="Z150" s="29"/>
      <c r="AA150" s="28"/>
      <c r="AB150" s="28"/>
      <c r="AC150" s="4"/>
    </row>
    <row r="151" spans="1:29" ht="18" customHeight="1" x14ac:dyDescent="0.3">
      <c r="A151" s="14" t="s">
        <v>67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6"/>
      <c r="M151" s="30"/>
      <c r="N151" s="14" t="s">
        <v>68</v>
      </c>
      <c r="O151" s="16"/>
      <c r="P151" s="15"/>
      <c r="Q151" s="31"/>
      <c r="R151" s="15"/>
      <c r="S151" s="15"/>
      <c r="T151" s="15"/>
      <c r="U151" s="15"/>
      <c r="V151" s="15"/>
      <c r="W151" s="15"/>
      <c r="X151" s="15"/>
      <c r="Y151" s="15"/>
      <c r="Z151" s="15"/>
      <c r="AA151" s="18"/>
      <c r="AB151" s="18"/>
      <c r="AC151" s="32"/>
    </row>
    <row r="152" spans="1:29" ht="57" customHeight="1" x14ac:dyDescent="0.3">
      <c r="A152" s="205"/>
      <c r="B152" s="206"/>
      <c r="C152" s="206"/>
      <c r="D152" s="206"/>
      <c r="E152" s="206"/>
      <c r="F152" s="207"/>
      <c r="G152" s="224" t="s">
        <v>11</v>
      </c>
      <c r="H152" s="226"/>
      <c r="I152" s="224" t="s">
        <v>12</v>
      </c>
      <c r="J152" s="226"/>
      <c r="K152" s="33" t="s">
        <v>69</v>
      </c>
      <c r="L152" s="34"/>
      <c r="M152" s="62"/>
      <c r="N152" s="314" t="s">
        <v>70</v>
      </c>
      <c r="O152" s="315"/>
      <c r="P152" s="316"/>
      <c r="Q152" s="314" t="s">
        <v>71</v>
      </c>
      <c r="R152" s="315"/>
      <c r="S152" s="316"/>
      <c r="T152" s="314" t="s">
        <v>72</v>
      </c>
      <c r="U152" s="315"/>
      <c r="V152" s="316"/>
      <c r="W152" s="314" t="s">
        <v>73</v>
      </c>
      <c r="X152" s="315"/>
      <c r="Y152" s="315"/>
      <c r="Z152" s="316"/>
      <c r="AA152" s="314" t="s">
        <v>74</v>
      </c>
      <c r="AB152" s="315"/>
      <c r="AC152" s="316"/>
    </row>
    <row r="153" spans="1:29" ht="13.5" customHeight="1" x14ac:dyDescent="0.3">
      <c r="A153" s="208"/>
      <c r="B153" s="209"/>
      <c r="C153" s="209"/>
      <c r="D153" s="209"/>
      <c r="E153" s="209"/>
      <c r="F153" s="210"/>
      <c r="G153" s="7" t="s">
        <v>75</v>
      </c>
      <c r="H153" s="7" t="s">
        <v>13</v>
      </c>
      <c r="I153" s="7" t="s">
        <v>75</v>
      </c>
      <c r="J153" s="7" t="s">
        <v>13</v>
      </c>
      <c r="K153" s="7" t="s">
        <v>75</v>
      </c>
      <c r="L153" s="7" t="s">
        <v>13</v>
      </c>
      <c r="M153" s="63"/>
      <c r="N153" s="35" t="s">
        <v>0</v>
      </c>
      <c r="O153" s="36" t="s">
        <v>1</v>
      </c>
      <c r="P153" s="36" t="s">
        <v>91</v>
      </c>
      <c r="Q153" s="35" t="s">
        <v>0</v>
      </c>
      <c r="R153" s="36" t="s">
        <v>1</v>
      </c>
      <c r="S153" s="36" t="s">
        <v>91</v>
      </c>
      <c r="T153" s="35" t="s">
        <v>0</v>
      </c>
      <c r="U153" s="36" t="s">
        <v>1</v>
      </c>
      <c r="V153" s="36" t="s">
        <v>91</v>
      </c>
      <c r="W153" s="37"/>
      <c r="X153" s="35" t="s">
        <v>0</v>
      </c>
      <c r="Y153" s="38" t="s">
        <v>1</v>
      </c>
      <c r="Z153" s="39" t="s">
        <v>76</v>
      </c>
      <c r="AA153" s="35" t="s">
        <v>0</v>
      </c>
      <c r="AB153" s="38" t="s">
        <v>1</v>
      </c>
      <c r="AC153" s="39" t="s">
        <v>76</v>
      </c>
    </row>
    <row r="154" spans="1:29" ht="24.9" customHeight="1" x14ac:dyDescent="0.3">
      <c r="A154" s="299" t="s">
        <v>77</v>
      </c>
      <c r="B154" s="318"/>
      <c r="C154" s="318"/>
      <c r="D154" s="318"/>
      <c r="E154" s="318"/>
      <c r="F154" s="300"/>
      <c r="G154" s="7">
        <v>24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63"/>
      <c r="N154" s="321">
        <v>21</v>
      </c>
      <c r="O154" s="321">
        <v>33</v>
      </c>
      <c r="P154" s="321">
        <v>334</v>
      </c>
      <c r="Q154" s="321">
        <v>0</v>
      </c>
      <c r="R154" s="321">
        <v>29</v>
      </c>
      <c r="S154" s="321">
        <v>103</v>
      </c>
      <c r="T154" s="321">
        <v>0</v>
      </c>
      <c r="U154" s="321">
        <v>1</v>
      </c>
      <c r="V154" s="321">
        <v>14</v>
      </c>
      <c r="W154" s="40" t="s">
        <v>64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</row>
    <row r="155" spans="1:29" ht="24.9" customHeight="1" x14ac:dyDescent="0.3">
      <c r="A155" s="299" t="s">
        <v>8</v>
      </c>
      <c r="B155" s="318"/>
      <c r="C155" s="318"/>
      <c r="D155" s="318"/>
      <c r="E155" s="318"/>
      <c r="F155" s="300"/>
      <c r="G155" s="7">
        <v>5</v>
      </c>
      <c r="H155" s="7">
        <v>1</v>
      </c>
      <c r="I155" s="7">
        <v>0</v>
      </c>
      <c r="J155" s="7">
        <v>0</v>
      </c>
      <c r="K155" s="7">
        <v>0</v>
      </c>
      <c r="L155" s="7">
        <v>0</v>
      </c>
      <c r="M155" s="63"/>
      <c r="N155" s="322"/>
      <c r="O155" s="322"/>
      <c r="P155" s="322"/>
      <c r="Q155" s="322"/>
      <c r="R155" s="322"/>
      <c r="S155" s="322"/>
      <c r="T155" s="322"/>
      <c r="U155" s="322"/>
      <c r="V155" s="322"/>
      <c r="W155" s="40" t="s">
        <v>65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</row>
    <row r="156" spans="1:29" ht="24.9" customHeight="1" x14ac:dyDescent="0.3">
      <c r="A156" s="309" t="s">
        <v>78</v>
      </c>
      <c r="B156" s="310"/>
      <c r="C156" s="310"/>
      <c r="D156" s="310"/>
      <c r="E156" s="310"/>
      <c r="F156" s="311"/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63"/>
      <c r="N156" s="322"/>
      <c r="O156" s="322"/>
      <c r="P156" s="322"/>
      <c r="Q156" s="322"/>
      <c r="R156" s="322"/>
      <c r="S156" s="322"/>
      <c r="T156" s="322"/>
      <c r="U156" s="322"/>
      <c r="V156" s="322"/>
      <c r="W156" s="319" t="s">
        <v>66</v>
      </c>
      <c r="X156" s="321">
        <v>0</v>
      </c>
      <c r="Y156" s="321">
        <v>0</v>
      </c>
      <c r="Z156" s="321">
        <v>0</v>
      </c>
      <c r="AA156" s="321">
        <v>0</v>
      </c>
      <c r="AB156" s="321">
        <v>0</v>
      </c>
      <c r="AC156" s="321">
        <v>0</v>
      </c>
    </row>
    <row r="157" spans="1:29" ht="24.9" customHeight="1" x14ac:dyDescent="0.3">
      <c r="A157" s="224" t="s">
        <v>7</v>
      </c>
      <c r="B157" s="225"/>
      <c r="C157" s="225"/>
      <c r="D157" s="225"/>
      <c r="E157" s="225"/>
      <c r="F157" s="226"/>
      <c r="G157" s="7">
        <v>29</v>
      </c>
      <c r="H157" s="7">
        <v>1</v>
      </c>
      <c r="I157" s="7">
        <v>0</v>
      </c>
      <c r="J157" s="7">
        <v>0</v>
      </c>
      <c r="K157" s="7">
        <v>0</v>
      </c>
      <c r="L157" s="7">
        <v>0</v>
      </c>
      <c r="M157" s="63"/>
      <c r="N157" s="323"/>
      <c r="O157" s="323"/>
      <c r="P157" s="323"/>
      <c r="Q157" s="323"/>
      <c r="R157" s="323"/>
      <c r="S157" s="323"/>
      <c r="T157" s="323"/>
      <c r="U157" s="323"/>
      <c r="V157" s="323"/>
      <c r="W157" s="320"/>
      <c r="X157" s="323"/>
      <c r="Y157" s="323"/>
      <c r="Z157" s="323"/>
      <c r="AA157" s="323"/>
      <c r="AB157" s="323"/>
      <c r="AC157" s="323"/>
    </row>
    <row r="158" spans="1:29" ht="23.4" x14ac:dyDescent="0.45">
      <c r="A158" s="158" t="s">
        <v>15</v>
      </c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  <c r="AA158" s="158"/>
      <c r="AB158" s="158"/>
      <c r="AC158" s="158"/>
    </row>
    <row r="159" spans="1:29" ht="23.4" x14ac:dyDescent="0.3">
      <c r="A159" s="159" t="s">
        <v>16</v>
      </c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2"/>
      <c r="Y159" s="160" t="s">
        <v>17</v>
      </c>
      <c r="Z159" s="160"/>
      <c r="AA159" s="2"/>
      <c r="AB159" s="2"/>
      <c r="AC159" s="2"/>
    </row>
    <row r="160" spans="1:29" ht="30.9" customHeight="1" x14ac:dyDescent="0.3">
      <c r="A160" s="326" t="s">
        <v>18</v>
      </c>
      <c r="B160" s="326"/>
      <c r="C160" s="326"/>
      <c r="D160" s="326"/>
      <c r="E160" s="439" t="s">
        <v>104</v>
      </c>
      <c r="F160" s="439"/>
      <c r="G160" s="439"/>
      <c r="H160" s="439"/>
      <c r="I160" s="328" t="s">
        <v>20</v>
      </c>
      <c r="J160" s="328"/>
      <c r="K160" s="329" t="s">
        <v>85</v>
      </c>
      <c r="L160" s="329"/>
      <c r="M160" s="328" t="s">
        <v>21</v>
      </c>
      <c r="N160" s="328"/>
      <c r="O160" s="340" t="s">
        <v>92</v>
      </c>
      <c r="P160" s="340"/>
      <c r="Q160" s="340"/>
      <c r="R160" s="340"/>
      <c r="S160" s="43"/>
      <c r="T160" s="166" t="s">
        <v>22</v>
      </c>
      <c r="U160" s="166"/>
      <c r="V160" s="166"/>
      <c r="W160" s="166"/>
      <c r="X160" s="166"/>
      <c r="Y160" s="152" t="s">
        <v>14</v>
      </c>
      <c r="Z160" s="152"/>
      <c r="AA160" s="152"/>
      <c r="AB160" s="153" t="s">
        <v>83</v>
      </c>
      <c r="AC160" s="153"/>
    </row>
    <row r="161" spans="1:32" ht="15" customHeight="1" x14ac:dyDescent="0.3">
      <c r="T161" s="166"/>
      <c r="U161" s="166"/>
      <c r="V161" s="166"/>
      <c r="W161" s="166"/>
      <c r="X161" s="166"/>
      <c r="Y161" s="152"/>
      <c r="Z161" s="152"/>
      <c r="AA161" s="152"/>
      <c r="AB161" s="153"/>
      <c r="AC161" s="153"/>
    </row>
    <row r="162" spans="1:32" ht="15.6" x14ac:dyDescent="0.3">
      <c r="A162" s="324" t="s">
        <v>24</v>
      </c>
      <c r="B162" s="324"/>
      <c r="C162" s="324"/>
      <c r="D162" s="324"/>
      <c r="E162" s="324"/>
      <c r="F162" s="324"/>
      <c r="G162" s="324"/>
      <c r="H162" s="347" t="s">
        <v>25</v>
      </c>
      <c r="I162" s="347"/>
      <c r="J162" s="347"/>
      <c r="K162" s="347"/>
      <c r="L162" s="347"/>
      <c r="M162" s="347"/>
      <c r="N162" s="347"/>
      <c r="O162" s="44"/>
      <c r="P162" s="44"/>
      <c r="T162" s="156" t="s">
        <v>26</v>
      </c>
      <c r="U162" s="156"/>
      <c r="V162" s="156"/>
      <c r="W162" s="156"/>
      <c r="X162" s="156"/>
      <c r="Y162" s="156"/>
      <c r="Z162" s="265" t="s">
        <v>27</v>
      </c>
      <c r="AA162" s="265"/>
      <c r="AB162" s="265"/>
      <c r="AC162" s="265"/>
    </row>
    <row r="163" spans="1:32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32" ht="15" customHeight="1" x14ac:dyDescent="0.3">
      <c r="A164" s="284" t="s">
        <v>29</v>
      </c>
      <c r="B164" s="285"/>
      <c r="C164" s="285"/>
      <c r="D164" s="285"/>
      <c r="E164" s="285"/>
      <c r="F164" s="285"/>
      <c r="G164" s="285"/>
      <c r="H164" s="285"/>
      <c r="I164" s="285"/>
      <c r="J164" s="286"/>
      <c r="K164" s="273" t="s">
        <v>30</v>
      </c>
      <c r="L164" s="274"/>
      <c r="M164" s="273" t="s">
        <v>31</v>
      </c>
      <c r="N164" s="274"/>
      <c r="O164" s="287" t="s">
        <v>32</v>
      </c>
      <c r="P164" s="288"/>
      <c r="Q164" s="289"/>
      <c r="R164" s="273" t="s">
        <v>33</v>
      </c>
      <c r="S164" s="296"/>
      <c r="T164" s="274"/>
      <c r="U164" s="224" t="s">
        <v>34</v>
      </c>
      <c r="V164" s="225"/>
      <c r="W164" s="225"/>
      <c r="X164" s="225"/>
      <c r="Y164" s="225"/>
      <c r="Z164" s="225"/>
      <c r="AA164" s="226"/>
      <c r="AB164" s="273" t="s">
        <v>7</v>
      </c>
      <c r="AC164" s="274"/>
    </row>
    <row r="165" spans="1:32" ht="23.25" customHeight="1" x14ac:dyDescent="0.3">
      <c r="A165" s="169" t="s">
        <v>35</v>
      </c>
      <c r="B165" s="173"/>
      <c r="C165" s="173"/>
      <c r="D165" s="173"/>
      <c r="E165" s="173"/>
      <c r="F165" s="173"/>
      <c r="G165" s="173"/>
      <c r="H165" s="173"/>
      <c r="I165" s="173"/>
      <c r="J165" s="170"/>
      <c r="K165" s="275"/>
      <c r="L165" s="276"/>
      <c r="M165" s="275"/>
      <c r="N165" s="276"/>
      <c r="O165" s="290"/>
      <c r="P165" s="291"/>
      <c r="Q165" s="292"/>
      <c r="R165" s="275"/>
      <c r="S165" s="297"/>
      <c r="T165" s="276"/>
      <c r="U165" s="279" t="s">
        <v>36</v>
      </c>
      <c r="V165" s="279"/>
      <c r="W165" s="279"/>
      <c r="X165" s="279" t="s">
        <v>37</v>
      </c>
      <c r="Y165" s="279"/>
      <c r="Z165" s="279" t="s">
        <v>38</v>
      </c>
      <c r="AA165" s="279"/>
      <c r="AB165" s="275"/>
      <c r="AC165" s="276"/>
    </row>
    <row r="166" spans="1:32" x14ac:dyDescent="0.3">
      <c r="A166" s="171"/>
      <c r="B166" s="174"/>
      <c r="C166" s="174"/>
      <c r="D166" s="174"/>
      <c r="E166" s="174"/>
      <c r="F166" s="174"/>
      <c r="G166" s="174"/>
      <c r="H166" s="174"/>
      <c r="I166" s="174"/>
      <c r="J166" s="172"/>
      <c r="K166" s="277"/>
      <c r="L166" s="278"/>
      <c r="M166" s="277"/>
      <c r="N166" s="278"/>
      <c r="O166" s="293"/>
      <c r="P166" s="294"/>
      <c r="Q166" s="295"/>
      <c r="R166" s="277"/>
      <c r="S166" s="298"/>
      <c r="T166" s="278"/>
      <c r="U166" s="280"/>
      <c r="V166" s="280"/>
      <c r="W166" s="280"/>
      <c r="X166" s="280"/>
      <c r="Y166" s="280"/>
      <c r="Z166" s="280"/>
      <c r="AA166" s="280"/>
      <c r="AB166" s="277"/>
      <c r="AC166" s="278"/>
    </row>
    <row r="167" spans="1:32" ht="24.9" customHeight="1" x14ac:dyDescent="0.3">
      <c r="A167" s="281" t="s">
        <v>39</v>
      </c>
      <c r="B167" s="282"/>
      <c r="C167" s="282"/>
      <c r="D167" s="282"/>
      <c r="E167" s="282"/>
      <c r="F167" s="282"/>
      <c r="G167" s="282"/>
      <c r="H167" s="282"/>
      <c r="I167" s="282"/>
      <c r="J167" s="283"/>
      <c r="K167" s="224">
        <v>106</v>
      </c>
      <c r="L167" s="226"/>
      <c r="M167" s="224">
        <v>10</v>
      </c>
      <c r="N167" s="226"/>
      <c r="O167" s="224">
        <v>0</v>
      </c>
      <c r="P167" s="225"/>
      <c r="Q167" s="226"/>
      <c r="R167" s="224">
        <v>116</v>
      </c>
      <c r="S167" s="225"/>
      <c r="T167" s="226"/>
      <c r="U167" s="224">
        <v>0</v>
      </c>
      <c r="V167" s="225"/>
      <c r="W167" s="226"/>
      <c r="X167" s="224">
        <v>0</v>
      </c>
      <c r="Y167" s="226"/>
      <c r="Z167" s="224">
        <v>0</v>
      </c>
      <c r="AA167" s="226"/>
      <c r="AB167" s="299">
        <v>116</v>
      </c>
      <c r="AC167" s="300"/>
    </row>
    <row r="168" spans="1:32" ht="24.9" customHeight="1" x14ac:dyDescent="0.3">
      <c r="A168" s="281" t="s">
        <v>40</v>
      </c>
      <c r="B168" s="282"/>
      <c r="C168" s="282"/>
      <c r="D168" s="282"/>
      <c r="E168" s="282"/>
      <c r="F168" s="282"/>
      <c r="G168" s="282"/>
      <c r="H168" s="282"/>
      <c r="I168" s="282"/>
      <c r="J168" s="283"/>
      <c r="K168" s="224">
        <v>131</v>
      </c>
      <c r="L168" s="226"/>
      <c r="M168" s="224">
        <v>0</v>
      </c>
      <c r="N168" s="226"/>
      <c r="O168" s="224">
        <v>0</v>
      </c>
      <c r="P168" s="225"/>
      <c r="Q168" s="226"/>
      <c r="R168" s="224">
        <v>131</v>
      </c>
      <c r="S168" s="225"/>
      <c r="T168" s="226"/>
      <c r="U168" s="224">
        <v>0</v>
      </c>
      <c r="V168" s="225"/>
      <c r="W168" s="226"/>
      <c r="X168" s="224">
        <v>0</v>
      </c>
      <c r="Y168" s="226"/>
      <c r="Z168" s="224">
        <v>0</v>
      </c>
      <c r="AA168" s="226"/>
      <c r="AB168" s="299">
        <v>131</v>
      </c>
      <c r="AC168" s="300"/>
    </row>
    <row r="169" spans="1:32" ht="24.9" customHeight="1" x14ac:dyDescent="0.3">
      <c r="A169" s="281" t="s">
        <v>41</v>
      </c>
      <c r="B169" s="282"/>
      <c r="C169" s="282"/>
      <c r="D169" s="282"/>
      <c r="E169" s="282"/>
      <c r="F169" s="282"/>
      <c r="G169" s="282"/>
      <c r="H169" s="282"/>
      <c r="I169" s="282"/>
      <c r="J169" s="283"/>
      <c r="K169" s="224">
        <v>0</v>
      </c>
      <c r="L169" s="226"/>
      <c r="M169" s="224">
        <v>0</v>
      </c>
      <c r="N169" s="226"/>
      <c r="O169" s="224">
        <v>0</v>
      </c>
      <c r="P169" s="225"/>
      <c r="Q169" s="226"/>
      <c r="R169" s="224">
        <v>0</v>
      </c>
      <c r="S169" s="225"/>
      <c r="T169" s="226"/>
      <c r="U169" s="224">
        <v>0</v>
      </c>
      <c r="V169" s="225"/>
      <c r="W169" s="226"/>
      <c r="X169" s="224">
        <v>0</v>
      </c>
      <c r="Y169" s="226"/>
      <c r="Z169" s="224">
        <v>0</v>
      </c>
      <c r="AA169" s="226"/>
      <c r="AB169" s="299">
        <v>0</v>
      </c>
      <c r="AC169" s="300"/>
    </row>
    <row r="170" spans="1:32" ht="24.9" customHeight="1" x14ac:dyDescent="0.3">
      <c r="A170" s="281" t="s">
        <v>42</v>
      </c>
      <c r="B170" s="282"/>
      <c r="C170" s="282"/>
      <c r="D170" s="282"/>
      <c r="E170" s="282"/>
      <c r="F170" s="282"/>
      <c r="G170" s="282"/>
      <c r="H170" s="282"/>
      <c r="I170" s="282"/>
      <c r="J170" s="283"/>
      <c r="K170" s="224">
        <v>190</v>
      </c>
      <c r="L170" s="226"/>
      <c r="M170" s="224">
        <v>4</v>
      </c>
      <c r="N170" s="226"/>
      <c r="O170" s="224">
        <v>0</v>
      </c>
      <c r="P170" s="225"/>
      <c r="Q170" s="226"/>
      <c r="R170" s="224">
        <v>194</v>
      </c>
      <c r="S170" s="225"/>
      <c r="T170" s="226"/>
      <c r="U170" s="224">
        <v>0</v>
      </c>
      <c r="V170" s="225"/>
      <c r="W170" s="226"/>
      <c r="X170" s="224">
        <v>0</v>
      </c>
      <c r="Y170" s="226"/>
      <c r="Z170" s="224">
        <v>0</v>
      </c>
      <c r="AA170" s="226"/>
      <c r="AB170" s="299">
        <v>194</v>
      </c>
      <c r="AC170" s="300"/>
    </row>
    <row r="171" spans="1:32" ht="24.9" customHeight="1" x14ac:dyDescent="0.3">
      <c r="A171" s="281" t="s">
        <v>7</v>
      </c>
      <c r="B171" s="282"/>
      <c r="C171" s="282"/>
      <c r="D171" s="282"/>
      <c r="E171" s="282"/>
      <c r="F171" s="282"/>
      <c r="G171" s="282"/>
      <c r="H171" s="282"/>
      <c r="I171" s="282"/>
      <c r="J171" s="283"/>
      <c r="K171" s="224">
        <v>427</v>
      </c>
      <c r="L171" s="226"/>
      <c r="M171" s="224">
        <v>14</v>
      </c>
      <c r="N171" s="226"/>
      <c r="O171" s="224">
        <v>0</v>
      </c>
      <c r="P171" s="225"/>
      <c r="Q171" s="226"/>
      <c r="R171" s="224">
        <v>441</v>
      </c>
      <c r="S171" s="225"/>
      <c r="T171" s="226"/>
      <c r="U171" s="224">
        <v>0</v>
      </c>
      <c r="V171" s="225"/>
      <c r="W171" s="226"/>
      <c r="X171" s="224">
        <v>0</v>
      </c>
      <c r="Y171" s="226"/>
      <c r="Z171" s="224">
        <v>0</v>
      </c>
      <c r="AA171" s="226"/>
      <c r="AB171" s="299">
        <v>441</v>
      </c>
      <c r="AC171" s="300"/>
    </row>
    <row r="172" spans="1:32" ht="15.6" x14ac:dyDescent="0.3">
      <c r="A172" s="45" t="s">
        <v>43</v>
      </c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7"/>
      <c r="V172" s="47"/>
      <c r="W172" s="47"/>
      <c r="X172" s="47"/>
      <c r="Y172" s="47"/>
      <c r="Z172" s="47"/>
      <c r="AA172" s="47"/>
      <c r="AB172" s="47"/>
      <c r="AC172" s="4"/>
    </row>
    <row r="173" spans="1:32" ht="21.75" customHeight="1" x14ac:dyDescent="0.3">
      <c r="A173" s="205"/>
      <c r="B173" s="206"/>
      <c r="C173" s="206"/>
      <c r="D173" s="206"/>
      <c r="E173" s="206"/>
      <c r="F173" s="206"/>
      <c r="G173" s="206"/>
      <c r="H173" s="206"/>
      <c r="I173" s="206"/>
      <c r="J173" s="207"/>
      <c r="K173" s="224" t="s">
        <v>0</v>
      </c>
      <c r="L173" s="226"/>
      <c r="M173" s="305" t="s">
        <v>1</v>
      </c>
      <c r="N173" s="306"/>
      <c r="O173" s="301" t="s">
        <v>2</v>
      </c>
      <c r="P173" s="302"/>
      <c r="Q173" s="301" t="s">
        <v>3</v>
      </c>
      <c r="R173" s="302"/>
      <c r="S173" s="301" t="s">
        <v>4</v>
      </c>
      <c r="T173" s="302"/>
      <c r="U173" s="301" t="s">
        <v>5</v>
      </c>
      <c r="V173" s="302"/>
      <c r="W173" s="301" t="s">
        <v>6</v>
      </c>
      <c r="X173" s="302"/>
      <c r="Y173" s="301" t="s">
        <v>44</v>
      </c>
      <c r="Z173" s="302"/>
      <c r="AA173" s="301" t="s">
        <v>7</v>
      </c>
      <c r="AB173" s="302"/>
      <c r="AC173" s="303" t="s">
        <v>86</v>
      </c>
      <c r="AD173" s="5"/>
      <c r="AE173" s="6"/>
      <c r="AF173" s="6"/>
    </row>
    <row r="174" spans="1:32" x14ac:dyDescent="0.3">
      <c r="A174" s="208"/>
      <c r="B174" s="209"/>
      <c r="C174" s="209"/>
      <c r="D174" s="209"/>
      <c r="E174" s="209"/>
      <c r="F174" s="209"/>
      <c r="G174" s="209"/>
      <c r="H174" s="209"/>
      <c r="I174" s="209"/>
      <c r="J174" s="210"/>
      <c r="K174" s="7" t="s">
        <v>9</v>
      </c>
      <c r="L174" s="7" t="s">
        <v>10</v>
      </c>
      <c r="M174" s="7" t="s">
        <v>9</v>
      </c>
      <c r="N174" s="7" t="s">
        <v>10</v>
      </c>
      <c r="O174" s="7" t="s">
        <v>9</v>
      </c>
      <c r="P174" s="7" t="s">
        <v>10</v>
      </c>
      <c r="Q174" s="7" t="s">
        <v>9</v>
      </c>
      <c r="R174" s="7" t="s">
        <v>10</v>
      </c>
      <c r="S174" s="7" t="s">
        <v>9</v>
      </c>
      <c r="T174" s="7" t="s">
        <v>10</v>
      </c>
      <c r="U174" s="7" t="s">
        <v>9</v>
      </c>
      <c r="V174" s="7" t="s">
        <v>10</v>
      </c>
      <c r="W174" s="7" t="s">
        <v>9</v>
      </c>
      <c r="X174" s="7" t="s">
        <v>10</v>
      </c>
      <c r="Y174" s="7" t="s">
        <v>9</v>
      </c>
      <c r="Z174" s="7" t="s">
        <v>10</v>
      </c>
      <c r="AA174" s="7" t="s">
        <v>9</v>
      </c>
      <c r="AB174" s="7" t="s">
        <v>10</v>
      </c>
      <c r="AC174" s="304"/>
    </row>
    <row r="175" spans="1:32" ht="18" customHeight="1" x14ac:dyDescent="0.3">
      <c r="A175" s="281" t="s">
        <v>39</v>
      </c>
      <c r="B175" s="282"/>
      <c r="C175" s="282"/>
      <c r="D175" s="282"/>
      <c r="E175" s="282"/>
      <c r="F175" s="282"/>
      <c r="G175" s="282"/>
      <c r="H175" s="282"/>
      <c r="I175" s="282"/>
      <c r="J175" s="283"/>
      <c r="K175" s="7">
        <v>0</v>
      </c>
      <c r="L175" s="7">
        <v>0</v>
      </c>
      <c r="M175" s="7">
        <v>1</v>
      </c>
      <c r="N175" s="7">
        <v>1</v>
      </c>
      <c r="O175" s="7">
        <v>16</v>
      </c>
      <c r="P175" s="7">
        <v>18</v>
      </c>
      <c r="Q175" s="7">
        <v>17</v>
      </c>
      <c r="R175" s="7">
        <v>7</v>
      </c>
      <c r="S175" s="7">
        <v>18</v>
      </c>
      <c r="T175" s="7">
        <v>8</v>
      </c>
      <c r="U175" s="7">
        <v>9</v>
      </c>
      <c r="V175" s="7">
        <v>3</v>
      </c>
      <c r="W175" s="7">
        <v>6</v>
      </c>
      <c r="X175" s="7">
        <v>2</v>
      </c>
      <c r="Y175" s="7">
        <v>5</v>
      </c>
      <c r="Z175" s="7">
        <v>5</v>
      </c>
      <c r="AA175" s="7">
        <v>72</v>
      </c>
      <c r="AB175" s="7">
        <v>44</v>
      </c>
      <c r="AC175" s="7">
        <v>116</v>
      </c>
    </row>
    <row r="176" spans="1:32" ht="18" customHeight="1" x14ac:dyDescent="0.3">
      <c r="A176" s="281" t="s">
        <v>40</v>
      </c>
      <c r="B176" s="282"/>
      <c r="C176" s="282"/>
      <c r="D176" s="282"/>
      <c r="E176" s="282"/>
      <c r="F176" s="282"/>
      <c r="G176" s="282"/>
      <c r="H176" s="282"/>
      <c r="I176" s="282"/>
      <c r="J176" s="283"/>
      <c r="K176" s="7">
        <v>2</v>
      </c>
      <c r="L176" s="7">
        <v>1</v>
      </c>
      <c r="M176" s="7">
        <v>5</v>
      </c>
      <c r="N176" s="7">
        <v>5</v>
      </c>
      <c r="O176" s="7">
        <v>19</v>
      </c>
      <c r="P176" s="7">
        <v>17</v>
      </c>
      <c r="Q176" s="7">
        <v>15</v>
      </c>
      <c r="R176" s="7">
        <v>15</v>
      </c>
      <c r="S176" s="7">
        <v>16</v>
      </c>
      <c r="T176" s="7">
        <v>8</v>
      </c>
      <c r="U176" s="7">
        <v>7</v>
      </c>
      <c r="V176" s="7">
        <v>4</v>
      </c>
      <c r="W176" s="7">
        <v>7</v>
      </c>
      <c r="X176" s="7">
        <v>4</v>
      </c>
      <c r="Y176" s="7">
        <v>3</v>
      </c>
      <c r="Z176" s="7">
        <v>3</v>
      </c>
      <c r="AA176" s="7">
        <v>74</v>
      </c>
      <c r="AB176" s="7">
        <v>57</v>
      </c>
      <c r="AC176" s="7">
        <v>131</v>
      </c>
    </row>
    <row r="177" spans="1:29" ht="18" customHeight="1" x14ac:dyDescent="0.3">
      <c r="A177" s="281" t="s">
        <v>41</v>
      </c>
      <c r="B177" s="282"/>
      <c r="C177" s="282"/>
      <c r="D177" s="282"/>
      <c r="E177" s="282"/>
      <c r="F177" s="282"/>
      <c r="G177" s="282"/>
      <c r="H177" s="282"/>
      <c r="I177" s="282"/>
      <c r="J177" s="283"/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</row>
    <row r="178" spans="1:29" ht="18" customHeight="1" x14ac:dyDescent="0.3">
      <c r="A178" s="281" t="s">
        <v>42</v>
      </c>
      <c r="B178" s="282"/>
      <c r="C178" s="282"/>
      <c r="D178" s="282"/>
      <c r="E178" s="282"/>
      <c r="F178" s="282"/>
      <c r="G178" s="282"/>
      <c r="H178" s="282"/>
      <c r="I178" s="282"/>
      <c r="J178" s="283"/>
      <c r="K178" s="7">
        <v>19</v>
      </c>
      <c r="L178" s="7">
        <v>8</v>
      </c>
      <c r="M178" s="7">
        <v>19</v>
      </c>
      <c r="N178" s="7">
        <v>21</v>
      </c>
      <c r="O178" s="7">
        <v>19</v>
      </c>
      <c r="P178" s="7">
        <v>15</v>
      </c>
      <c r="Q178" s="7">
        <v>17</v>
      </c>
      <c r="R178" s="7">
        <v>16</v>
      </c>
      <c r="S178" s="7">
        <v>10</v>
      </c>
      <c r="T178" s="7">
        <v>14</v>
      </c>
      <c r="U178" s="7">
        <v>9</v>
      </c>
      <c r="V178" s="7">
        <v>6</v>
      </c>
      <c r="W178" s="7">
        <v>4</v>
      </c>
      <c r="X178" s="7">
        <v>5</v>
      </c>
      <c r="Y178" s="7">
        <v>9</v>
      </c>
      <c r="Z178" s="7">
        <v>3</v>
      </c>
      <c r="AA178" s="7">
        <v>106</v>
      </c>
      <c r="AB178" s="7">
        <v>88</v>
      </c>
      <c r="AC178" s="7">
        <v>194</v>
      </c>
    </row>
    <row r="179" spans="1:29" ht="18" customHeight="1" x14ac:dyDescent="0.3">
      <c r="A179" s="224" t="s">
        <v>7</v>
      </c>
      <c r="B179" s="225"/>
      <c r="C179" s="225"/>
      <c r="D179" s="225"/>
      <c r="E179" s="225"/>
      <c r="F179" s="225"/>
      <c r="G179" s="225"/>
      <c r="H179" s="225"/>
      <c r="I179" s="225"/>
      <c r="J179" s="226"/>
      <c r="K179" s="7">
        <v>21</v>
      </c>
      <c r="L179" s="7">
        <v>9</v>
      </c>
      <c r="M179" s="7">
        <v>25</v>
      </c>
      <c r="N179" s="7">
        <v>27</v>
      </c>
      <c r="O179" s="7">
        <v>54</v>
      </c>
      <c r="P179" s="7">
        <v>50</v>
      </c>
      <c r="Q179" s="7">
        <v>49</v>
      </c>
      <c r="R179" s="7">
        <v>38</v>
      </c>
      <c r="S179" s="7">
        <v>44</v>
      </c>
      <c r="T179" s="7">
        <v>30</v>
      </c>
      <c r="U179" s="7">
        <v>25</v>
      </c>
      <c r="V179" s="7">
        <v>13</v>
      </c>
      <c r="W179" s="7">
        <v>17</v>
      </c>
      <c r="X179" s="7">
        <v>11</v>
      </c>
      <c r="Y179" s="7">
        <v>17</v>
      </c>
      <c r="Z179" s="7">
        <v>11</v>
      </c>
      <c r="AA179" s="7">
        <v>252</v>
      </c>
      <c r="AB179" s="7">
        <v>189</v>
      </c>
      <c r="AC179" s="7">
        <v>441</v>
      </c>
    </row>
    <row r="180" spans="1:29" ht="6.75" customHeight="1" x14ac:dyDescent="0.3">
      <c r="A180" s="8"/>
      <c r="B180" s="9"/>
      <c r="C180" s="9"/>
      <c r="D180" s="9"/>
      <c r="E180" s="9"/>
      <c r="F180" s="10"/>
      <c r="G180" s="11"/>
      <c r="H180" s="11"/>
      <c r="I180" s="11"/>
      <c r="J180" s="11"/>
      <c r="K180" s="11"/>
      <c r="L180" s="11"/>
      <c r="M180" s="50"/>
      <c r="N180" s="11"/>
      <c r="O180" s="42"/>
      <c r="P180" s="11"/>
      <c r="Q180" s="12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3"/>
    </row>
    <row r="181" spans="1:29" ht="18" customHeight="1" x14ac:dyDescent="0.3">
      <c r="A181" s="14" t="s">
        <v>45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6"/>
      <c r="M181" s="17"/>
      <c r="N181" s="14" t="s">
        <v>46</v>
      </c>
      <c r="O181" s="15"/>
      <c r="P181" s="15"/>
      <c r="Q181" s="15"/>
      <c r="R181" s="15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9"/>
    </row>
    <row r="182" spans="1:29" ht="45" customHeight="1" x14ac:dyDescent="0.3">
      <c r="A182" s="307" t="s">
        <v>47</v>
      </c>
      <c r="B182" s="312" t="s">
        <v>48</v>
      </c>
      <c r="C182" s="313"/>
      <c r="D182" s="314" t="s">
        <v>49</v>
      </c>
      <c r="E182" s="315"/>
      <c r="F182" s="316"/>
      <c r="G182" s="314" t="s">
        <v>50</v>
      </c>
      <c r="H182" s="315"/>
      <c r="I182" s="315"/>
      <c r="J182" s="316"/>
      <c r="K182" s="307" t="s">
        <v>51</v>
      </c>
      <c r="L182" s="307" t="s">
        <v>52</v>
      </c>
      <c r="M182" s="20"/>
      <c r="N182" s="309" t="s">
        <v>53</v>
      </c>
      <c r="O182" s="310"/>
      <c r="P182" s="311"/>
      <c r="Q182" s="309" t="s">
        <v>54</v>
      </c>
      <c r="R182" s="310"/>
      <c r="S182" s="311"/>
      <c r="T182" s="309" t="s">
        <v>55</v>
      </c>
      <c r="U182" s="310"/>
      <c r="V182" s="310"/>
      <c r="W182" s="310"/>
      <c r="X182" s="310"/>
      <c r="Y182" s="310"/>
      <c r="Z182" s="310"/>
      <c r="AA182" s="310"/>
      <c r="AB182" s="310"/>
      <c r="AC182" s="311"/>
    </row>
    <row r="183" spans="1:29" ht="48" customHeight="1" x14ac:dyDescent="0.3">
      <c r="A183" s="308"/>
      <c r="B183" s="21" t="s">
        <v>7</v>
      </c>
      <c r="C183" s="22" t="s">
        <v>87</v>
      </c>
      <c r="D183" s="22" t="s">
        <v>56</v>
      </c>
      <c r="E183" s="22" t="s">
        <v>88</v>
      </c>
      <c r="F183" s="22" t="s">
        <v>89</v>
      </c>
      <c r="G183" s="23" t="s">
        <v>56</v>
      </c>
      <c r="H183" s="22" t="s">
        <v>90</v>
      </c>
      <c r="I183" s="23" t="s">
        <v>57</v>
      </c>
      <c r="J183" s="23" t="s">
        <v>58</v>
      </c>
      <c r="K183" s="308"/>
      <c r="L183" s="308"/>
      <c r="M183" s="20"/>
      <c r="N183" s="309">
        <v>0</v>
      </c>
      <c r="O183" s="310"/>
      <c r="P183" s="311"/>
      <c r="Q183" s="287">
        <v>0</v>
      </c>
      <c r="R183" s="288"/>
      <c r="S183" s="289"/>
      <c r="T183" s="309">
        <v>0</v>
      </c>
      <c r="U183" s="310"/>
      <c r="V183" s="310"/>
      <c r="W183" s="310"/>
      <c r="X183" s="310"/>
      <c r="Y183" s="310"/>
      <c r="Z183" s="310"/>
      <c r="AA183" s="310"/>
      <c r="AB183" s="310"/>
      <c r="AC183" s="311"/>
    </row>
    <row r="184" spans="1:29" ht="38.25" customHeight="1" x14ac:dyDescent="0.3">
      <c r="A184" s="270">
        <v>3401</v>
      </c>
      <c r="B184" s="270">
        <v>745</v>
      </c>
      <c r="C184" s="270">
        <v>20</v>
      </c>
      <c r="D184" s="270">
        <v>617</v>
      </c>
      <c r="E184" s="270">
        <v>175</v>
      </c>
      <c r="F184" s="270">
        <v>77</v>
      </c>
      <c r="G184" s="270">
        <v>65</v>
      </c>
      <c r="H184" s="270">
        <v>39</v>
      </c>
      <c r="I184" s="270">
        <v>21</v>
      </c>
      <c r="J184" s="270">
        <v>125</v>
      </c>
      <c r="K184" s="270">
        <v>93</v>
      </c>
      <c r="L184" s="270">
        <v>273</v>
      </c>
      <c r="M184" s="20"/>
      <c r="N184" s="309" t="s">
        <v>59</v>
      </c>
      <c r="O184" s="310"/>
      <c r="P184" s="311"/>
      <c r="Q184" s="309" t="s">
        <v>60</v>
      </c>
      <c r="R184" s="310"/>
      <c r="S184" s="311"/>
      <c r="T184" s="293" t="s">
        <v>61</v>
      </c>
      <c r="U184" s="294"/>
      <c r="V184" s="294"/>
      <c r="W184" s="295"/>
      <c r="X184" s="293" t="s">
        <v>62</v>
      </c>
      <c r="Y184" s="294"/>
      <c r="Z184" s="294"/>
      <c r="AA184" s="294"/>
      <c r="AB184" s="294"/>
      <c r="AC184" s="295"/>
    </row>
    <row r="185" spans="1:29" ht="19.5" customHeight="1" x14ac:dyDescent="0.3">
      <c r="A185" s="271"/>
      <c r="B185" s="271"/>
      <c r="C185" s="271"/>
      <c r="D185" s="271"/>
      <c r="E185" s="271"/>
      <c r="F185" s="271"/>
      <c r="G185" s="271"/>
      <c r="H185" s="271"/>
      <c r="I185" s="271"/>
      <c r="J185" s="271"/>
      <c r="K185" s="271"/>
      <c r="L185" s="271"/>
      <c r="M185" s="54"/>
      <c r="N185" s="287">
        <v>0</v>
      </c>
      <c r="O185" s="288"/>
      <c r="P185" s="289"/>
      <c r="Q185" s="287">
        <v>0</v>
      </c>
      <c r="R185" s="288"/>
      <c r="S185" s="289"/>
      <c r="T185" s="287">
        <v>0</v>
      </c>
      <c r="U185" s="288"/>
      <c r="V185" s="288"/>
      <c r="W185" s="289"/>
      <c r="X185" s="24"/>
      <c r="Y185" s="309" t="s">
        <v>0</v>
      </c>
      <c r="Z185" s="311"/>
      <c r="AA185" s="25" t="s">
        <v>1</v>
      </c>
      <c r="AB185" s="309" t="s">
        <v>63</v>
      </c>
      <c r="AC185" s="311"/>
    </row>
    <row r="186" spans="1:29" ht="18" customHeight="1" x14ac:dyDescent="0.3">
      <c r="A186" s="271"/>
      <c r="B186" s="271"/>
      <c r="C186" s="271"/>
      <c r="D186" s="271"/>
      <c r="E186" s="271"/>
      <c r="F186" s="271"/>
      <c r="G186" s="271"/>
      <c r="H186" s="271"/>
      <c r="I186" s="271"/>
      <c r="J186" s="271"/>
      <c r="K186" s="271"/>
      <c r="L186" s="271"/>
      <c r="M186" s="54"/>
      <c r="N186" s="290"/>
      <c r="O186" s="291"/>
      <c r="P186" s="292"/>
      <c r="Q186" s="290"/>
      <c r="R186" s="291"/>
      <c r="S186" s="292"/>
      <c r="T186" s="290"/>
      <c r="U186" s="291"/>
      <c r="V186" s="291"/>
      <c r="W186" s="292"/>
      <c r="X186" s="26" t="s">
        <v>64</v>
      </c>
      <c r="Y186" s="317">
        <v>0</v>
      </c>
      <c r="Z186" s="317"/>
      <c r="AA186" s="25">
        <v>0</v>
      </c>
      <c r="AB186" s="317">
        <v>0</v>
      </c>
      <c r="AC186" s="317"/>
    </row>
    <row r="187" spans="1:29" ht="18" customHeight="1" x14ac:dyDescent="0.3">
      <c r="A187" s="271"/>
      <c r="B187" s="271"/>
      <c r="C187" s="271"/>
      <c r="D187" s="271"/>
      <c r="E187" s="271"/>
      <c r="F187" s="271"/>
      <c r="G187" s="271"/>
      <c r="H187" s="271"/>
      <c r="I187" s="271"/>
      <c r="J187" s="271"/>
      <c r="K187" s="271"/>
      <c r="L187" s="271"/>
      <c r="M187" s="54"/>
      <c r="N187" s="290"/>
      <c r="O187" s="291"/>
      <c r="P187" s="292"/>
      <c r="Q187" s="290"/>
      <c r="R187" s="291"/>
      <c r="S187" s="292"/>
      <c r="T187" s="290"/>
      <c r="U187" s="291"/>
      <c r="V187" s="291"/>
      <c r="W187" s="292"/>
      <c r="X187" s="26" t="s">
        <v>65</v>
      </c>
      <c r="Y187" s="317">
        <v>0</v>
      </c>
      <c r="Z187" s="317"/>
      <c r="AA187" s="25">
        <v>0</v>
      </c>
      <c r="AB187" s="317">
        <v>0</v>
      </c>
      <c r="AC187" s="317"/>
    </row>
    <row r="188" spans="1:29" ht="18" customHeight="1" x14ac:dyDescent="0.3">
      <c r="A188" s="272"/>
      <c r="B188" s="272"/>
      <c r="C188" s="272"/>
      <c r="D188" s="272"/>
      <c r="E188" s="272"/>
      <c r="F188" s="272"/>
      <c r="G188" s="272"/>
      <c r="H188" s="272"/>
      <c r="I188" s="272"/>
      <c r="J188" s="272"/>
      <c r="K188" s="272"/>
      <c r="L188" s="272"/>
      <c r="M188" s="54"/>
      <c r="N188" s="293"/>
      <c r="O188" s="294"/>
      <c r="P188" s="295"/>
      <c r="Q188" s="293"/>
      <c r="R188" s="294"/>
      <c r="S188" s="295"/>
      <c r="T188" s="293"/>
      <c r="U188" s="294"/>
      <c r="V188" s="294"/>
      <c r="W188" s="295"/>
      <c r="X188" s="26" t="s">
        <v>66</v>
      </c>
      <c r="Y188" s="317">
        <v>0</v>
      </c>
      <c r="Z188" s="317"/>
      <c r="AA188" s="25">
        <v>0</v>
      </c>
      <c r="AB188" s="317">
        <v>0</v>
      </c>
      <c r="AC188" s="317"/>
    </row>
    <row r="189" spans="1:29" ht="8.25" customHeight="1" x14ac:dyDescent="0.3">
      <c r="A189" s="27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59"/>
      <c r="N189" s="28"/>
      <c r="O189" s="28"/>
      <c r="P189" s="28"/>
      <c r="Q189" s="28"/>
      <c r="R189" s="28"/>
      <c r="S189" s="28"/>
      <c r="T189" s="28"/>
      <c r="U189" s="29"/>
      <c r="V189" s="29"/>
      <c r="W189" s="29"/>
      <c r="X189" s="29"/>
      <c r="Y189" s="29"/>
      <c r="Z189" s="29"/>
      <c r="AA189" s="28"/>
      <c r="AB189" s="28"/>
      <c r="AC189" s="4"/>
    </row>
    <row r="190" spans="1:29" ht="18" customHeight="1" x14ac:dyDescent="0.3">
      <c r="A190" s="14" t="s">
        <v>67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6"/>
      <c r="M190" s="30"/>
      <c r="N190" s="14" t="s">
        <v>68</v>
      </c>
      <c r="O190" s="16"/>
      <c r="P190" s="15"/>
      <c r="Q190" s="31"/>
      <c r="R190" s="15"/>
      <c r="S190" s="15"/>
      <c r="T190" s="15"/>
      <c r="U190" s="15"/>
      <c r="V190" s="15"/>
      <c r="W190" s="15"/>
      <c r="X190" s="15"/>
      <c r="Y190" s="15"/>
      <c r="Z190" s="15"/>
      <c r="AA190" s="18"/>
      <c r="AB190" s="18"/>
      <c r="AC190" s="32"/>
    </row>
    <row r="191" spans="1:29" ht="57" customHeight="1" x14ac:dyDescent="0.3">
      <c r="A191" s="205"/>
      <c r="B191" s="206"/>
      <c r="C191" s="206"/>
      <c r="D191" s="206"/>
      <c r="E191" s="206"/>
      <c r="F191" s="207"/>
      <c r="G191" s="224" t="s">
        <v>11</v>
      </c>
      <c r="H191" s="226"/>
      <c r="I191" s="224" t="s">
        <v>12</v>
      </c>
      <c r="J191" s="226"/>
      <c r="K191" s="33" t="s">
        <v>69</v>
      </c>
      <c r="L191" s="34"/>
      <c r="M191" s="62"/>
      <c r="N191" s="314" t="s">
        <v>70</v>
      </c>
      <c r="O191" s="315"/>
      <c r="P191" s="316"/>
      <c r="Q191" s="314" t="s">
        <v>71</v>
      </c>
      <c r="R191" s="315"/>
      <c r="S191" s="316"/>
      <c r="T191" s="314" t="s">
        <v>72</v>
      </c>
      <c r="U191" s="315"/>
      <c r="V191" s="316"/>
      <c r="W191" s="314" t="s">
        <v>73</v>
      </c>
      <c r="X191" s="315"/>
      <c r="Y191" s="315"/>
      <c r="Z191" s="316"/>
      <c r="AA191" s="314" t="s">
        <v>74</v>
      </c>
      <c r="AB191" s="315"/>
      <c r="AC191" s="316"/>
    </row>
    <row r="192" spans="1:29" ht="13.5" customHeight="1" x14ac:dyDescent="0.3">
      <c r="A192" s="208"/>
      <c r="B192" s="209"/>
      <c r="C192" s="209"/>
      <c r="D192" s="209"/>
      <c r="E192" s="209"/>
      <c r="F192" s="210"/>
      <c r="G192" s="7" t="s">
        <v>75</v>
      </c>
      <c r="H192" s="7" t="s">
        <v>13</v>
      </c>
      <c r="I192" s="7" t="s">
        <v>75</v>
      </c>
      <c r="J192" s="7" t="s">
        <v>13</v>
      </c>
      <c r="K192" s="7" t="s">
        <v>75</v>
      </c>
      <c r="L192" s="7" t="s">
        <v>13</v>
      </c>
      <c r="M192" s="63"/>
      <c r="N192" s="35" t="s">
        <v>0</v>
      </c>
      <c r="O192" s="36" t="s">
        <v>1</v>
      </c>
      <c r="P192" s="36" t="s">
        <v>91</v>
      </c>
      <c r="Q192" s="35" t="s">
        <v>0</v>
      </c>
      <c r="R192" s="36" t="s">
        <v>1</v>
      </c>
      <c r="S192" s="36" t="s">
        <v>91</v>
      </c>
      <c r="T192" s="35" t="s">
        <v>0</v>
      </c>
      <c r="U192" s="36" t="s">
        <v>1</v>
      </c>
      <c r="V192" s="36" t="s">
        <v>91</v>
      </c>
      <c r="W192" s="37"/>
      <c r="X192" s="35" t="s">
        <v>0</v>
      </c>
      <c r="Y192" s="38" t="s">
        <v>1</v>
      </c>
      <c r="Z192" s="39" t="s">
        <v>76</v>
      </c>
      <c r="AA192" s="35" t="s">
        <v>0</v>
      </c>
      <c r="AB192" s="38" t="s">
        <v>1</v>
      </c>
      <c r="AC192" s="39" t="s">
        <v>76</v>
      </c>
    </row>
    <row r="193" spans="1:29" ht="24.9" customHeight="1" x14ac:dyDescent="0.3">
      <c r="A193" s="299" t="s">
        <v>77</v>
      </c>
      <c r="B193" s="318"/>
      <c r="C193" s="318"/>
      <c r="D193" s="318"/>
      <c r="E193" s="318"/>
      <c r="F193" s="300"/>
      <c r="G193" s="7">
        <v>88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63"/>
      <c r="N193" s="321">
        <v>21</v>
      </c>
      <c r="O193" s="321">
        <v>626</v>
      </c>
      <c r="P193" s="321">
        <v>1390</v>
      </c>
      <c r="Q193" s="321">
        <v>0</v>
      </c>
      <c r="R193" s="321">
        <v>101</v>
      </c>
      <c r="S193" s="321">
        <v>329</v>
      </c>
      <c r="T193" s="321">
        <v>0</v>
      </c>
      <c r="U193" s="321">
        <v>13</v>
      </c>
      <c r="V193" s="321">
        <v>54</v>
      </c>
      <c r="W193" s="40" t="s">
        <v>64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</row>
    <row r="194" spans="1:29" ht="24.9" customHeight="1" x14ac:dyDescent="0.3">
      <c r="A194" s="299" t="s">
        <v>8</v>
      </c>
      <c r="B194" s="318"/>
      <c r="C194" s="318"/>
      <c r="D194" s="318"/>
      <c r="E194" s="318"/>
      <c r="F194" s="300"/>
      <c r="G194" s="7">
        <v>9</v>
      </c>
      <c r="H194" s="7">
        <v>1</v>
      </c>
      <c r="I194" s="7">
        <v>0</v>
      </c>
      <c r="J194" s="7">
        <v>0</v>
      </c>
      <c r="K194" s="7">
        <v>0</v>
      </c>
      <c r="L194" s="7">
        <v>0</v>
      </c>
      <c r="M194" s="63"/>
      <c r="N194" s="322"/>
      <c r="O194" s="322"/>
      <c r="P194" s="322"/>
      <c r="Q194" s="322"/>
      <c r="R194" s="322"/>
      <c r="S194" s="322"/>
      <c r="T194" s="322"/>
      <c r="U194" s="322"/>
      <c r="V194" s="322"/>
      <c r="W194" s="40" t="s">
        <v>65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</row>
    <row r="195" spans="1:29" ht="24.9" customHeight="1" x14ac:dyDescent="0.3">
      <c r="A195" s="309" t="s">
        <v>78</v>
      </c>
      <c r="B195" s="310"/>
      <c r="C195" s="310"/>
      <c r="D195" s="310"/>
      <c r="E195" s="310"/>
      <c r="F195" s="311"/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63"/>
      <c r="N195" s="322"/>
      <c r="O195" s="322"/>
      <c r="P195" s="322"/>
      <c r="Q195" s="322"/>
      <c r="R195" s="322"/>
      <c r="S195" s="322"/>
      <c r="T195" s="322"/>
      <c r="U195" s="322"/>
      <c r="V195" s="322"/>
      <c r="W195" s="319" t="s">
        <v>66</v>
      </c>
      <c r="X195" s="321">
        <v>0</v>
      </c>
      <c r="Y195" s="321">
        <v>0</v>
      </c>
      <c r="Z195" s="321">
        <v>0</v>
      </c>
      <c r="AA195" s="321">
        <v>0</v>
      </c>
      <c r="AB195" s="321">
        <v>0</v>
      </c>
      <c r="AC195" s="321">
        <v>0</v>
      </c>
    </row>
    <row r="196" spans="1:29" ht="24.9" customHeight="1" x14ac:dyDescent="0.3">
      <c r="A196" s="224" t="s">
        <v>7</v>
      </c>
      <c r="B196" s="225"/>
      <c r="C196" s="225"/>
      <c r="D196" s="225"/>
      <c r="E196" s="225"/>
      <c r="F196" s="226"/>
      <c r="G196" s="7">
        <v>97</v>
      </c>
      <c r="H196" s="7">
        <v>1</v>
      </c>
      <c r="I196" s="7">
        <v>0</v>
      </c>
      <c r="J196" s="7">
        <v>0</v>
      </c>
      <c r="K196" s="7">
        <v>0</v>
      </c>
      <c r="L196" s="7">
        <v>0</v>
      </c>
      <c r="M196" s="63"/>
      <c r="N196" s="323"/>
      <c r="O196" s="323"/>
      <c r="P196" s="323"/>
      <c r="Q196" s="323"/>
      <c r="R196" s="323"/>
      <c r="S196" s="323"/>
      <c r="T196" s="323"/>
      <c r="U196" s="323"/>
      <c r="V196" s="323"/>
      <c r="W196" s="320"/>
      <c r="X196" s="323"/>
      <c r="Y196" s="323"/>
      <c r="Z196" s="323"/>
      <c r="AA196" s="323"/>
      <c r="AB196" s="323"/>
      <c r="AC196" s="323"/>
    </row>
  </sheetData>
  <mergeCells count="779">
    <mergeCell ref="A194:F194"/>
    <mergeCell ref="A195:F195"/>
    <mergeCell ref="W195:W196"/>
    <mergeCell ref="A196:F196"/>
    <mergeCell ref="T191:V191"/>
    <mergeCell ref="W191:Z191"/>
    <mergeCell ref="AA191:AC191"/>
    <mergeCell ref="A193:F193"/>
    <mergeCell ref="N193:N196"/>
    <mergeCell ref="O193:O196"/>
    <mergeCell ref="P193:P196"/>
    <mergeCell ref="Q193:Q196"/>
    <mergeCell ref="R193:R196"/>
    <mergeCell ref="S193:S196"/>
    <mergeCell ref="X195:X196"/>
    <mergeCell ref="Y195:Y196"/>
    <mergeCell ref="Z195:Z196"/>
    <mergeCell ref="AA195:AA196"/>
    <mergeCell ref="AB195:AB196"/>
    <mergeCell ref="AC195:AC196"/>
    <mergeCell ref="T193:T196"/>
    <mergeCell ref="U193:U196"/>
    <mergeCell ref="V193:V196"/>
    <mergeCell ref="A191:F192"/>
    <mergeCell ref="G191:H191"/>
    <mergeCell ref="I191:J191"/>
    <mergeCell ref="N191:P191"/>
    <mergeCell ref="Q191:S191"/>
    <mergeCell ref="G184:G188"/>
    <mergeCell ref="H184:H188"/>
    <mergeCell ref="I184:I188"/>
    <mergeCell ref="J184:J188"/>
    <mergeCell ref="K184:K188"/>
    <mergeCell ref="L184:L188"/>
    <mergeCell ref="A184:A188"/>
    <mergeCell ref="B184:B188"/>
    <mergeCell ref="C184:C188"/>
    <mergeCell ref="D184:D188"/>
    <mergeCell ref="E184:E188"/>
    <mergeCell ref="F184:F188"/>
    <mergeCell ref="N184:P184"/>
    <mergeCell ref="Q184:S184"/>
    <mergeCell ref="T184:W184"/>
    <mergeCell ref="X184:AC184"/>
    <mergeCell ref="N185:P188"/>
    <mergeCell ref="Q185:S188"/>
    <mergeCell ref="T185:W188"/>
    <mergeCell ref="Y185:Z185"/>
    <mergeCell ref="AB185:AC185"/>
    <mergeCell ref="Y186:Z186"/>
    <mergeCell ref="AB186:AC186"/>
    <mergeCell ref="Y187:Z187"/>
    <mergeCell ref="AB187:AC187"/>
    <mergeCell ref="Y188:Z188"/>
    <mergeCell ref="AB188:AC188"/>
    <mergeCell ref="K182:K183"/>
    <mergeCell ref="L182:L183"/>
    <mergeCell ref="N182:P182"/>
    <mergeCell ref="Q182:S182"/>
    <mergeCell ref="T182:AC182"/>
    <mergeCell ref="N183:P183"/>
    <mergeCell ref="Q183:S183"/>
    <mergeCell ref="T183:AC183"/>
    <mergeCell ref="A176:J176"/>
    <mergeCell ref="A177:J177"/>
    <mergeCell ref="A178:J178"/>
    <mergeCell ref="A179:J179"/>
    <mergeCell ref="A182:A183"/>
    <mergeCell ref="B182:C182"/>
    <mergeCell ref="D182:F182"/>
    <mergeCell ref="G182:J182"/>
    <mergeCell ref="U173:V173"/>
    <mergeCell ref="W173:X173"/>
    <mergeCell ref="Y173:Z173"/>
    <mergeCell ref="AA173:AB173"/>
    <mergeCell ref="AC173:AC174"/>
    <mergeCell ref="A175:J175"/>
    <mergeCell ref="A173:J174"/>
    <mergeCell ref="K173:L173"/>
    <mergeCell ref="M173:N173"/>
    <mergeCell ref="O173:P173"/>
    <mergeCell ref="Q173:R173"/>
    <mergeCell ref="S173:T173"/>
    <mergeCell ref="A171:J171"/>
    <mergeCell ref="K171:L171"/>
    <mergeCell ref="M171:N171"/>
    <mergeCell ref="O171:Q171"/>
    <mergeCell ref="R171:T171"/>
    <mergeCell ref="U171:W171"/>
    <mergeCell ref="X171:Y171"/>
    <mergeCell ref="Z171:AA171"/>
    <mergeCell ref="AB171:AC171"/>
    <mergeCell ref="A170:J170"/>
    <mergeCell ref="K170:L170"/>
    <mergeCell ref="M170:N170"/>
    <mergeCell ref="O170:Q170"/>
    <mergeCell ref="R170:T170"/>
    <mergeCell ref="U170:W170"/>
    <mergeCell ref="X170:Y170"/>
    <mergeCell ref="Z170:AA170"/>
    <mergeCell ref="AB170:AC170"/>
    <mergeCell ref="A169:J169"/>
    <mergeCell ref="K169:L169"/>
    <mergeCell ref="M169:N169"/>
    <mergeCell ref="O169:Q169"/>
    <mergeCell ref="R169:T169"/>
    <mergeCell ref="U169:W169"/>
    <mergeCell ref="X169:Y169"/>
    <mergeCell ref="Z169:AA169"/>
    <mergeCell ref="AB169:AC169"/>
    <mergeCell ref="A168:J168"/>
    <mergeCell ref="K168:L168"/>
    <mergeCell ref="M168:N168"/>
    <mergeCell ref="O168:Q168"/>
    <mergeCell ref="R168:T168"/>
    <mergeCell ref="U168:W168"/>
    <mergeCell ref="X168:Y168"/>
    <mergeCell ref="Z168:AA168"/>
    <mergeCell ref="AB168:AC168"/>
    <mergeCell ref="AB164:AC166"/>
    <mergeCell ref="A165:J166"/>
    <mergeCell ref="U165:W166"/>
    <mergeCell ref="X165:Y166"/>
    <mergeCell ref="Z165:AA166"/>
    <mergeCell ref="A167:J167"/>
    <mergeCell ref="K167:L167"/>
    <mergeCell ref="M167:N167"/>
    <mergeCell ref="O167:Q167"/>
    <mergeCell ref="R167:T167"/>
    <mergeCell ref="A164:J164"/>
    <mergeCell ref="K164:L166"/>
    <mergeCell ref="M164:N166"/>
    <mergeCell ref="O164:Q166"/>
    <mergeCell ref="R164:T166"/>
    <mergeCell ref="U164:AA164"/>
    <mergeCell ref="U167:W167"/>
    <mergeCell ref="X167:Y167"/>
    <mergeCell ref="Z167:AA167"/>
    <mergeCell ref="AB167:AC167"/>
    <mergeCell ref="Y160:AA161"/>
    <mergeCell ref="AB160:AC161"/>
    <mergeCell ref="A162:G162"/>
    <mergeCell ref="H162:N162"/>
    <mergeCell ref="T162:Y162"/>
    <mergeCell ref="Z162:AC162"/>
    <mergeCell ref="A158:AC158"/>
    <mergeCell ref="A159:W159"/>
    <mergeCell ref="Y159:Z159"/>
    <mergeCell ref="A160:D160"/>
    <mergeCell ref="E160:H160"/>
    <mergeCell ref="I160:J160"/>
    <mergeCell ref="K160:L160"/>
    <mergeCell ref="M160:N160"/>
    <mergeCell ref="O160:R160"/>
    <mergeCell ref="T160:X161"/>
    <mergeCell ref="A155:F155"/>
    <mergeCell ref="A156:F156"/>
    <mergeCell ref="W156:W157"/>
    <mergeCell ref="A157:F157"/>
    <mergeCell ref="T152:V152"/>
    <mergeCell ref="W152:Z152"/>
    <mergeCell ref="AA152:AC152"/>
    <mergeCell ref="A154:F154"/>
    <mergeCell ref="N154:N157"/>
    <mergeCell ref="O154:O157"/>
    <mergeCell ref="P154:P157"/>
    <mergeCell ref="Q154:Q157"/>
    <mergeCell ref="R154:R157"/>
    <mergeCell ref="S154:S157"/>
    <mergeCell ref="X156:X157"/>
    <mergeCell ref="Y156:Y157"/>
    <mergeCell ref="Z156:Z157"/>
    <mergeCell ref="AA156:AA157"/>
    <mergeCell ref="AB156:AB157"/>
    <mergeCell ref="AC156:AC157"/>
    <mergeCell ref="T154:T157"/>
    <mergeCell ref="U154:U157"/>
    <mergeCell ref="V154:V157"/>
    <mergeCell ref="A152:F153"/>
    <mergeCell ref="G152:H152"/>
    <mergeCell ref="I152:J152"/>
    <mergeCell ref="N152:P152"/>
    <mergeCell ref="Q152:S152"/>
    <mergeCell ref="G145:G149"/>
    <mergeCell ref="H145:H149"/>
    <mergeCell ref="I145:I149"/>
    <mergeCell ref="J145:J149"/>
    <mergeCell ref="K145:K149"/>
    <mergeCell ref="L145:L149"/>
    <mergeCell ref="A145:A149"/>
    <mergeCell ref="B145:B149"/>
    <mergeCell ref="C145:C149"/>
    <mergeCell ref="D145:D149"/>
    <mergeCell ref="E145:E149"/>
    <mergeCell ref="F145:F149"/>
    <mergeCell ref="N145:P145"/>
    <mergeCell ref="Q145:S145"/>
    <mergeCell ref="T145:W145"/>
    <mergeCell ref="X145:AC145"/>
    <mergeCell ref="N146:P149"/>
    <mergeCell ref="Q146:S149"/>
    <mergeCell ref="T146:W149"/>
    <mergeCell ref="Y146:Z146"/>
    <mergeCell ref="AB146:AC146"/>
    <mergeCell ref="Y147:Z147"/>
    <mergeCell ref="AB147:AC147"/>
    <mergeCell ref="Y148:Z148"/>
    <mergeCell ref="AB148:AC148"/>
    <mergeCell ref="Y149:Z149"/>
    <mergeCell ref="AB149:AC149"/>
    <mergeCell ref="L143:L144"/>
    <mergeCell ref="N143:P143"/>
    <mergeCell ref="Q143:S143"/>
    <mergeCell ref="T143:AC143"/>
    <mergeCell ref="N144:P144"/>
    <mergeCell ref="Q144:S144"/>
    <mergeCell ref="T144:AC144"/>
    <mergeCell ref="A137:J137"/>
    <mergeCell ref="A138:J138"/>
    <mergeCell ref="A139:J139"/>
    <mergeCell ref="A140:J140"/>
    <mergeCell ref="O141:P141"/>
    <mergeCell ref="A143:A144"/>
    <mergeCell ref="B143:C143"/>
    <mergeCell ref="D143:F143"/>
    <mergeCell ref="G143:J143"/>
    <mergeCell ref="K143:K144"/>
    <mergeCell ref="U134:V134"/>
    <mergeCell ref="W134:X134"/>
    <mergeCell ref="Y134:Z134"/>
    <mergeCell ref="AA134:AB134"/>
    <mergeCell ref="AC134:AC135"/>
    <mergeCell ref="A136:J136"/>
    <mergeCell ref="A134:J135"/>
    <mergeCell ref="K134:L134"/>
    <mergeCell ref="M134:N134"/>
    <mergeCell ref="O134:P134"/>
    <mergeCell ref="Q134:R134"/>
    <mergeCell ref="S134:T134"/>
    <mergeCell ref="A132:J132"/>
    <mergeCell ref="K132:L132"/>
    <mergeCell ref="M132:N132"/>
    <mergeCell ref="O132:Q132"/>
    <mergeCell ref="R132:T132"/>
    <mergeCell ref="U132:W132"/>
    <mergeCell ref="X132:Y132"/>
    <mergeCell ref="Z132:AA132"/>
    <mergeCell ref="AB132:AC132"/>
    <mergeCell ref="A131:J131"/>
    <mergeCell ref="K131:L131"/>
    <mergeCell ref="M131:N131"/>
    <mergeCell ref="O131:Q131"/>
    <mergeCell ref="R131:T131"/>
    <mergeCell ref="U131:W131"/>
    <mergeCell ref="X131:Y131"/>
    <mergeCell ref="Z131:AA131"/>
    <mergeCell ref="AB131:AC131"/>
    <mergeCell ref="A130:J130"/>
    <mergeCell ref="K130:L130"/>
    <mergeCell ref="M130:N130"/>
    <mergeCell ref="O130:Q130"/>
    <mergeCell ref="R130:T130"/>
    <mergeCell ref="U130:W130"/>
    <mergeCell ref="X130:Y130"/>
    <mergeCell ref="Z130:AA130"/>
    <mergeCell ref="AB130:AC130"/>
    <mergeCell ref="A129:J129"/>
    <mergeCell ref="K129:L129"/>
    <mergeCell ref="M129:N129"/>
    <mergeCell ref="O129:Q129"/>
    <mergeCell ref="R129:T129"/>
    <mergeCell ref="U129:W129"/>
    <mergeCell ref="X129:Y129"/>
    <mergeCell ref="Z129:AA129"/>
    <mergeCell ref="AB129:AC129"/>
    <mergeCell ref="AB125:AC127"/>
    <mergeCell ref="A126:J127"/>
    <mergeCell ref="U126:W127"/>
    <mergeCell ref="X126:Y127"/>
    <mergeCell ref="Z126:AA127"/>
    <mergeCell ref="A128:J128"/>
    <mergeCell ref="K128:L128"/>
    <mergeCell ref="M128:N128"/>
    <mergeCell ref="O128:Q128"/>
    <mergeCell ref="R128:T128"/>
    <mergeCell ref="A125:J125"/>
    <mergeCell ref="K125:L127"/>
    <mergeCell ref="M125:N127"/>
    <mergeCell ref="O125:Q127"/>
    <mergeCell ref="R125:T127"/>
    <mergeCell ref="U125:AA125"/>
    <mergeCell ref="U128:W128"/>
    <mergeCell ref="X128:Y128"/>
    <mergeCell ref="Z128:AA128"/>
    <mergeCell ref="AB128:AC128"/>
    <mergeCell ref="Y121:AA122"/>
    <mergeCell ref="AB121:AC122"/>
    <mergeCell ref="A123:G123"/>
    <mergeCell ref="H123:N123"/>
    <mergeCell ref="T123:Y123"/>
    <mergeCell ref="Z123:AC123"/>
    <mergeCell ref="A119:AC119"/>
    <mergeCell ref="A120:W120"/>
    <mergeCell ref="Y120:Z120"/>
    <mergeCell ref="A121:D121"/>
    <mergeCell ref="E121:H121"/>
    <mergeCell ref="I121:J121"/>
    <mergeCell ref="K121:L121"/>
    <mergeCell ref="M121:N121"/>
    <mergeCell ref="O121:R121"/>
    <mergeCell ref="T121:X122"/>
    <mergeCell ref="A116:F116"/>
    <mergeCell ref="A117:F117"/>
    <mergeCell ref="W117:W118"/>
    <mergeCell ref="A118:F118"/>
    <mergeCell ref="T113:V113"/>
    <mergeCell ref="W113:Z113"/>
    <mergeCell ref="AA113:AC113"/>
    <mergeCell ref="A115:F115"/>
    <mergeCell ref="N115:N118"/>
    <mergeCell ref="O115:O118"/>
    <mergeCell ref="P115:P118"/>
    <mergeCell ref="Q115:Q118"/>
    <mergeCell ref="R115:R118"/>
    <mergeCell ref="S115:S118"/>
    <mergeCell ref="X117:X118"/>
    <mergeCell ref="Y117:Y118"/>
    <mergeCell ref="Z117:Z118"/>
    <mergeCell ref="AA117:AA118"/>
    <mergeCell ref="AB117:AB118"/>
    <mergeCell ref="AC117:AC118"/>
    <mergeCell ref="T115:T118"/>
    <mergeCell ref="U115:U118"/>
    <mergeCell ref="V115:V118"/>
    <mergeCell ref="A113:F114"/>
    <mergeCell ref="G113:H113"/>
    <mergeCell ref="I113:J113"/>
    <mergeCell ref="N113:P113"/>
    <mergeCell ref="Q113:S113"/>
    <mergeCell ref="G106:G110"/>
    <mergeCell ref="H106:H110"/>
    <mergeCell ref="I106:I110"/>
    <mergeCell ref="J106:J110"/>
    <mergeCell ref="K106:K110"/>
    <mergeCell ref="L106:L110"/>
    <mergeCell ref="A106:A110"/>
    <mergeCell ref="B106:B110"/>
    <mergeCell ref="C106:C110"/>
    <mergeCell ref="D106:D110"/>
    <mergeCell ref="E106:E110"/>
    <mergeCell ref="F106:F110"/>
    <mergeCell ref="N106:P106"/>
    <mergeCell ref="Q106:S106"/>
    <mergeCell ref="T106:W106"/>
    <mergeCell ref="X106:AC106"/>
    <mergeCell ref="N107:P110"/>
    <mergeCell ref="Q107:S110"/>
    <mergeCell ref="T107:W110"/>
    <mergeCell ref="Y107:Z107"/>
    <mergeCell ref="AB107:AC107"/>
    <mergeCell ref="Y108:Z108"/>
    <mergeCell ref="AB108:AC108"/>
    <mergeCell ref="Y109:Z109"/>
    <mergeCell ref="AB109:AC109"/>
    <mergeCell ref="Y110:Z110"/>
    <mergeCell ref="AB110:AC110"/>
    <mergeCell ref="L104:L105"/>
    <mergeCell ref="N104:P104"/>
    <mergeCell ref="Q104:S104"/>
    <mergeCell ref="T104:AC104"/>
    <mergeCell ref="N105:P105"/>
    <mergeCell ref="Q105:S105"/>
    <mergeCell ref="T105:AC105"/>
    <mergeCell ref="A98:J98"/>
    <mergeCell ref="A99:J99"/>
    <mergeCell ref="A100:J100"/>
    <mergeCell ref="A101:J101"/>
    <mergeCell ref="O102:P102"/>
    <mergeCell ref="A104:A105"/>
    <mergeCell ref="B104:C104"/>
    <mergeCell ref="D104:F104"/>
    <mergeCell ref="G104:J104"/>
    <mergeCell ref="K104:K105"/>
    <mergeCell ref="U95:V95"/>
    <mergeCell ref="W95:X95"/>
    <mergeCell ref="Y95:Z95"/>
    <mergeCell ref="AA95:AB95"/>
    <mergeCell ref="AC95:AC96"/>
    <mergeCell ref="A97:J97"/>
    <mergeCell ref="A95:J96"/>
    <mergeCell ref="K95:L95"/>
    <mergeCell ref="M95:N95"/>
    <mergeCell ref="O95:P95"/>
    <mergeCell ref="Q95:R95"/>
    <mergeCell ref="S95:T95"/>
    <mergeCell ref="A93:J93"/>
    <mergeCell ref="K93:L93"/>
    <mergeCell ref="M93:N93"/>
    <mergeCell ref="O93:Q93"/>
    <mergeCell ref="R93:T93"/>
    <mergeCell ref="U93:W93"/>
    <mergeCell ref="X93:Y93"/>
    <mergeCell ref="Z93:AA93"/>
    <mergeCell ref="AB93:AC93"/>
    <mergeCell ref="A92:J92"/>
    <mergeCell ref="K92:L92"/>
    <mergeCell ref="M92:N92"/>
    <mergeCell ref="O92:Q92"/>
    <mergeCell ref="R92:T92"/>
    <mergeCell ref="U92:W92"/>
    <mergeCell ref="X92:Y92"/>
    <mergeCell ref="Z92:AA92"/>
    <mergeCell ref="AB92:AC92"/>
    <mergeCell ref="A91:J91"/>
    <mergeCell ref="K91:L91"/>
    <mergeCell ref="M91:N91"/>
    <mergeCell ref="O91:Q91"/>
    <mergeCell ref="R91:T91"/>
    <mergeCell ref="U91:W91"/>
    <mergeCell ref="X91:Y91"/>
    <mergeCell ref="Z91:AA91"/>
    <mergeCell ref="AB91:AC91"/>
    <mergeCell ref="A90:J90"/>
    <mergeCell ref="K90:L90"/>
    <mergeCell ref="M90:N90"/>
    <mergeCell ref="O90:Q90"/>
    <mergeCell ref="R90:T90"/>
    <mergeCell ref="U90:W90"/>
    <mergeCell ref="X90:Y90"/>
    <mergeCell ref="Z90:AA90"/>
    <mergeCell ref="AB90:AC90"/>
    <mergeCell ref="AB86:AC88"/>
    <mergeCell ref="A87:J88"/>
    <mergeCell ref="U87:W88"/>
    <mergeCell ref="X87:Y88"/>
    <mergeCell ref="Z87:AA88"/>
    <mergeCell ref="A89:J89"/>
    <mergeCell ref="K89:L89"/>
    <mergeCell ref="M89:N89"/>
    <mergeCell ref="O89:Q89"/>
    <mergeCell ref="R89:T89"/>
    <mergeCell ref="A86:J86"/>
    <mergeCell ref="K86:L88"/>
    <mergeCell ref="M86:N88"/>
    <mergeCell ref="O86:Q88"/>
    <mergeCell ref="R86:T88"/>
    <mergeCell ref="U86:AA86"/>
    <mergeCell ref="U89:W89"/>
    <mergeCell ref="X89:Y89"/>
    <mergeCell ref="Z89:AA89"/>
    <mergeCell ref="AB89:AC89"/>
    <mergeCell ref="Y82:AA83"/>
    <mergeCell ref="AB82:AC83"/>
    <mergeCell ref="A84:G84"/>
    <mergeCell ref="H84:N84"/>
    <mergeCell ref="T84:Y84"/>
    <mergeCell ref="Z84:AC84"/>
    <mergeCell ref="A80:AC80"/>
    <mergeCell ref="A81:W81"/>
    <mergeCell ref="Y81:Z81"/>
    <mergeCell ref="A82:D82"/>
    <mergeCell ref="E82:H82"/>
    <mergeCell ref="I82:J82"/>
    <mergeCell ref="K82:L82"/>
    <mergeCell ref="M82:N82"/>
    <mergeCell ref="O82:R82"/>
    <mergeCell ref="T82:X83"/>
    <mergeCell ref="A77:F77"/>
    <mergeCell ref="A78:F78"/>
    <mergeCell ref="W78:W79"/>
    <mergeCell ref="A79:F79"/>
    <mergeCell ref="T74:V74"/>
    <mergeCell ref="W74:Z74"/>
    <mergeCell ref="AA74:AC74"/>
    <mergeCell ref="A76:F76"/>
    <mergeCell ref="N76:N79"/>
    <mergeCell ref="O76:O79"/>
    <mergeCell ref="P76:P79"/>
    <mergeCell ref="Q76:Q79"/>
    <mergeCell ref="R76:R79"/>
    <mergeCell ref="S76:S79"/>
    <mergeCell ref="X78:X79"/>
    <mergeCell ref="Y78:Y79"/>
    <mergeCell ref="Z78:Z79"/>
    <mergeCell ref="AA78:AA79"/>
    <mergeCell ref="AB78:AB79"/>
    <mergeCell ref="AC78:AC79"/>
    <mergeCell ref="T76:T79"/>
    <mergeCell ref="U76:U79"/>
    <mergeCell ref="V76:V79"/>
    <mergeCell ref="A74:F75"/>
    <mergeCell ref="G74:H74"/>
    <mergeCell ref="I74:J74"/>
    <mergeCell ref="N74:P74"/>
    <mergeCell ref="Q74:S74"/>
    <mergeCell ref="G67:G71"/>
    <mergeCell ref="H67:H71"/>
    <mergeCell ref="I67:I71"/>
    <mergeCell ref="J67:J71"/>
    <mergeCell ref="K67:K71"/>
    <mergeCell ref="L67:L71"/>
    <mergeCell ref="A67:A71"/>
    <mergeCell ref="B67:B71"/>
    <mergeCell ref="C67:C71"/>
    <mergeCell ref="D67:D71"/>
    <mergeCell ref="E67:E71"/>
    <mergeCell ref="F67:F71"/>
    <mergeCell ref="N67:P67"/>
    <mergeCell ref="Q67:S67"/>
    <mergeCell ref="T67:W67"/>
    <mergeCell ref="X67:AC67"/>
    <mergeCell ref="N68:P71"/>
    <mergeCell ref="Q68:S71"/>
    <mergeCell ref="T68:W71"/>
    <mergeCell ref="Y68:Z68"/>
    <mergeCell ref="AB68:AC68"/>
    <mergeCell ref="Y69:Z69"/>
    <mergeCell ref="AB69:AC69"/>
    <mergeCell ref="Y70:Z70"/>
    <mergeCell ref="AB70:AC70"/>
    <mergeCell ref="Y71:Z71"/>
    <mergeCell ref="AB71:AC71"/>
    <mergeCell ref="L65:L66"/>
    <mergeCell ref="N65:P65"/>
    <mergeCell ref="Q65:S65"/>
    <mergeCell ref="T65:AC65"/>
    <mergeCell ref="N66:P66"/>
    <mergeCell ref="Q66:S66"/>
    <mergeCell ref="T66:AC66"/>
    <mergeCell ref="A59:J59"/>
    <mergeCell ref="A60:J60"/>
    <mergeCell ref="A61:J61"/>
    <mergeCell ref="A62:J62"/>
    <mergeCell ref="O63:P63"/>
    <mergeCell ref="A65:A66"/>
    <mergeCell ref="B65:C65"/>
    <mergeCell ref="D65:F65"/>
    <mergeCell ref="G65:J65"/>
    <mergeCell ref="K65:K66"/>
    <mergeCell ref="U56:V56"/>
    <mergeCell ref="W56:X56"/>
    <mergeCell ref="Y56:Z56"/>
    <mergeCell ref="AA56:AB56"/>
    <mergeCell ref="AC56:AC57"/>
    <mergeCell ref="A58:J58"/>
    <mergeCell ref="A56:J57"/>
    <mergeCell ref="K56:L56"/>
    <mergeCell ref="M56:N56"/>
    <mergeCell ref="O56:P56"/>
    <mergeCell ref="Q56:R56"/>
    <mergeCell ref="S56:T56"/>
    <mergeCell ref="A54:J54"/>
    <mergeCell ref="K54:L54"/>
    <mergeCell ref="M54:N54"/>
    <mergeCell ref="O54:Q54"/>
    <mergeCell ref="R54:T54"/>
    <mergeCell ref="U54:W54"/>
    <mergeCell ref="X54:Y54"/>
    <mergeCell ref="Z54:AA54"/>
    <mergeCell ref="AB54:AC54"/>
    <mergeCell ref="A53:J53"/>
    <mergeCell ref="K53:L53"/>
    <mergeCell ref="M53:N53"/>
    <mergeCell ref="O53:Q53"/>
    <mergeCell ref="R53:T53"/>
    <mergeCell ref="U53:W53"/>
    <mergeCell ref="X53:Y53"/>
    <mergeCell ref="Z53:AA53"/>
    <mergeCell ref="AB53:AC53"/>
    <mergeCell ref="A52:J52"/>
    <mergeCell ref="K52:L52"/>
    <mergeCell ref="M52:N52"/>
    <mergeCell ref="O52:Q52"/>
    <mergeCell ref="R52:T52"/>
    <mergeCell ref="U52:W52"/>
    <mergeCell ref="X52:Y52"/>
    <mergeCell ref="Z52:AA52"/>
    <mergeCell ref="AB52:AC52"/>
    <mergeCell ref="A51:J51"/>
    <mergeCell ref="K51:L51"/>
    <mergeCell ref="M51:N51"/>
    <mergeCell ref="O51:Q51"/>
    <mergeCell ref="R51:T51"/>
    <mergeCell ref="U51:W51"/>
    <mergeCell ref="X51:Y51"/>
    <mergeCell ref="Z51:AA51"/>
    <mergeCell ref="AB51:AC51"/>
    <mergeCell ref="AB47:AC49"/>
    <mergeCell ref="A48:J49"/>
    <mergeCell ref="U48:W49"/>
    <mergeCell ref="X48:Y49"/>
    <mergeCell ref="Z48:AA49"/>
    <mergeCell ref="A50:J50"/>
    <mergeCell ref="K50:L50"/>
    <mergeCell ref="M50:N50"/>
    <mergeCell ref="O50:Q50"/>
    <mergeCell ref="R50:T50"/>
    <mergeCell ref="A47:J47"/>
    <mergeCell ref="K47:L49"/>
    <mergeCell ref="M47:N49"/>
    <mergeCell ref="O47:Q49"/>
    <mergeCell ref="R47:T49"/>
    <mergeCell ref="U47:AA47"/>
    <mergeCell ref="U50:W50"/>
    <mergeCell ref="X50:Y50"/>
    <mergeCell ref="Z50:AA50"/>
    <mergeCell ref="AB50:AC50"/>
    <mergeCell ref="Y43:AA44"/>
    <mergeCell ref="AB43:AC44"/>
    <mergeCell ref="A45:G45"/>
    <mergeCell ref="H45:N45"/>
    <mergeCell ref="T45:Y45"/>
    <mergeCell ref="Z45:AC45"/>
    <mergeCell ref="A41:AC41"/>
    <mergeCell ref="A42:W42"/>
    <mergeCell ref="Y42:Z42"/>
    <mergeCell ref="A43:D43"/>
    <mergeCell ref="E43:H43"/>
    <mergeCell ref="I43:J43"/>
    <mergeCell ref="K43:L43"/>
    <mergeCell ref="M43:N43"/>
    <mergeCell ref="O43:R43"/>
    <mergeCell ref="T43:X44"/>
    <mergeCell ref="A38:F38"/>
    <mergeCell ref="A39:F39"/>
    <mergeCell ref="W39:W40"/>
    <mergeCell ref="A40:F40"/>
    <mergeCell ref="T35:V35"/>
    <mergeCell ref="W35:Z35"/>
    <mergeCell ref="AA35:AC35"/>
    <mergeCell ref="A37:F37"/>
    <mergeCell ref="N37:N40"/>
    <mergeCell ref="O37:O40"/>
    <mergeCell ref="P37:P40"/>
    <mergeCell ref="Q37:Q40"/>
    <mergeCell ref="R37:R40"/>
    <mergeCell ref="S37:S40"/>
    <mergeCell ref="X39:X40"/>
    <mergeCell ref="Y39:Y40"/>
    <mergeCell ref="Z39:Z40"/>
    <mergeCell ref="AA39:AA40"/>
    <mergeCell ref="AB39:AB40"/>
    <mergeCell ref="AC39:AC40"/>
    <mergeCell ref="T37:T40"/>
    <mergeCell ref="U37:U40"/>
    <mergeCell ref="V37:V40"/>
    <mergeCell ref="A35:F36"/>
    <mergeCell ref="G35:H35"/>
    <mergeCell ref="I35:J35"/>
    <mergeCell ref="N35:P35"/>
    <mergeCell ref="Q35:S35"/>
    <mergeCell ref="G28:G32"/>
    <mergeCell ref="H28:H32"/>
    <mergeCell ref="I28:I32"/>
    <mergeCell ref="J28:J32"/>
    <mergeCell ref="K28:K32"/>
    <mergeCell ref="L28:L32"/>
    <mergeCell ref="A28:A32"/>
    <mergeCell ref="B28:B32"/>
    <mergeCell ref="C28:C32"/>
    <mergeCell ref="D28:D32"/>
    <mergeCell ref="E28:E32"/>
    <mergeCell ref="F28:F32"/>
    <mergeCell ref="N28:P28"/>
    <mergeCell ref="Q28:S28"/>
    <mergeCell ref="T28:W28"/>
    <mergeCell ref="X28:AC28"/>
    <mergeCell ref="N29:P32"/>
    <mergeCell ref="Q29:S32"/>
    <mergeCell ref="T29:W32"/>
    <mergeCell ref="Y29:Z29"/>
    <mergeCell ref="AB29:AC29"/>
    <mergeCell ref="Y30:Z30"/>
    <mergeCell ref="AB30:AC30"/>
    <mergeCell ref="Y31:Z31"/>
    <mergeCell ref="AB31:AC31"/>
    <mergeCell ref="Y32:Z32"/>
    <mergeCell ref="AB32:AC32"/>
    <mergeCell ref="L26:L27"/>
    <mergeCell ref="N26:P26"/>
    <mergeCell ref="Q26:S26"/>
    <mergeCell ref="T26:AC26"/>
    <mergeCell ref="N27:P27"/>
    <mergeCell ref="Q27:S27"/>
    <mergeCell ref="T27:AC27"/>
    <mergeCell ref="A20:J20"/>
    <mergeCell ref="A21:J21"/>
    <mergeCell ref="A22:J22"/>
    <mergeCell ref="A23:J23"/>
    <mergeCell ref="O24:P24"/>
    <mergeCell ref="A26:A27"/>
    <mergeCell ref="B26:C26"/>
    <mergeCell ref="D26:F26"/>
    <mergeCell ref="G26:J26"/>
    <mergeCell ref="K26:K27"/>
    <mergeCell ref="U17:V17"/>
    <mergeCell ref="W17:X17"/>
    <mergeCell ref="Y17:Z17"/>
    <mergeCell ref="AA17:AB17"/>
    <mergeCell ref="AC17:AC18"/>
    <mergeCell ref="A19:J19"/>
    <mergeCell ref="A17:J18"/>
    <mergeCell ref="K17:L17"/>
    <mergeCell ref="M17:N17"/>
    <mergeCell ref="O17:P17"/>
    <mergeCell ref="Q17:R17"/>
    <mergeCell ref="S17:T17"/>
    <mergeCell ref="A15:J15"/>
    <mergeCell ref="K15:L15"/>
    <mergeCell ref="M15:N15"/>
    <mergeCell ref="O15:Q15"/>
    <mergeCell ref="R15:T15"/>
    <mergeCell ref="U15:W15"/>
    <mergeCell ref="X15:Y15"/>
    <mergeCell ref="Z15:AA15"/>
    <mergeCell ref="AB15:AC15"/>
    <mergeCell ref="A14:J14"/>
    <mergeCell ref="K14:L14"/>
    <mergeCell ref="M14:N14"/>
    <mergeCell ref="O14:Q14"/>
    <mergeCell ref="R14:T14"/>
    <mergeCell ref="U14:W14"/>
    <mergeCell ref="X14:Y14"/>
    <mergeCell ref="Z14:AA14"/>
    <mergeCell ref="AB14:AC14"/>
    <mergeCell ref="A13:J13"/>
    <mergeCell ref="K13:L13"/>
    <mergeCell ref="M13:N13"/>
    <mergeCell ref="O13:Q13"/>
    <mergeCell ref="R13:T13"/>
    <mergeCell ref="U13:W13"/>
    <mergeCell ref="X13:Y13"/>
    <mergeCell ref="Z13:AA13"/>
    <mergeCell ref="AB13:AC13"/>
    <mergeCell ref="A12:J12"/>
    <mergeCell ref="K12:L12"/>
    <mergeCell ref="M12:N12"/>
    <mergeCell ref="O12:Q12"/>
    <mergeCell ref="R12:T12"/>
    <mergeCell ref="U12:W12"/>
    <mergeCell ref="X12:Y12"/>
    <mergeCell ref="Z12:AA12"/>
    <mergeCell ref="AB12:AC12"/>
    <mergeCell ref="AB8:AC10"/>
    <mergeCell ref="A9:J10"/>
    <mergeCell ref="U9:W10"/>
    <mergeCell ref="X9:Y10"/>
    <mergeCell ref="Z9:AA10"/>
    <mergeCell ref="A11:J11"/>
    <mergeCell ref="K11:L11"/>
    <mergeCell ref="M11:N11"/>
    <mergeCell ref="O11:Q11"/>
    <mergeCell ref="R11:T11"/>
    <mergeCell ref="A8:J8"/>
    <mergeCell ref="K8:L10"/>
    <mergeCell ref="M8:N10"/>
    <mergeCell ref="O8:Q10"/>
    <mergeCell ref="R8:T10"/>
    <mergeCell ref="U8:AA8"/>
    <mergeCell ref="U11:W11"/>
    <mergeCell ref="X11:Y11"/>
    <mergeCell ref="Z11:AA11"/>
    <mergeCell ref="AB11:AC11"/>
    <mergeCell ref="Y4:AA5"/>
    <mergeCell ref="AB4:AC5"/>
    <mergeCell ref="A6:G6"/>
    <mergeCell ref="H6:N6"/>
    <mergeCell ref="T6:Y6"/>
    <mergeCell ref="Z6:AC6"/>
    <mergeCell ref="A2:AC2"/>
    <mergeCell ref="A3:W3"/>
    <mergeCell ref="Y3:Z3"/>
    <mergeCell ref="A4:D4"/>
    <mergeCell ref="E4:H4"/>
    <mergeCell ref="I4:J4"/>
    <mergeCell ref="K4:L4"/>
    <mergeCell ref="M4:N4"/>
    <mergeCell ref="O4:R4"/>
    <mergeCell ref="T4:X5"/>
  </mergeCells>
  <printOptions horizontalCentered="1"/>
  <pageMargins left="0.25" right="0.25" top="0.25" bottom="0.25" header="0.25" footer="0.25"/>
  <pageSetup paperSize="9" scale="63" orientation="landscape" r:id="rId1"/>
  <rowBreaks count="4" manualBreakCount="4">
    <brk id="40" max="24" man="1"/>
    <brk id="79" max="24" man="1"/>
    <brk id="118" max="24" man="1"/>
    <brk id="157" max="2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249977111117893"/>
  </sheetPr>
  <dimension ref="A1:AF196"/>
  <sheetViews>
    <sheetView tabSelected="1" view="pageBreakPreview" topLeftCell="E46" zoomScaleNormal="100" zoomScaleSheetLayoutView="100" workbookViewId="0">
      <selection activeCell="X37" sqref="X37:Z40"/>
    </sheetView>
  </sheetViews>
  <sheetFormatPr defaultColWidth="9.109375" defaultRowHeight="14.4" x14ac:dyDescent="0.25"/>
  <cols>
    <col min="1" max="1" width="9.6640625" style="72" customWidth="1"/>
    <col min="2" max="2" width="11.44140625" style="72" customWidth="1"/>
    <col min="3" max="3" width="11" style="72" customWidth="1"/>
    <col min="4" max="7" width="7.33203125" style="72" customWidth="1"/>
    <col min="8" max="8" width="7.6640625" style="72" customWidth="1"/>
    <col min="9" max="9" width="8.33203125" style="72" customWidth="1"/>
    <col min="10" max="10" width="7.33203125" style="72" customWidth="1"/>
    <col min="11" max="11" width="9.6640625" style="72" customWidth="1"/>
    <col min="12" max="12" width="8" style="72" customWidth="1"/>
    <col min="13" max="13" width="7.33203125" style="72" customWidth="1"/>
    <col min="14" max="14" width="6.33203125" style="72" customWidth="1"/>
    <col min="15" max="15" width="6" style="72" customWidth="1"/>
    <col min="16" max="16" width="6.5546875" style="72" customWidth="1"/>
    <col min="17" max="17" width="5.33203125" style="72" customWidth="1"/>
    <col min="18" max="18" width="5.88671875" style="72" customWidth="1"/>
    <col min="19" max="19" width="6.5546875" style="72" customWidth="1"/>
    <col min="20" max="20" width="6.33203125" style="72" customWidth="1"/>
    <col min="21" max="22" width="5.33203125" style="72" customWidth="1"/>
    <col min="23" max="29" width="7.33203125" style="72" customWidth="1"/>
    <col min="30" max="16384" width="9.109375" style="72"/>
  </cols>
  <sheetData>
    <row r="1" spans="1:32" ht="7.5" customHeight="1" x14ac:dyDescent="0.25"/>
    <row r="2" spans="1:32" ht="18" customHeight="1" x14ac:dyDescent="0.25">
      <c r="A2" s="159" t="s">
        <v>15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</row>
    <row r="3" spans="1:32" ht="21" customHeight="1" x14ac:dyDescent="0.25">
      <c r="A3" s="159" t="s">
        <v>16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2"/>
      <c r="Y3" s="160" t="s">
        <v>17</v>
      </c>
      <c r="Z3" s="160"/>
      <c r="AA3" s="2"/>
      <c r="AB3" s="2"/>
      <c r="AC3" s="2"/>
    </row>
    <row r="4" spans="1:32" ht="30.9" customHeight="1" x14ac:dyDescent="0.25">
      <c r="A4" s="326" t="s">
        <v>18</v>
      </c>
      <c r="B4" s="326"/>
      <c r="C4" s="326"/>
      <c r="D4" s="326"/>
      <c r="E4" s="444" t="s">
        <v>82</v>
      </c>
      <c r="F4" s="444"/>
      <c r="G4" s="444"/>
      <c r="H4" s="444"/>
      <c r="I4" s="328" t="s">
        <v>20</v>
      </c>
      <c r="J4" s="328"/>
      <c r="K4" s="329" t="s">
        <v>85</v>
      </c>
      <c r="L4" s="329"/>
      <c r="M4" s="328" t="s">
        <v>21</v>
      </c>
      <c r="N4" s="328"/>
      <c r="O4" s="445" t="s">
        <v>14</v>
      </c>
      <c r="P4" s="445"/>
      <c r="Q4" s="445"/>
      <c r="R4" s="445"/>
      <c r="S4" s="43"/>
      <c r="T4" s="166" t="s">
        <v>22</v>
      </c>
      <c r="U4" s="166"/>
      <c r="V4" s="166"/>
      <c r="W4" s="166"/>
      <c r="X4" s="166"/>
      <c r="Y4" s="152" t="s">
        <v>23</v>
      </c>
      <c r="Z4" s="152"/>
      <c r="AA4" s="152"/>
      <c r="AB4" s="443" t="s">
        <v>83</v>
      </c>
      <c r="AC4" s="443"/>
    </row>
    <row r="5" spans="1:32" ht="5.25" customHeight="1" x14ac:dyDescent="0.25">
      <c r="T5" s="166"/>
      <c r="U5" s="166"/>
      <c r="V5" s="166"/>
      <c r="W5" s="166"/>
      <c r="X5" s="166"/>
      <c r="Y5" s="152"/>
      <c r="Z5" s="152"/>
      <c r="AA5" s="152"/>
      <c r="AB5" s="443"/>
      <c r="AC5" s="443"/>
    </row>
    <row r="6" spans="1:32" ht="15.75" customHeight="1" x14ac:dyDescent="0.25">
      <c r="A6" s="324" t="s">
        <v>24</v>
      </c>
      <c r="B6" s="324"/>
      <c r="C6" s="324"/>
      <c r="D6" s="324"/>
      <c r="E6" s="324"/>
      <c r="F6" s="324"/>
      <c r="G6" s="324"/>
      <c r="H6" s="325" t="s">
        <v>25</v>
      </c>
      <c r="I6" s="325"/>
      <c r="J6" s="325"/>
      <c r="K6" s="325"/>
      <c r="L6" s="325"/>
      <c r="M6" s="325"/>
      <c r="N6" s="325"/>
      <c r="O6" s="73"/>
      <c r="P6" s="73"/>
      <c r="T6" s="156" t="s">
        <v>26</v>
      </c>
      <c r="U6" s="156"/>
      <c r="V6" s="156"/>
      <c r="W6" s="156"/>
      <c r="X6" s="156"/>
      <c r="Y6" s="156"/>
      <c r="Z6" s="265" t="s">
        <v>27</v>
      </c>
      <c r="AA6" s="265"/>
      <c r="AB6" s="265"/>
      <c r="AC6" s="265"/>
      <c r="AE6" s="72" t="s">
        <v>28</v>
      </c>
      <c r="AF6" s="72" t="s">
        <v>28</v>
      </c>
    </row>
    <row r="7" spans="1:32" ht="7.5" customHeight="1" x14ac:dyDescent="0.25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</row>
    <row r="8" spans="1:32" ht="15" customHeight="1" x14ac:dyDescent="0.25">
      <c r="A8" s="284" t="s">
        <v>29</v>
      </c>
      <c r="B8" s="285"/>
      <c r="C8" s="285"/>
      <c r="D8" s="285"/>
      <c r="E8" s="285"/>
      <c r="F8" s="285"/>
      <c r="G8" s="285"/>
      <c r="H8" s="285"/>
      <c r="I8" s="285"/>
      <c r="J8" s="286"/>
      <c r="K8" s="273" t="s">
        <v>30</v>
      </c>
      <c r="L8" s="274"/>
      <c r="M8" s="273" t="s">
        <v>31</v>
      </c>
      <c r="N8" s="274"/>
      <c r="O8" s="287" t="s">
        <v>32</v>
      </c>
      <c r="P8" s="288"/>
      <c r="Q8" s="289"/>
      <c r="R8" s="273" t="s">
        <v>33</v>
      </c>
      <c r="S8" s="296"/>
      <c r="T8" s="274"/>
      <c r="U8" s="224" t="s">
        <v>34</v>
      </c>
      <c r="V8" s="225"/>
      <c r="W8" s="225"/>
      <c r="X8" s="225"/>
      <c r="Y8" s="225"/>
      <c r="Z8" s="225"/>
      <c r="AA8" s="226"/>
      <c r="AB8" s="273" t="s">
        <v>7</v>
      </c>
      <c r="AC8" s="274"/>
    </row>
    <row r="9" spans="1:32" ht="23.25" customHeight="1" x14ac:dyDescent="0.25">
      <c r="A9" s="169" t="s">
        <v>35</v>
      </c>
      <c r="B9" s="173"/>
      <c r="C9" s="173"/>
      <c r="D9" s="173"/>
      <c r="E9" s="173"/>
      <c r="F9" s="173"/>
      <c r="G9" s="173"/>
      <c r="H9" s="173"/>
      <c r="I9" s="173"/>
      <c r="J9" s="170"/>
      <c r="K9" s="275"/>
      <c r="L9" s="276"/>
      <c r="M9" s="275"/>
      <c r="N9" s="276"/>
      <c r="O9" s="290"/>
      <c r="P9" s="291"/>
      <c r="Q9" s="292"/>
      <c r="R9" s="275"/>
      <c r="S9" s="297"/>
      <c r="T9" s="276"/>
      <c r="U9" s="279" t="s">
        <v>36</v>
      </c>
      <c r="V9" s="279"/>
      <c r="W9" s="279"/>
      <c r="X9" s="279" t="s">
        <v>37</v>
      </c>
      <c r="Y9" s="279"/>
      <c r="Z9" s="279" t="s">
        <v>38</v>
      </c>
      <c r="AA9" s="279"/>
      <c r="AB9" s="275"/>
      <c r="AC9" s="276"/>
    </row>
    <row r="10" spans="1:32" x14ac:dyDescent="0.25">
      <c r="A10" s="171"/>
      <c r="B10" s="174"/>
      <c r="C10" s="174"/>
      <c r="D10" s="174"/>
      <c r="E10" s="174"/>
      <c r="F10" s="174"/>
      <c r="G10" s="174"/>
      <c r="H10" s="174"/>
      <c r="I10" s="174"/>
      <c r="J10" s="172"/>
      <c r="K10" s="277"/>
      <c r="L10" s="278"/>
      <c r="M10" s="277"/>
      <c r="N10" s="278"/>
      <c r="O10" s="293"/>
      <c r="P10" s="294"/>
      <c r="Q10" s="295"/>
      <c r="R10" s="277"/>
      <c r="S10" s="298"/>
      <c r="T10" s="278"/>
      <c r="U10" s="280"/>
      <c r="V10" s="280"/>
      <c r="W10" s="280"/>
      <c r="X10" s="280"/>
      <c r="Y10" s="280"/>
      <c r="Z10" s="280"/>
      <c r="AA10" s="280"/>
      <c r="AB10" s="277"/>
      <c r="AC10" s="278"/>
    </row>
    <row r="11" spans="1:32" ht="24.9" customHeight="1" x14ac:dyDescent="0.25">
      <c r="A11" s="281" t="s">
        <v>39</v>
      </c>
      <c r="B11" s="282"/>
      <c r="C11" s="282"/>
      <c r="D11" s="282"/>
      <c r="E11" s="282"/>
      <c r="F11" s="282"/>
      <c r="G11" s="282"/>
      <c r="H11" s="282"/>
      <c r="I11" s="282"/>
      <c r="J11" s="283"/>
      <c r="K11" s="341">
        <f>SUM(MPR!K11+KARACHI!K11+SINDH!K11+'GILGIT BALTISTAN'!K11+'AZAD KHASHMIR'!K11+'KHYBER PAKHTUNKHWA'!K11)</f>
        <v>955</v>
      </c>
      <c r="L11" s="342"/>
      <c r="M11" s="341">
        <f>SUM(MPR!M11+KARACHI!M11+SINDH!M11+'GILGIT BALTISTAN'!M11+'AZAD KHASHMIR'!M11+'KHYBER PAKHTUNKHWA'!M11)</f>
        <v>88</v>
      </c>
      <c r="N11" s="342"/>
      <c r="O11" s="341">
        <f>MPR!O11+KARACHI!O11+SINDH!O11+'GILGIT BALTISTAN'!O11:Q11+'AZAD KHASHMIR'!O11:Q11+'KHYBER PAKHTUNKHWA'!O11:Q11</f>
        <v>4</v>
      </c>
      <c r="P11" s="343"/>
      <c r="Q11" s="342"/>
      <c r="R11" s="341">
        <f>SUM(K11+M11+O11)</f>
        <v>1047</v>
      </c>
      <c r="S11" s="343"/>
      <c r="T11" s="342"/>
      <c r="U11" s="341">
        <f>MPR!U11+KARACHI!U11+SINDH!U11+'GILGIT BALTISTAN'!U11:W11+'AZAD KHASHMIR'!U11:W11+'KHYBER PAKHTUNKHWA'!U11:W11</f>
        <v>1</v>
      </c>
      <c r="V11" s="343"/>
      <c r="W11" s="342"/>
      <c r="X11" s="341">
        <f>MPR!X11+KARACHI!X11+SINDH!X11+'GILGIT BALTISTAN'!X11:Y11+'AZAD KHASHMIR'!X11:Y11+'KHYBER PAKHTUNKHWA'!X11:Y11</f>
        <v>3</v>
      </c>
      <c r="Y11" s="342"/>
      <c r="Z11" s="341">
        <f>MPR!Z11+KARACHI!Z11+SINDH!Z11+'GILGIT BALTISTAN'!Z11:AA11+'AZAD KHASHMIR'!Z11:AA11+'KHYBER PAKHTUNKHWA'!Z11:AA11</f>
        <v>4</v>
      </c>
      <c r="AA11" s="342"/>
      <c r="AB11" s="341">
        <f>SUM(K11+M11+O11+U11+X11+Z11)</f>
        <v>1055</v>
      </c>
      <c r="AC11" s="342"/>
    </row>
    <row r="12" spans="1:32" ht="24.9" customHeight="1" x14ac:dyDescent="0.25">
      <c r="A12" s="281" t="s">
        <v>40</v>
      </c>
      <c r="B12" s="282"/>
      <c r="C12" s="282"/>
      <c r="D12" s="282"/>
      <c r="E12" s="282"/>
      <c r="F12" s="282"/>
      <c r="G12" s="282"/>
      <c r="H12" s="282"/>
      <c r="I12" s="282"/>
      <c r="J12" s="283"/>
      <c r="K12" s="341">
        <f>SUM(MPR!K12+KARACHI!K12+SINDH!K12+'GILGIT BALTISTAN'!K12+'AZAD KHASHMIR'!K12+'KHYBER PAKHTUNKHWA'!K12)</f>
        <v>1085</v>
      </c>
      <c r="L12" s="342"/>
      <c r="M12" s="341">
        <f>SUM(MPR!M12+KARACHI!M12+SINDH!M12+'GILGIT BALTISTAN'!M12+'AZAD KHASHMIR'!M12+'KHYBER PAKHTUNKHWA'!M12)</f>
        <v>51</v>
      </c>
      <c r="N12" s="342"/>
      <c r="O12" s="341">
        <f>MPR!O12+KARACHI!O12+SINDH!O12+'GILGIT BALTISTAN'!O12:Q12+'AZAD KHASHMIR'!O12:Q12+'KHYBER PAKHTUNKHWA'!O12:Q12</f>
        <v>5</v>
      </c>
      <c r="P12" s="343"/>
      <c r="Q12" s="342"/>
      <c r="R12" s="341">
        <f>SUM(K12+M12+O12)</f>
        <v>1141</v>
      </c>
      <c r="S12" s="343"/>
      <c r="T12" s="342"/>
      <c r="U12" s="341">
        <f>MPR!U12+KARACHI!U12+SINDH!U12+'GILGIT BALTISTAN'!U12:W12+'AZAD KHASHMIR'!U12:W12+'KHYBER PAKHTUNKHWA'!U12:W12</f>
        <v>0</v>
      </c>
      <c r="V12" s="343"/>
      <c r="W12" s="342"/>
      <c r="X12" s="341">
        <f>MPR!X12+KARACHI!X12+SINDH!X12+'GILGIT BALTISTAN'!X12:Y12+'AZAD KHASHMIR'!X12:Y12+'KHYBER PAKHTUNKHWA'!X12:Y12</f>
        <v>1</v>
      </c>
      <c r="Y12" s="342"/>
      <c r="Z12" s="341">
        <f>MPR!Z12+KARACHI!Z12+SINDH!Z12+'GILGIT BALTISTAN'!Z12:AA12+'AZAD KHASHMIR'!Z12:AA12+'KHYBER PAKHTUNKHWA'!Z12:AA12</f>
        <v>8</v>
      </c>
      <c r="AA12" s="342"/>
      <c r="AB12" s="341">
        <f>SUM(K12+M12+O12+U12+X12+Z12)</f>
        <v>1150</v>
      </c>
      <c r="AC12" s="342"/>
    </row>
    <row r="13" spans="1:32" ht="24.9" customHeight="1" x14ac:dyDescent="0.25">
      <c r="A13" s="281" t="s">
        <v>41</v>
      </c>
      <c r="B13" s="282"/>
      <c r="C13" s="282"/>
      <c r="D13" s="282"/>
      <c r="E13" s="282"/>
      <c r="F13" s="282"/>
      <c r="G13" s="282"/>
      <c r="H13" s="282"/>
      <c r="I13" s="282"/>
      <c r="J13" s="283"/>
      <c r="K13" s="341">
        <f>SUM(MPR!K13+KARACHI!K13+SINDH!K13+'GILGIT BALTISTAN'!K13+'AZAD KHASHMIR'!K13+'KHYBER PAKHTUNKHWA'!K13)</f>
        <v>3</v>
      </c>
      <c r="L13" s="342"/>
      <c r="M13" s="341">
        <f>SUM(MPR!M13+KARACHI!M13+SINDH!M13+'GILGIT BALTISTAN'!M13+'AZAD KHASHMIR'!M13+'KHYBER PAKHTUNKHWA'!M13)</f>
        <v>0</v>
      </c>
      <c r="N13" s="342"/>
      <c r="O13" s="341">
        <f>MPR!O13+KARACHI!O13+SINDH!O13+'GILGIT BALTISTAN'!O13:Q13+'AZAD KHASHMIR'!O13:Q13+'KHYBER PAKHTUNKHWA'!O13:Q13</f>
        <v>0</v>
      </c>
      <c r="P13" s="343"/>
      <c r="Q13" s="342"/>
      <c r="R13" s="341">
        <f>SUM(K13+M13+O13)</f>
        <v>3</v>
      </c>
      <c r="S13" s="343"/>
      <c r="T13" s="342"/>
      <c r="U13" s="341">
        <f>MPR!U13+KARACHI!U13+SINDH!U13+'GILGIT BALTISTAN'!U13:W13+'AZAD KHASHMIR'!U13:W13+'KHYBER PAKHTUNKHWA'!U13:W13</f>
        <v>0</v>
      </c>
      <c r="V13" s="343"/>
      <c r="W13" s="342"/>
      <c r="X13" s="341">
        <f>MPR!X13+KARACHI!X13+SINDH!X13+'GILGIT BALTISTAN'!X13:Y13+'AZAD KHASHMIR'!X13:Y13+'KHYBER PAKHTUNKHWA'!X13:Y13</f>
        <v>0</v>
      </c>
      <c r="Y13" s="342"/>
      <c r="Z13" s="341">
        <f>MPR!Z13+KARACHI!Z13+SINDH!Z13+'GILGIT BALTISTAN'!Z13:AA13+'AZAD KHASHMIR'!Z13:AA13+'KHYBER PAKHTUNKHWA'!Z13:AA13</f>
        <v>0</v>
      </c>
      <c r="AA13" s="342"/>
      <c r="AB13" s="341">
        <f>SUM(K13+M13+O13+U13+X13+Z13)</f>
        <v>3</v>
      </c>
      <c r="AC13" s="342"/>
    </row>
    <row r="14" spans="1:32" ht="24.9" customHeight="1" x14ac:dyDescent="0.25">
      <c r="A14" s="281" t="s">
        <v>42</v>
      </c>
      <c r="B14" s="282"/>
      <c r="C14" s="282"/>
      <c r="D14" s="282"/>
      <c r="E14" s="282"/>
      <c r="F14" s="282"/>
      <c r="G14" s="282"/>
      <c r="H14" s="282"/>
      <c r="I14" s="282"/>
      <c r="J14" s="283"/>
      <c r="K14" s="341">
        <f>SUM(MPR!K14+KARACHI!K14+SINDH!K14+'GILGIT BALTISTAN'!K14+'AZAD KHASHMIR'!K14+'KHYBER PAKHTUNKHWA'!K14)</f>
        <v>646</v>
      </c>
      <c r="L14" s="342"/>
      <c r="M14" s="341">
        <f>SUM(MPR!M14+KARACHI!M14+SINDH!M14+'GILGIT BALTISTAN'!M14+'AZAD KHASHMIR'!M14+'KHYBER PAKHTUNKHWA'!M14)</f>
        <v>9</v>
      </c>
      <c r="N14" s="342"/>
      <c r="O14" s="341">
        <f>MPR!O14+KARACHI!O14+SINDH!O14+'GILGIT BALTISTAN'!O14:Q14+'AZAD KHASHMIR'!O14:Q14+'KHYBER PAKHTUNKHWA'!O14:Q14</f>
        <v>1</v>
      </c>
      <c r="P14" s="343"/>
      <c r="Q14" s="342"/>
      <c r="R14" s="341">
        <f>SUM(K14+M14+O14)</f>
        <v>656</v>
      </c>
      <c r="S14" s="343"/>
      <c r="T14" s="342"/>
      <c r="U14" s="341">
        <f>MPR!U14+KARACHI!U14+SINDH!U14+'GILGIT BALTISTAN'!U14:W14+'AZAD KHASHMIR'!U14:W14+'KHYBER PAKHTUNKHWA'!U14:W14</f>
        <v>0</v>
      </c>
      <c r="V14" s="343"/>
      <c r="W14" s="342"/>
      <c r="X14" s="341">
        <f>MPR!X14+KARACHI!X14+SINDH!X14+'GILGIT BALTISTAN'!X14:Y14+'AZAD KHASHMIR'!X14:Y14+'KHYBER PAKHTUNKHWA'!X14:Y14</f>
        <v>0</v>
      </c>
      <c r="Y14" s="342"/>
      <c r="Z14" s="341">
        <f>MPR!Z14+KARACHI!Z14+SINDH!Z14+'GILGIT BALTISTAN'!Z14:AA14+'AZAD KHASHMIR'!Z14:AA14+'KHYBER PAKHTUNKHWA'!Z14:AA14</f>
        <v>12</v>
      </c>
      <c r="AA14" s="342"/>
      <c r="AB14" s="341">
        <f>SUM(K14+M14+O14+U14+X14+Z14)</f>
        <v>668</v>
      </c>
      <c r="AC14" s="342"/>
    </row>
    <row r="15" spans="1:32" ht="24.9" customHeight="1" x14ac:dyDescent="0.25">
      <c r="A15" s="281" t="s">
        <v>7</v>
      </c>
      <c r="B15" s="282"/>
      <c r="C15" s="282"/>
      <c r="D15" s="282"/>
      <c r="E15" s="282"/>
      <c r="F15" s="282"/>
      <c r="G15" s="282"/>
      <c r="H15" s="282"/>
      <c r="I15" s="282"/>
      <c r="J15" s="283"/>
      <c r="K15" s="341">
        <f>SUM(K11:L14)</f>
        <v>2689</v>
      </c>
      <c r="L15" s="342"/>
      <c r="M15" s="341">
        <f>SUM(M11:N14)</f>
        <v>148</v>
      </c>
      <c r="N15" s="342"/>
      <c r="O15" s="341">
        <f>SUM(O11:Q14)</f>
        <v>10</v>
      </c>
      <c r="P15" s="343"/>
      <c r="Q15" s="342"/>
      <c r="R15" s="341">
        <f>SUM(K15+M15+O15)</f>
        <v>2847</v>
      </c>
      <c r="S15" s="343"/>
      <c r="T15" s="342"/>
      <c r="U15" s="341">
        <f>SUM(U11:W14)</f>
        <v>1</v>
      </c>
      <c r="V15" s="343"/>
      <c r="W15" s="342"/>
      <c r="X15" s="341">
        <f>SUM(X11:Y14)</f>
        <v>4</v>
      </c>
      <c r="Y15" s="342"/>
      <c r="Z15" s="341">
        <f>SUM(Z11:AA14)</f>
        <v>24</v>
      </c>
      <c r="AA15" s="342"/>
      <c r="AB15" s="341">
        <f>SUM(K15+M15+O15+U15+X15+Z15)</f>
        <v>2876</v>
      </c>
      <c r="AC15" s="342"/>
    </row>
    <row r="16" spans="1:32" ht="15.6" x14ac:dyDescent="0.25">
      <c r="A16" s="75" t="s">
        <v>43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7"/>
      <c r="V16" s="77"/>
      <c r="W16" s="77"/>
      <c r="X16" s="77"/>
      <c r="Y16" s="77"/>
      <c r="Z16" s="77"/>
      <c r="AA16" s="77"/>
      <c r="AB16" s="77"/>
      <c r="AC16" s="78"/>
    </row>
    <row r="17" spans="1:32" ht="21.75" customHeight="1" x14ac:dyDescent="0.25">
      <c r="A17" s="331"/>
      <c r="B17" s="332"/>
      <c r="C17" s="332"/>
      <c r="D17" s="332"/>
      <c r="E17" s="332"/>
      <c r="F17" s="332"/>
      <c r="G17" s="332"/>
      <c r="H17" s="332"/>
      <c r="I17" s="332"/>
      <c r="J17" s="333"/>
      <c r="K17" s="224" t="s">
        <v>0</v>
      </c>
      <c r="L17" s="226"/>
      <c r="M17" s="305" t="s">
        <v>1</v>
      </c>
      <c r="N17" s="306"/>
      <c r="O17" s="301" t="s">
        <v>2</v>
      </c>
      <c r="P17" s="302"/>
      <c r="Q17" s="301" t="s">
        <v>3</v>
      </c>
      <c r="R17" s="302"/>
      <c r="S17" s="301" t="s">
        <v>4</v>
      </c>
      <c r="T17" s="302"/>
      <c r="U17" s="301" t="s">
        <v>5</v>
      </c>
      <c r="V17" s="302"/>
      <c r="W17" s="301" t="s">
        <v>6</v>
      </c>
      <c r="X17" s="302"/>
      <c r="Y17" s="301" t="s">
        <v>44</v>
      </c>
      <c r="Z17" s="302"/>
      <c r="AA17" s="301" t="s">
        <v>7</v>
      </c>
      <c r="AB17" s="302"/>
      <c r="AC17" s="303" t="s">
        <v>86</v>
      </c>
      <c r="AD17" s="5"/>
      <c r="AE17" s="6"/>
      <c r="AF17" s="6"/>
    </row>
    <row r="18" spans="1:32" x14ac:dyDescent="0.25">
      <c r="A18" s="334"/>
      <c r="B18" s="335"/>
      <c r="C18" s="335"/>
      <c r="D18" s="335"/>
      <c r="E18" s="335"/>
      <c r="F18" s="335"/>
      <c r="G18" s="335"/>
      <c r="H18" s="335"/>
      <c r="I18" s="335"/>
      <c r="J18" s="336"/>
      <c r="K18" s="7" t="s">
        <v>9</v>
      </c>
      <c r="L18" s="7" t="s">
        <v>10</v>
      </c>
      <c r="M18" s="7" t="s">
        <v>9</v>
      </c>
      <c r="N18" s="7" t="s">
        <v>10</v>
      </c>
      <c r="O18" s="7" t="s">
        <v>9</v>
      </c>
      <c r="P18" s="7" t="s">
        <v>10</v>
      </c>
      <c r="Q18" s="7" t="s">
        <v>9</v>
      </c>
      <c r="R18" s="7" t="s">
        <v>10</v>
      </c>
      <c r="S18" s="7" t="s">
        <v>9</v>
      </c>
      <c r="T18" s="7" t="s">
        <v>10</v>
      </c>
      <c r="U18" s="7" t="s">
        <v>9</v>
      </c>
      <c r="V18" s="7" t="s">
        <v>10</v>
      </c>
      <c r="W18" s="7" t="s">
        <v>9</v>
      </c>
      <c r="X18" s="7" t="s">
        <v>10</v>
      </c>
      <c r="Y18" s="7" t="s">
        <v>9</v>
      </c>
      <c r="Z18" s="7" t="s">
        <v>10</v>
      </c>
      <c r="AA18" s="7" t="s">
        <v>9</v>
      </c>
      <c r="AB18" s="7" t="s">
        <v>10</v>
      </c>
      <c r="AC18" s="304"/>
    </row>
    <row r="19" spans="1:32" ht="24.9" customHeight="1" x14ac:dyDescent="0.25">
      <c r="A19" s="281" t="s">
        <v>39</v>
      </c>
      <c r="B19" s="282"/>
      <c r="C19" s="282"/>
      <c r="D19" s="282"/>
      <c r="E19" s="282"/>
      <c r="F19" s="282"/>
      <c r="G19" s="282"/>
      <c r="H19" s="282"/>
      <c r="I19" s="282"/>
      <c r="J19" s="283"/>
      <c r="K19" s="71">
        <f>MPR!K19+KARACHI!K19+SINDH!K19+'GILGIT BALTISTAN'!K19+'AZAD KHASHMIR'!K19+'KHYBER PAKHTUNKHWA'!K19</f>
        <v>5</v>
      </c>
      <c r="L19" s="71">
        <f>MPR!L19+KARACHI!L19+SINDH!L19+'GILGIT BALTISTAN'!L19+'AZAD KHASHMIR'!L19+'KHYBER PAKHTUNKHWA'!L19</f>
        <v>2</v>
      </c>
      <c r="M19" s="71">
        <f>MPR!M19+KARACHI!M19+SINDH!M19+'GILGIT BALTISTAN'!M19+'AZAD KHASHMIR'!M19+'KHYBER PAKHTUNKHWA'!M19</f>
        <v>9</v>
      </c>
      <c r="N19" s="71">
        <f>MPR!N19+KARACHI!N19+SINDH!N19+'GILGIT BALTISTAN'!N19+'AZAD KHASHMIR'!N19+'KHYBER PAKHTUNKHWA'!N19</f>
        <v>28</v>
      </c>
      <c r="O19" s="71">
        <f>MPR!O19+KARACHI!O19+SINDH!O19+'GILGIT BALTISTAN'!O19+'AZAD KHASHMIR'!O19+'KHYBER PAKHTUNKHWA'!O19</f>
        <v>91</v>
      </c>
      <c r="P19" s="71">
        <f>MPR!P19+KARACHI!P19+SINDH!P19+'GILGIT BALTISTAN'!P19+'AZAD KHASHMIR'!P19+'KHYBER PAKHTUNKHWA'!P19</f>
        <v>132</v>
      </c>
      <c r="Q19" s="71">
        <f>MPR!Q19+KARACHI!Q19+SINDH!Q19+'GILGIT BALTISTAN'!Q19+'AZAD KHASHMIR'!Q19+'KHYBER PAKHTUNKHWA'!Q19</f>
        <v>84</v>
      </c>
      <c r="R19" s="71">
        <f>MPR!R19+KARACHI!R19+SINDH!R19+'GILGIT BALTISTAN'!R19+'AZAD KHASHMIR'!R19+'KHYBER PAKHTUNKHWA'!R19</f>
        <v>61</v>
      </c>
      <c r="S19" s="71">
        <f>MPR!S19+KARACHI!S19+SINDH!S19+'GILGIT BALTISTAN'!S19+'AZAD KHASHMIR'!S19+'KHYBER PAKHTUNKHWA'!S19</f>
        <v>66</v>
      </c>
      <c r="T19" s="71">
        <f>MPR!T19+KARACHI!T19+SINDH!T19+'GILGIT BALTISTAN'!T19+'AZAD KHASHMIR'!T19+'KHYBER PAKHTUNKHWA'!T19</f>
        <v>60</v>
      </c>
      <c r="U19" s="71">
        <f>MPR!U19+KARACHI!U19+SINDH!U19+'GILGIT BALTISTAN'!U19+'AZAD KHASHMIR'!U19+'KHYBER PAKHTUNKHWA'!U19</f>
        <v>73</v>
      </c>
      <c r="V19" s="71">
        <f>MPR!V19+KARACHI!V19+SINDH!V19+'GILGIT BALTISTAN'!V19+'AZAD KHASHMIR'!V19+'KHYBER PAKHTUNKHWA'!V19</f>
        <v>65</v>
      </c>
      <c r="W19" s="71">
        <f>MPR!W19+KARACHI!W19+SINDH!W19+'GILGIT BALTISTAN'!W19+'AZAD KHASHMIR'!W19+'KHYBER PAKHTUNKHWA'!W19</f>
        <v>84</v>
      </c>
      <c r="X19" s="71">
        <f>MPR!X19+KARACHI!X19+SINDH!X19+'GILGIT BALTISTAN'!X19+'AZAD KHASHMIR'!X19+'KHYBER PAKHTUNKHWA'!X19</f>
        <v>69</v>
      </c>
      <c r="Y19" s="71">
        <f>MPR!Y19+KARACHI!Y19+SINDH!Y19+'GILGIT BALTISTAN'!Y19+'AZAD KHASHMIR'!Y19+'KHYBER PAKHTUNKHWA'!Y19</f>
        <v>120</v>
      </c>
      <c r="Z19" s="71">
        <f>MPR!Z19+KARACHI!Z19+SINDH!Z19+'GILGIT BALTISTAN'!Z19+'AZAD KHASHMIR'!Z19+'KHYBER PAKHTUNKHWA'!Z19</f>
        <v>98</v>
      </c>
      <c r="AA19" s="71">
        <f>SUM(K19+M19+O19+Q19+S19+U19+W19+Y19)</f>
        <v>532</v>
      </c>
      <c r="AB19" s="71">
        <f>SUM(L19+N19+P19+R19+T19+V19+X19+Z19)</f>
        <v>515</v>
      </c>
      <c r="AC19" s="71">
        <f>SUM(AA19:AB19)</f>
        <v>1047</v>
      </c>
    </row>
    <row r="20" spans="1:32" ht="24.9" customHeight="1" x14ac:dyDescent="0.25">
      <c r="A20" s="281" t="s">
        <v>40</v>
      </c>
      <c r="B20" s="282"/>
      <c r="C20" s="282"/>
      <c r="D20" s="282"/>
      <c r="E20" s="282"/>
      <c r="F20" s="282"/>
      <c r="G20" s="282"/>
      <c r="H20" s="282"/>
      <c r="I20" s="282"/>
      <c r="J20" s="283"/>
      <c r="K20" s="71">
        <f>MPR!K20+KARACHI!K20+SINDH!K20+'GILGIT BALTISTAN'!K20+'AZAD KHASHMIR'!K20+'KHYBER PAKHTUNKHWA'!K20</f>
        <v>146</v>
      </c>
      <c r="L20" s="71">
        <f>MPR!L20+KARACHI!L20+SINDH!L20+'GILGIT BALTISTAN'!L20+'AZAD KHASHMIR'!L20+'KHYBER PAKHTUNKHWA'!L20</f>
        <v>126</v>
      </c>
      <c r="M20" s="71">
        <f>MPR!M20+KARACHI!M20+SINDH!M20+'GILGIT BALTISTAN'!M20+'AZAD KHASHMIR'!M20+'KHYBER PAKHTUNKHWA'!M20</f>
        <v>43</v>
      </c>
      <c r="N20" s="71">
        <f>MPR!N20+KARACHI!N20+SINDH!N20+'GILGIT BALTISTAN'!N20+'AZAD KHASHMIR'!N20+'KHYBER PAKHTUNKHWA'!N20</f>
        <v>59</v>
      </c>
      <c r="O20" s="71">
        <f>MPR!O20+KARACHI!O20+SINDH!O20+'GILGIT BALTISTAN'!O20+'AZAD KHASHMIR'!O20+'KHYBER PAKHTUNKHWA'!O20</f>
        <v>63</v>
      </c>
      <c r="P20" s="71">
        <f>MPR!P20+KARACHI!P20+SINDH!P20+'GILGIT BALTISTAN'!P20+'AZAD KHASHMIR'!P20+'KHYBER PAKHTUNKHWA'!P20</f>
        <v>77</v>
      </c>
      <c r="Q20" s="71">
        <f>MPR!Q20+KARACHI!Q20+SINDH!Q20+'GILGIT BALTISTAN'!Q20+'AZAD KHASHMIR'!Q20+'KHYBER PAKHTUNKHWA'!Q20</f>
        <v>64</v>
      </c>
      <c r="R20" s="71">
        <f>MPR!R20+KARACHI!R20+SINDH!R20+'GILGIT BALTISTAN'!R20+'AZAD KHASHMIR'!R20+'KHYBER PAKHTUNKHWA'!R20</f>
        <v>78</v>
      </c>
      <c r="S20" s="71">
        <f>MPR!S20+KARACHI!S20+SINDH!S20+'GILGIT BALTISTAN'!S20+'AZAD KHASHMIR'!S20+'KHYBER PAKHTUNKHWA'!S20</f>
        <v>63</v>
      </c>
      <c r="T20" s="71">
        <f>MPR!T20+KARACHI!T20+SINDH!T20+'GILGIT BALTISTAN'!T20+'AZAD KHASHMIR'!T20+'KHYBER PAKHTUNKHWA'!T20</f>
        <v>46</v>
      </c>
      <c r="U20" s="71">
        <f>MPR!U20+KARACHI!U20+SINDH!U20+'GILGIT BALTISTAN'!U20+'AZAD KHASHMIR'!U20+'KHYBER PAKHTUNKHWA'!U20</f>
        <v>51</v>
      </c>
      <c r="V20" s="71">
        <f>MPR!V20+KARACHI!V20+SINDH!V20+'GILGIT BALTISTAN'!V20+'AZAD KHASHMIR'!V20+'KHYBER PAKHTUNKHWA'!V20</f>
        <v>45</v>
      </c>
      <c r="W20" s="71">
        <f>MPR!W20+KARACHI!W20+SINDH!W20+'GILGIT BALTISTAN'!W20+'AZAD KHASHMIR'!W20+'KHYBER PAKHTUNKHWA'!W20</f>
        <v>54</v>
      </c>
      <c r="X20" s="71">
        <f>MPR!X20+KARACHI!X20+SINDH!X20+'GILGIT BALTISTAN'!X20+'AZAD KHASHMIR'!X20+'KHYBER PAKHTUNKHWA'!X20</f>
        <v>60</v>
      </c>
      <c r="Y20" s="71">
        <f>MPR!Y20+KARACHI!Y20+SINDH!Y20+'GILGIT BALTISTAN'!Y20+'AZAD KHASHMIR'!Y20+'KHYBER PAKHTUNKHWA'!Y20</f>
        <v>95</v>
      </c>
      <c r="Z20" s="71">
        <f>MPR!Z20+KARACHI!Z20+SINDH!Z20+'GILGIT BALTISTAN'!Z20+'AZAD KHASHMIR'!Z20+'KHYBER PAKHTUNKHWA'!Z20</f>
        <v>71</v>
      </c>
      <c r="AA20" s="71">
        <f t="shared" ref="AA20:AB22" si="0">SUM(K20+M20+O20+Q20+S20+U20+W20+Y20)</f>
        <v>579</v>
      </c>
      <c r="AB20" s="71">
        <f t="shared" si="0"/>
        <v>562</v>
      </c>
      <c r="AC20" s="71">
        <f t="shared" ref="AC20:AC23" si="1">SUM(AA20:AB20)</f>
        <v>1141</v>
      </c>
    </row>
    <row r="21" spans="1:32" ht="24.9" customHeight="1" x14ac:dyDescent="0.25">
      <c r="A21" s="281" t="s">
        <v>41</v>
      </c>
      <c r="B21" s="282"/>
      <c r="C21" s="282"/>
      <c r="D21" s="282"/>
      <c r="E21" s="282"/>
      <c r="F21" s="282"/>
      <c r="G21" s="282"/>
      <c r="H21" s="282"/>
      <c r="I21" s="282"/>
      <c r="J21" s="283"/>
      <c r="K21" s="71">
        <f>MPR!K21+KARACHI!K21+SINDH!K21+'GILGIT BALTISTAN'!K21+'AZAD KHASHMIR'!K21+'KHYBER PAKHTUNKHWA'!K21</f>
        <v>0</v>
      </c>
      <c r="L21" s="71">
        <f>MPR!L21+KARACHI!L21+SINDH!L21+'GILGIT BALTISTAN'!L21+'AZAD KHASHMIR'!L21+'KHYBER PAKHTUNKHWA'!L21</f>
        <v>0</v>
      </c>
      <c r="M21" s="71">
        <f>MPR!M21+KARACHI!M21+SINDH!M21+'GILGIT BALTISTAN'!M21+'AZAD KHASHMIR'!M21+'KHYBER PAKHTUNKHWA'!M21</f>
        <v>0</v>
      </c>
      <c r="N21" s="71">
        <f>MPR!N21+KARACHI!N21+SINDH!N21+'GILGIT BALTISTAN'!N21+'AZAD KHASHMIR'!N21+'KHYBER PAKHTUNKHWA'!N21</f>
        <v>0</v>
      </c>
      <c r="O21" s="71">
        <f>MPR!O21+KARACHI!O21+SINDH!O21+'GILGIT BALTISTAN'!O21+'AZAD KHASHMIR'!O21+'KHYBER PAKHTUNKHWA'!O21</f>
        <v>0</v>
      </c>
      <c r="P21" s="71">
        <f>MPR!P21+KARACHI!P21+SINDH!P21+'GILGIT BALTISTAN'!P21+'AZAD KHASHMIR'!P21+'KHYBER PAKHTUNKHWA'!P21</f>
        <v>1</v>
      </c>
      <c r="Q21" s="71">
        <f>MPR!Q21+KARACHI!Q21+SINDH!Q21+'GILGIT BALTISTAN'!Q21+'AZAD KHASHMIR'!Q21+'KHYBER PAKHTUNKHWA'!Q21</f>
        <v>0</v>
      </c>
      <c r="R21" s="71">
        <f>MPR!R21+KARACHI!R21+SINDH!R21+'GILGIT BALTISTAN'!R21+'AZAD KHASHMIR'!R21+'KHYBER PAKHTUNKHWA'!R21</f>
        <v>0</v>
      </c>
      <c r="S21" s="71">
        <f>MPR!S21+KARACHI!S21+SINDH!S21+'GILGIT BALTISTAN'!S21+'AZAD KHASHMIR'!S21+'KHYBER PAKHTUNKHWA'!S21</f>
        <v>0</v>
      </c>
      <c r="T21" s="71">
        <f>MPR!T21+KARACHI!T21+SINDH!T21+'GILGIT BALTISTAN'!T21+'AZAD KHASHMIR'!T21+'KHYBER PAKHTUNKHWA'!T21</f>
        <v>1</v>
      </c>
      <c r="U21" s="71">
        <f>MPR!U21+KARACHI!U21+SINDH!U21+'GILGIT BALTISTAN'!U21+'AZAD KHASHMIR'!U21+'KHYBER PAKHTUNKHWA'!U21</f>
        <v>0</v>
      </c>
      <c r="V21" s="71">
        <f>MPR!V21+KARACHI!V21+SINDH!V21+'GILGIT BALTISTAN'!V21+'AZAD KHASHMIR'!V21+'KHYBER PAKHTUNKHWA'!V21</f>
        <v>0</v>
      </c>
      <c r="W21" s="71">
        <f>MPR!W21+KARACHI!W21+SINDH!W21+'GILGIT BALTISTAN'!W21+'AZAD KHASHMIR'!W21+'KHYBER PAKHTUNKHWA'!W21</f>
        <v>0</v>
      </c>
      <c r="X21" s="71">
        <f>MPR!X21+KARACHI!X21+SINDH!X21+'GILGIT BALTISTAN'!X21+'AZAD KHASHMIR'!X21+'KHYBER PAKHTUNKHWA'!X21</f>
        <v>0</v>
      </c>
      <c r="Y21" s="71">
        <f>MPR!Y21+KARACHI!Y21+SINDH!Y21+'GILGIT BALTISTAN'!Y21+'AZAD KHASHMIR'!Y21+'KHYBER PAKHTUNKHWA'!Y21</f>
        <v>0</v>
      </c>
      <c r="Z21" s="71">
        <f>MPR!Z21+KARACHI!Z21+SINDH!Z21+'GILGIT BALTISTAN'!Z21+'AZAD KHASHMIR'!Z21+'KHYBER PAKHTUNKHWA'!Z21</f>
        <v>1</v>
      </c>
      <c r="AA21" s="71">
        <f t="shared" si="0"/>
        <v>0</v>
      </c>
      <c r="AB21" s="71">
        <f t="shared" si="0"/>
        <v>3</v>
      </c>
      <c r="AC21" s="71">
        <f t="shared" si="1"/>
        <v>3</v>
      </c>
    </row>
    <row r="22" spans="1:32" ht="24.9" customHeight="1" x14ac:dyDescent="0.25">
      <c r="A22" s="281" t="s">
        <v>42</v>
      </c>
      <c r="B22" s="282"/>
      <c r="C22" s="282"/>
      <c r="D22" s="282"/>
      <c r="E22" s="282"/>
      <c r="F22" s="282"/>
      <c r="G22" s="282"/>
      <c r="H22" s="282"/>
      <c r="I22" s="282"/>
      <c r="J22" s="283"/>
      <c r="K22" s="71">
        <f>MPR!K22+KARACHI!K22+SINDH!K22+'GILGIT BALTISTAN'!K22+'AZAD KHASHMIR'!K22+'KHYBER PAKHTUNKHWA'!K22</f>
        <v>28</v>
      </c>
      <c r="L22" s="71">
        <f>MPR!L22+KARACHI!L22+SINDH!L22+'GILGIT BALTISTAN'!L22+'AZAD KHASHMIR'!L22+'KHYBER PAKHTUNKHWA'!L22</f>
        <v>17</v>
      </c>
      <c r="M22" s="71">
        <f>MPR!M22+KARACHI!M22+SINDH!M22+'GILGIT BALTISTAN'!M22+'AZAD KHASHMIR'!M22+'KHYBER PAKHTUNKHWA'!M22</f>
        <v>26</v>
      </c>
      <c r="N22" s="71">
        <f>MPR!N22+KARACHI!N22+SINDH!N22+'GILGIT BALTISTAN'!N22+'AZAD KHASHMIR'!N22+'KHYBER PAKHTUNKHWA'!N22</f>
        <v>33</v>
      </c>
      <c r="O22" s="71">
        <f>MPR!O22+KARACHI!O22+SINDH!O22+'GILGIT BALTISTAN'!O22+'AZAD KHASHMIR'!O22+'KHYBER PAKHTUNKHWA'!O22</f>
        <v>72</v>
      </c>
      <c r="P22" s="71">
        <f>MPR!P22+KARACHI!P22+SINDH!P22+'GILGIT BALTISTAN'!P22+'AZAD KHASHMIR'!P22+'KHYBER PAKHTUNKHWA'!P22</f>
        <v>68</v>
      </c>
      <c r="Q22" s="71">
        <f>MPR!Q22+KARACHI!Q22+SINDH!Q22+'GILGIT BALTISTAN'!Q22+'AZAD KHASHMIR'!Q22+'KHYBER PAKHTUNKHWA'!Q22</f>
        <v>60</v>
      </c>
      <c r="R22" s="71">
        <f>MPR!R22+KARACHI!R22+SINDH!R22+'GILGIT BALTISTAN'!R22+'AZAD KHASHMIR'!R22+'KHYBER PAKHTUNKHWA'!R22</f>
        <v>50</v>
      </c>
      <c r="S22" s="71">
        <f>MPR!S22+KARACHI!S22+SINDH!S22+'GILGIT BALTISTAN'!S22+'AZAD KHASHMIR'!S22+'KHYBER PAKHTUNKHWA'!S22</f>
        <v>44</v>
      </c>
      <c r="T22" s="71">
        <f>MPR!T22+KARACHI!T22+SINDH!T22+'GILGIT BALTISTAN'!T22+'AZAD KHASHMIR'!T22+'KHYBER PAKHTUNKHWA'!T22</f>
        <v>42</v>
      </c>
      <c r="U22" s="71">
        <f>MPR!U22+KARACHI!U22+SINDH!U22+'GILGIT BALTISTAN'!U22+'AZAD KHASHMIR'!U22+'KHYBER PAKHTUNKHWA'!U22</f>
        <v>44</v>
      </c>
      <c r="V22" s="71">
        <f>MPR!V22+KARACHI!V22+SINDH!V22+'GILGIT BALTISTAN'!V22+'AZAD KHASHMIR'!V22+'KHYBER PAKHTUNKHWA'!V22</f>
        <v>29</v>
      </c>
      <c r="W22" s="71">
        <f>MPR!W22+KARACHI!W22+SINDH!W22+'GILGIT BALTISTAN'!W22+'AZAD KHASHMIR'!W22+'KHYBER PAKHTUNKHWA'!W22</f>
        <v>32</v>
      </c>
      <c r="X22" s="71">
        <f>MPR!X22+KARACHI!X22+SINDH!X22+'GILGIT BALTISTAN'!X22+'AZAD KHASHMIR'!X22+'KHYBER PAKHTUNKHWA'!X22</f>
        <v>23</v>
      </c>
      <c r="Y22" s="71">
        <f>MPR!Y22+KARACHI!Y22+SINDH!Y22+'GILGIT BALTISTAN'!Y22+'AZAD KHASHMIR'!Y22+'KHYBER PAKHTUNKHWA'!Y22</f>
        <v>57</v>
      </c>
      <c r="Z22" s="71">
        <f>MPR!Z22+KARACHI!Z22+SINDH!Z22+'GILGIT BALTISTAN'!Z22+'AZAD KHASHMIR'!Z22+'KHYBER PAKHTUNKHWA'!Z22</f>
        <v>31</v>
      </c>
      <c r="AA22" s="71">
        <f t="shared" si="0"/>
        <v>363</v>
      </c>
      <c r="AB22" s="71">
        <f t="shared" si="0"/>
        <v>293</v>
      </c>
      <c r="AC22" s="71">
        <f t="shared" si="1"/>
        <v>656</v>
      </c>
    </row>
    <row r="23" spans="1:32" ht="24.9" customHeight="1" x14ac:dyDescent="0.25">
      <c r="A23" s="224" t="s">
        <v>7</v>
      </c>
      <c r="B23" s="225"/>
      <c r="C23" s="225"/>
      <c r="D23" s="225"/>
      <c r="E23" s="225"/>
      <c r="F23" s="225"/>
      <c r="G23" s="225"/>
      <c r="H23" s="225"/>
      <c r="I23" s="225"/>
      <c r="J23" s="226"/>
      <c r="K23" s="71">
        <f>SUM(K19:K22)</f>
        <v>179</v>
      </c>
      <c r="L23" s="71">
        <f t="shared" ref="L23:AB23" si="2">SUM(L19:L22)</f>
        <v>145</v>
      </c>
      <c r="M23" s="71">
        <f t="shared" si="2"/>
        <v>78</v>
      </c>
      <c r="N23" s="71">
        <f t="shared" si="2"/>
        <v>120</v>
      </c>
      <c r="O23" s="71">
        <f t="shared" si="2"/>
        <v>226</v>
      </c>
      <c r="P23" s="71">
        <f t="shared" si="2"/>
        <v>278</v>
      </c>
      <c r="Q23" s="71">
        <f t="shared" si="2"/>
        <v>208</v>
      </c>
      <c r="R23" s="71">
        <f t="shared" si="2"/>
        <v>189</v>
      </c>
      <c r="S23" s="71">
        <f t="shared" si="2"/>
        <v>173</v>
      </c>
      <c r="T23" s="71">
        <f t="shared" si="2"/>
        <v>149</v>
      </c>
      <c r="U23" s="71">
        <f t="shared" si="2"/>
        <v>168</v>
      </c>
      <c r="V23" s="71">
        <f t="shared" si="2"/>
        <v>139</v>
      </c>
      <c r="W23" s="71">
        <f t="shared" si="2"/>
        <v>170</v>
      </c>
      <c r="X23" s="71">
        <f t="shared" si="2"/>
        <v>152</v>
      </c>
      <c r="Y23" s="71">
        <f t="shared" si="2"/>
        <v>272</v>
      </c>
      <c r="Z23" s="71">
        <f t="shared" si="2"/>
        <v>201</v>
      </c>
      <c r="AA23" s="71">
        <f t="shared" si="2"/>
        <v>1474</v>
      </c>
      <c r="AB23" s="71">
        <f t="shared" si="2"/>
        <v>1373</v>
      </c>
      <c r="AC23" s="71">
        <f t="shared" si="1"/>
        <v>2847</v>
      </c>
    </row>
    <row r="24" spans="1:32" ht="6.75" customHeight="1" x14ac:dyDescent="0.25">
      <c r="A24" s="79"/>
      <c r="B24" s="80"/>
      <c r="C24" s="80"/>
      <c r="D24" s="80"/>
      <c r="E24" s="80"/>
      <c r="F24" s="81"/>
      <c r="G24" s="82"/>
      <c r="H24" s="82"/>
      <c r="I24" s="82"/>
      <c r="J24" s="82"/>
      <c r="K24" s="82"/>
      <c r="L24" s="82"/>
      <c r="M24" s="83"/>
      <c r="N24" s="82"/>
      <c r="O24" s="337"/>
      <c r="P24" s="338"/>
      <c r="Q24" s="84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5"/>
    </row>
    <row r="25" spans="1:32" ht="18" customHeight="1" x14ac:dyDescent="0.25">
      <c r="A25" s="86" t="s">
        <v>45</v>
      </c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8"/>
      <c r="M25" s="89"/>
      <c r="N25" s="86" t="s">
        <v>46</v>
      </c>
      <c r="O25" s="87"/>
      <c r="P25" s="87"/>
      <c r="Q25" s="87"/>
      <c r="R25" s="87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1"/>
    </row>
    <row r="26" spans="1:32" ht="42.75" customHeight="1" x14ac:dyDescent="0.25">
      <c r="A26" s="307" t="s">
        <v>47</v>
      </c>
      <c r="B26" s="312" t="s">
        <v>48</v>
      </c>
      <c r="C26" s="313"/>
      <c r="D26" s="314" t="s">
        <v>49</v>
      </c>
      <c r="E26" s="315"/>
      <c r="F26" s="316"/>
      <c r="G26" s="314" t="s">
        <v>50</v>
      </c>
      <c r="H26" s="315"/>
      <c r="I26" s="315"/>
      <c r="J26" s="316"/>
      <c r="K26" s="307" t="s">
        <v>51</v>
      </c>
      <c r="L26" s="307" t="s">
        <v>52</v>
      </c>
      <c r="M26" s="20"/>
      <c r="N26" s="309" t="s">
        <v>53</v>
      </c>
      <c r="O26" s="310"/>
      <c r="P26" s="311"/>
      <c r="Q26" s="309" t="s">
        <v>54</v>
      </c>
      <c r="R26" s="310"/>
      <c r="S26" s="311"/>
      <c r="T26" s="309" t="s">
        <v>55</v>
      </c>
      <c r="U26" s="310"/>
      <c r="V26" s="310"/>
      <c r="W26" s="310"/>
      <c r="X26" s="310"/>
      <c r="Y26" s="310"/>
      <c r="Z26" s="310"/>
      <c r="AA26" s="310"/>
      <c r="AB26" s="310"/>
      <c r="AC26" s="311"/>
    </row>
    <row r="27" spans="1:32" ht="48" customHeight="1" x14ac:dyDescent="0.25">
      <c r="A27" s="308"/>
      <c r="B27" s="21" t="s">
        <v>7</v>
      </c>
      <c r="C27" s="22" t="s">
        <v>87</v>
      </c>
      <c r="D27" s="22" t="s">
        <v>56</v>
      </c>
      <c r="E27" s="22" t="s">
        <v>88</v>
      </c>
      <c r="F27" s="22" t="s">
        <v>89</v>
      </c>
      <c r="G27" s="23" t="s">
        <v>56</v>
      </c>
      <c r="H27" s="22" t="s">
        <v>90</v>
      </c>
      <c r="I27" s="23" t="s">
        <v>57</v>
      </c>
      <c r="J27" s="23" t="s">
        <v>58</v>
      </c>
      <c r="K27" s="308"/>
      <c r="L27" s="308"/>
      <c r="M27" s="20"/>
      <c r="N27" s="309">
        <f>MPR!N27+KARACHI!N27+SINDH!N27+'GILGIT BALTISTAN'!N27:P27+'AZAD KHASHMIR'!N27:P27+'KHYBER PAKHTUNKHWA'!N27:P27</f>
        <v>219</v>
      </c>
      <c r="O27" s="310"/>
      <c r="P27" s="311"/>
      <c r="Q27" s="309">
        <f>MPR!Q27+KARACHI!Q27+SINDH!Q27+'GILGIT BALTISTAN'!Q27:S27+'AZAD KHASHMIR'!Q27:S27+'KHYBER PAKHTUNKHWA'!Q27:S27</f>
        <v>3</v>
      </c>
      <c r="R27" s="310"/>
      <c r="S27" s="311"/>
      <c r="T27" s="309">
        <f>MPR!T27+KARACHI!T27+SINDH!T27+'GILGIT BALTISTAN'!T27:AC27+'AZAD KHASHMIR'!T27:AC27+'KHYBER PAKHTUNKHWA'!T27:AC27</f>
        <v>3</v>
      </c>
      <c r="U27" s="310"/>
      <c r="V27" s="310"/>
      <c r="W27" s="310"/>
      <c r="X27" s="310"/>
      <c r="Y27" s="310"/>
      <c r="Z27" s="310"/>
      <c r="AA27" s="310"/>
      <c r="AB27" s="310"/>
      <c r="AC27" s="311"/>
    </row>
    <row r="28" spans="1:32" ht="38.25" customHeight="1" x14ac:dyDescent="0.25">
      <c r="A28" s="270">
        <f>MPR!A28+KARACHI!A28+SINDH!A28+'GILGIT BALTISTAN'!A28:A32+'AZAD KHASHMIR'!A28:A32+'KHYBER PAKHTUNKHWA'!A28:A32</f>
        <v>470126</v>
      </c>
      <c r="B28" s="270">
        <f>MPR!B28+KARACHI!B28+SINDH!B28+'GILGIT BALTISTAN'!B28:B32+'AZAD KHASHMIR'!B28:B32+'KHYBER PAKHTUNKHWA'!B28:B32</f>
        <v>14463</v>
      </c>
      <c r="C28" s="270">
        <f>MPR!C28+KARACHI!C28+SINDH!C28+'GILGIT BALTISTAN'!C28:C32+'AZAD KHASHMIR'!C28:C32+'KHYBER PAKHTUNKHWA'!C28:C32</f>
        <v>2605</v>
      </c>
      <c r="D28" s="270">
        <f>MPR!D28+KARACHI!D28+SINDH!D28+'GILGIT BALTISTAN'!D28:D32+'AZAD KHASHMIR'!D28:D32+'KHYBER PAKHTUNKHWA'!D28:D32</f>
        <v>6749</v>
      </c>
      <c r="E28" s="270">
        <f>MPR!E28+KARACHI!E28+SINDH!E28+'GILGIT BALTISTAN'!E28:E32+'AZAD KHASHMIR'!E28:E32+'KHYBER PAKHTUNKHWA'!E28:E32</f>
        <v>1068</v>
      </c>
      <c r="F28" s="270">
        <f>MPR!F28+KARACHI!F28+SINDH!F28+'GILGIT BALTISTAN'!F28:F32+'AZAD KHASHMIR'!F28:F32+'KHYBER PAKHTUNKHWA'!F28:F32</f>
        <v>7423</v>
      </c>
      <c r="G28" s="270">
        <f>MPR!G28+KARACHI!G28+SINDH!G28+'GILGIT BALTISTAN'!G28:G32+'AZAD KHASHMIR'!G28:G32+'KHYBER PAKHTUNKHWA'!G28:G32</f>
        <v>830</v>
      </c>
      <c r="H28" s="270">
        <f>MPR!H28+KARACHI!H28+SINDH!H28+'GILGIT BALTISTAN'!H28:H32+'AZAD KHASHMIR'!H28:H32+'KHYBER PAKHTUNKHWA'!H28:H32</f>
        <v>94</v>
      </c>
      <c r="I28" s="270">
        <f>MPR!I28+KARACHI!I28+SINDH!I28+'GILGIT BALTISTAN'!I28:I32+'AZAD KHASHMIR'!I28:I32+'KHYBER PAKHTUNKHWA'!I28:I32</f>
        <v>123</v>
      </c>
      <c r="J28" s="440">
        <f>SUM(G28:I32)</f>
        <v>1047</v>
      </c>
      <c r="K28" s="270">
        <f>MPR!K28+KARACHI!K28+SINDH!K28+'GILGIT BALTISTAN'!K28:K32+'AZAD KHASHMIR'!K28:K32+'KHYBER PAKHTUNKHWA'!K28:K32</f>
        <v>1022</v>
      </c>
      <c r="L28" s="270">
        <f>MPR!L28+KARACHI!L28+SINDH!L28+'GILGIT BALTISTAN'!L28:L32+'AZAD KHASHMIR'!L28:L32+'KHYBER PAKHTUNKHWA'!L28:L32</f>
        <v>1505</v>
      </c>
      <c r="M28" s="20"/>
      <c r="N28" s="309" t="s">
        <v>59</v>
      </c>
      <c r="O28" s="310"/>
      <c r="P28" s="311"/>
      <c r="Q28" s="309" t="s">
        <v>60</v>
      </c>
      <c r="R28" s="310"/>
      <c r="S28" s="311"/>
      <c r="T28" s="293" t="s">
        <v>61</v>
      </c>
      <c r="U28" s="294"/>
      <c r="V28" s="294"/>
      <c r="W28" s="295"/>
      <c r="X28" s="293" t="s">
        <v>62</v>
      </c>
      <c r="Y28" s="294"/>
      <c r="Z28" s="294"/>
      <c r="AA28" s="294"/>
      <c r="AB28" s="294"/>
      <c r="AC28" s="295"/>
    </row>
    <row r="29" spans="1:32" ht="19.5" customHeight="1" x14ac:dyDescent="0.25">
      <c r="A29" s="271"/>
      <c r="B29" s="271"/>
      <c r="C29" s="271"/>
      <c r="D29" s="271"/>
      <c r="E29" s="271"/>
      <c r="F29" s="271"/>
      <c r="G29" s="271"/>
      <c r="H29" s="271"/>
      <c r="I29" s="271"/>
      <c r="J29" s="441"/>
      <c r="K29" s="271"/>
      <c r="L29" s="271"/>
      <c r="M29" s="20"/>
      <c r="N29" s="287">
        <f>MPR!N29+KARACHI!N29+SINDH!N29+'GILGIT BALTISTAN'!N29:P32+'AZAD KHASHMIR'!N29:P32+'KHYBER PAKHTUNKHWA'!N29:P32</f>
        <v>0</v>
      </c>
      <c r="O29" s="288"/>
      <c r="P29" s="289"/>
      <c r="Q29" s="287">
        <f>MPR!Q29+KARACHI!Q29+SINDH!Q29+'GILGIT BALTISTAN'!Q29:S32+'AZAD KHASHMIR'!Q29:S32+'KHYBER PAKHTUNKHWA'!Q29:S32</f>
        <v>0</v>
      </c>
      <c r="R29" s="288"/>
      <c r="S29" s="289"/>
      <c r="T29" s="287">
        <f>MPR!T29+KARACHI!T29+SINDH!T29+'GILGIT BALTISTAN'!T29:W32+'AZAD KHASHMIR'!T29:W32+'KHYBER PAKHTUNKHWA'!T29:W32</f>
        <v>0</v>
      </c>
      <c r="U29" s="288"/>
      <c r="V29" s="288"/>
      <c r="W29" s="289"/>
      <c r="X29" s="24"/>
      <c r="Y29" s="309" t="s">
        <v>0</v>
      </c>
      <c r="Z29" s="311"/>
      <c r="AA29" s="25" t="s">
        <v>1</v>
      </c>
      <c r="AB29" s="309" t="s">
        <v>63</v>
      </c>
      <c r="AC29" s="311"/>
    </row>
    <row r="30" spans="1:32" ht="18" customHeight="1" x14ac:dyDescent="0.25">
      <c r="A30" s="271"/>
      <c r="B30" s="271"/>
      <c r="C30" s="271"/>
      <c r="D30" s="271"/>
      <c r="E30" s="271"/>
      <c r="F30" s="271"/>
      <c r="G30" s="271"/>
      <c r="H30" s="271"/>
      <c r="I30" s="271"/>
      <c r="J30" s="441"/>
      <c r="K30" s="271"/>
      <c r="L30" s="271"/>
      <c r="M30" s="20"/>
      <c r="N30" s="290"/>
      <c r="O30" s="291"/>
      <c r="P30" s="292"/>
      <c r="Q30" s="290"/>
      <c r="R30" s="291"/>
      <c r="S30" s="292"/>
      <c r="T30" s="290"/>
      <c r="U30" s="291"/>
      <c r="V30" s="291"/>
      <c r="W30" s="292"/>
      <c r="X30" s="26" t="s">
        <v>64</v>
      </c>
      <c r="Y30" s="317">
        <f>MPR!Y30+KARACHI!Y30+SINDH!Y30+'GILGIT BALTISTAN'!Y30:Z30+'AZAD KHASHMIR'!Y30:Z30+'KHYBER PAKHTUNKHWA'!Y30:Z30</f>
        <v>0</v>
      </c>
      <c r="Z30" s="317"/>
      <c r="AA30" s="101">
        <f>MPR!AA30+KARACHI!AA30+SINDH!AA30+'GILGIT BALTISTAN'!AA30+'AZAD KHASHMIR'!AA30+'KHYBER PAKHTUNKHWA'!AA30</f>
        <v>0</v>
      </c>
      <c r="AB30" s="446">
        <f>MPR!AB30+KARACHI!AB30+SINDH!AB30+'GILGIT BALTISTAN'!AB30:AC30+'AZAD KHASHMIR'!AB30:AC30+'KHYBER PAKHTUNKHWA'!AB30:AC30</f>
        <v>0</v>
      </c>
      <c r="AC30" s="317"/>
    </row>
    <row r="31" spans="1:32" ht="18" customHeight="1" x14ac:dyDescent="0.25">
      <c r="A31" s="271"/>
      <c r="B31" s="271"/>
      <c r="C31" s="271"/>
      <c r="D31" s="271"/>
      <c r="E31" s="271"/>
      <c r="F31" s="271"/>
      <c r="G31" s="271"/>
      <c r="H31" s="271"/>
      <c r="I31" s="271"/>
      <c r="J31" s="441"/>
      <c r="K31" s="271"/>
      <c r="L31" s="271"/>
      <c r="M31" s="20"/>
      <c r="N31" s="290"/>
      <c r="O31" s="291"/>
      <c r="P31" s="292"/>
      <c r="Q31" s="290"/>
      <c r="R31" s="291"/>
      <c r="S31" s="292"/>
      <c r="T31" s="290"/>
      <c r="U31" s="291"/>
      <c r="V31" s="291"/>
      <c r="W31" s="292"/>
      <c r="X31" s="26" t="s">
        <v>65</v>
      </c>
      <c r="Y31" s="317">
        <f>MPR!Y31+KARACHI!Y31+SINDH!Y31+'GILGIT BALTISTAN'!Y31:Z31+'AZAD KHASHMIR'!Y31:Z31+'KHYBER PAKHTUNKHWA'!Y31:Z31</f>
        <v>0</v>
      </c>
      <c r="Z31" s="317"/>
      <c r="AA31" s="101">
        <f>MPR!AA31+KARACHI!AA31+SINDH!AA31+'GILGIT BALTISTAN'!AA31+'AZAD KHASHMIR'!AA31+'KHYBER PAKHTUNKHWA'!AA31</f>
        <v>0</v>
      </c>
      <c r="AB31" s="446">
        <f>MPR!AB31+KARACHI!AB31+SINDH!AB31+'GILGIT BALTISTAN'!AB31:AC31+'AZAD KHASHMIR'!AB31:AC31+'KHYBER PAKHTUNKHWA'!AB31:AC31</f>
        <v>0</v>
      </c>
      <c r="AC31" s="317"/>
    </row>
    <row r="32" spans="1:32" ht="18" customHeight="1" x14ac:dyDescent="0.25">
      <c r="A32" s="272"/>
      <c r="B32" s="272"/>
      <c r="C32" s="272"/>
      <c r="D32" s="272"/>
      <c r="E32" s="272"/>
      <c r="F32" s="272"/>
      <c r="G32" s="272"/>
      <c r="H32" s="272"/>
      <c r="I32" s="272"/>
      <c r="J32" s="442"/>
      <c r="K32" s="272"/>
      <c r="L32" s="272"/>
      <c r="M32" s="20"/>
      <c r="N32" s="293"/>
      <c r="O32" s="294"/>
      <c r="P32" s="295"/>
      <c r="Q32" s="293"/>
      <c r="R32" s="294"/>
      <c r="S32" s="295"/>
      <c r="T32" s="293"/>
      <c r="U32" s="294"/>
      <c r="V32" s="294"/>
      <c r="W32" s="295"/>
      <c r="X32" s="26" t="s">
        <v>66</v>
      </c>
      <c r="Y32" s="317">
        <f>MPR!Y32+KARACHI!Y32+SINDH!Y32+'GILGIT BALTISTAN'!Y32:Z32+'AZAD KHASHMIR'!Y32:Z32+'KHYBER PAKHTUNKHWA'!Y32:Z32</f>
        <v>0</v>
      </c>
      <c r="Z32" s="317"/>
      <c r="AA32" s="101">
        <f>MPR!AA32+KARACHI!AA32+SINDH!AA32+'GILGIT BALTISTAN'!AA32+'AZAD KHASHMIR'!AA32+'KHYBER PAKHTUNKHWA'!AA32</f>
        <v>0</v>
      </c>
      <c r="AB32" s="446">
        <f>MPR!AB32+KARACHI!AB32+SINDH!AB32+'GILGIT BALTISTAN'!AB32:AC32+'AZAD KHASHMIR'!AB32:AC32+'KHYBER PAKHTUNKHWA'!AB32:AC32</f>
        <v>0</v>
      </c>
      <c r="AC32" s="317"/>
    </row>
    <row r="33" spans="1:29" ht="8.25" customHeight="1" x14ac:dyDescent="0.25">
      <c r="A33" s="27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92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78"/>
    </row>
    <row r="34" spans="1:29" ht="18" customHeight="1" x14ac:dyDescent="0.25">
      <c r="A34" s="86" t="s">
        <v>67</v>
      </c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8"/>
      <c r="M34" s="93"/>
      <c r="N34" s="86" t="s">
        <v>68</v>
      </c>
      <c r="O34" s="88"/>
      <c r="P34" s="87"/>
      <c r="Q34" s="94"/>
      <c r="R34" s="87"/>
      <c r="S34" s="87"/>
      <c r="T34" s="87"/>
      <c r="U34" s="87"/>
      <c r="V34" s="87"/>
      <c r="W34" s="87"/>
      <c r="X34" s="87"/>
      <c r="Y34" s="87"/>
      <c r="Z34" s="87"/>
      <c r="AA34" s="90"/>
      <c r="AB34" s="90"/>
      <c r="AC34" s="95"/>
    </row>
    <row r="35" spans="1:29" ht="57" customHeight="1" x14ac:dyDescent="0.25">
      <c r="A35" s="331"/>
      <c r="B35" s="332"/>
      <c r="C35" s="332"/>
      <c r="D35" s="332"/>
      <c r="E35" s="332"/>
      <c r="F35" s="333"/>
      <c r="G35" s="224" t="s">
        <v>11</v>
      </c>
      <c r="H35" s="226"/>
      <c r="I35" s="224" t="s">
        <v>12</v>
      </c>
      <c r="J35" s="226"/>
      <c r="K35" s="33" t="s">
        <v>69</v>
      </c>
      <c r="L35" s="34"/>
      <c r="M35" s="96"/>
      <c r="N35" s="314" t="s">
        <v>70</v>
      </c>
      <c r="O35" s="315"/>
      <c r="P35" s="316"/>
      <c r="Q35" s="314" t="s">
        <v>71</v>
      </c>
      <c r="R35" s="315"/>
      <c r="S35" s="316"/>
      <c r="T35" s="314" t="s">
        <v>72</v>
      </c>
      <c r="U35" s="315"/>
      <c r="V35" s="316"/>
      <c r="W35" s="314" t="s">
        <v>73</v>
      </c>
      <c r="X35" s="315"/>
      <c r="Y35" s="315"/>
      <c r="Z35" s="316"/>
      <c r="AA35" s="314" t="s">
        <v>74</v>
      </c>
      <c r="AB35" s="315"/>
      <c r="AC35" s="316"/>
    </row>
    <row r="36" spans="1:29" ht="13.5" customHeight="1" x14ac:dyDescent="0.25">
      <c r="A36" s="334"/>
      <c r="B36" s="335"/>
      <c r="C36" s="335"/>
      <c r="D36" s="335"/>
      <c r="E36" s="335"/>
      <c r="F36" s="336"/>
      <c r="G36" s="7" t="s">
        <v>75</v>
      </c>
      <c r="H36" s="7" t="s">
        <v>13</v>
      </c>
      <c r="I36" s="7" t="s">
        <v>75</v>
      </c>
      <c r="J36" s="7" t="s">
        <v>13</v>
      </c>
      <c r="K36" s="7" t="s">
        <v>75</v>
      </c>
      <c r="L36" s="7" t="s">
        <v>13</v>
      </c>
      <c r="M36" s="97"/>
      <c r="N36" s="37" t="s">
        <v>0</v>
      </c>
      <c r="O36" s="98" t="s">
        <v>1</v>
      </c>
      <c r="P36" s="98" t="s">
        <v>91</v>
      </c>
      <c r="Q36" s="37" t="s">
        <v>0</v>
      </c>
      <c r="R36" s="98" t="s">
        <v>1</v>
      </c>
      <c r="S36" s="98" t="s">
        <v>91</v>
      </c>
      <c r="T36" s="37" t="s">
        <v>0</v>
      </c>
      <c r="U36" s="98" t="s">
        <v>1</v>
      </c>
      <c r="V36" s="98" t="s">
        <v>91</v>
      </c>
      <c r="W36" s="37"/>
      <c r="X36" s="37" t="s">
        <v>0</v>
      </c>
      <c r="Y36" s="99" t="s">
        <v>1</v>
      </c>
      <c r="Z36" s="39" t="s">
        <v>76</v>
      </c>
      <c r="AA36" s="37" t="s">
        <v>0</v>
      </c>
      <c r="AB36" s="99" t="s">
        <v>1</v>
      </c>
      <c r="AC36" s="39" t="s">
        <v>76</v>
      </c>
    </row>
    <row r="37" spans="1:29" ht="24.9" customHeight="1" x14ac:dyDescent="0.25">
      <c r="A37" s="224" t="s">
        <v>77</v>
      </c>
      <c r="B37" s="225"/>
      <c r="C37" s="225"/>
      <c r="D37" s="225"/>
      <c r="E37" s="225"/>
      <c r="F37" s="226"/>
      <c r="G37" s="71">
        <f>MPR!G37+KARACHI!G37+SINDH!G37+'GILGIT BALTISTAN'!G37+'AZAD KHASHMIR'!G37+'KHYBER PAKHTUNKHWA'!G37</f>
        <v>925</v>
      </c>
      <c r="H37" s="71">
        <f>MPR!H37+KARACHI!H37+SINDH!H37+'GILGIT BALTISTAN'!H37+'AZAD KHASHMIR'!H37+'KHYBER PAKHTUNKHWA'!H37</f>
        <v>2</v>
      </c>
      <c r="I37" s="71">
        <f>MPR!I37+KARACHI!I37+SINDH!I37+'GILGIT BALTISTAN'!I37+'AZAD KHASHMIR'!I37+'KHYBER PAKHTUNKHWA'!I37</f>
        <v>0</v>
      </c>
      <c r="J37" s="71">
        <f>MPR!J37+KARACHI!J37+SINDH!J37+'GILGIT BALTISTAN'!J37+'AZAD KHASHMIR'!J37+'KHYBER PAKHTUNKHWA'!J37</f>
        <v>0</v>
      </c>
      <c r="K37" s="71">
        <f>MPR!K37+KARACHI!K37+SINDH!K37+'GILGIT BALTISTAN'!K37+'AZAD KHASHMIR'!K37+'KHYBER PAKHTUNKHWA'!K37</f>
        <v>0</v>
      </c>
      <c r="L37" s="71">
        <f>MPR!L37+KARACHI!L37+SINDH!L37+'GILGIT BALTISTAN'!L37+'AZAD KHASHMIR'!L37+'KHYBER PAKHTUNKHWA'!L37</f>
        <v>0</v>
      </c>
      <c r="M37" s="97"/>
      <c r="N37" s="344">
        <f>MPR!N37+KARACHI!N37+SINDH!N37+'GILGIT BALTISTAN'!N37:N40+'AZAD KHASHMIR'!N37:N40+'KHYBER PAKHTUNKHWA'!N37:N40</f>
        <v>80</v>
      </c>
      <c r="O37" s="344">
        <f>MPR!O37+KARACHI!O37+SINDH!O37+'GILGIT BALTISTAN'!O37:O40+'AZAD KHASHMIR'!O37:O40+'KHYBER PAKHTUNKHWA'!O37:O40</f>
        <v>1332</v>
      </c>
      <c r="P37" s="344">
        <f>MPR!P37+KARACHI!P37+SINDH!P37+'GILGIT BALTISTAN'!P37:P40+'AZAD KHASHMIR'!P37:P40+'KHYBER PAKHTUNKHWA'!P37:P40</f>
        <v>5042</v>
      </c>
      <c r="Q37" s="344">
        <f>MPR!Q37+KARACHI!Q37+SINDH!Q37+'GILGIT BALTISTAN'!Q37:Q40+'AZAD KHASHMIR'!Q37:Q40+'KHYBER PAKHTUNKHWA'!Q37:Q40</f>
        <v>29</v>
      </c>
      <c r="R37" s="344">
        <f>MPR!R37+KARACHI!R37+SINDH!R37+'GILGIT BALTISTAN'!R37:R40+'AZAD KHASHMIR'!R37:R40+'KHYBER PAKHTUNKHWA'!R37:R40</f>
        <v>727</v>
      </c>
      <c r="S37" s="344">
        <f>MPR!S37+KARACHI!S37+SINDH!S37+'GILGIT BALTISTAN'!S37:S40+'AZAD KHASHMIR'!S37:S40+'KHYBER PAKHTUNKHWA'!S37:S40</f>
        <v>4035</v>
      </c>
      <c r="T37" s="344">
        <f>MPR!T37+KARACHI!T37+SINDH!T37+'GILGIT BALTISTAN'!T37:T40+'AZAD KHASHMIR'!T37:T40+'KHYBER PAKHTUNKHWA'!T37:T40</f>
        <v>1</v>
      </c>
      <c r="U37" s="344">
        <f>MPR!U37+KARACHI!U37+SINDH!U37+'GILGIT BALTISTAN'!U37:U40+'AZAD KHASHMIR'!U37:U40+'KHYBER PAKHTUNKHWA'!U37:U40</f>
        <v>44</v>
      </c>
      <c r="V37" s="344">
        <f>MPR!V37+KARACHI!V37+SINDH!V37+'GILGIT BALTISTAN'!V37:V40+'AZAD KHASHMIR'!V37:V40+'KHYBER PAKHTUNKHWA'!V37:V40</f>
        <v>144</v>
      </c>
      <c r="W37" s="40" t="s">
        <v>64</v>
      </c>
      <c r="X37" s="71">
        <f>MPR!X37+KARACHI!X37+SINDH!X37+'GILGIT BALTISTAN'!X37+'AZAD KHASHMIR'!X37+'KHYBER PAKHTUNKHWA'!X37</f>
        <v>1</v>
      </c>
      <c r="Y37" s="71">
        <f>MPR!Y37+KARACHI!Y37+SINDH!Y37+'GILGIT BALTISTAN'!Y37+'AZAD KHASHMIR'!Y37+'KHYBER PAKHTUNKHWA'!Y37</f>
        <v>8</v>
      </c>
      <c r="Z37" s="71">
        <f>MPR!Z37+KARACHI!Z37+SINDH!Z37+'GILGIT BALTISTAN'!Z37+'AZAD KHASHMIR'!Z37+'KHYBER PAKHTUNKHWA'!Z37</f>
        <v>13</v>
      </c>
      <c r="AA37" s="71">
        <f>MPR!AA37+KARACHI!AA37+SINDH!AA37+'GILGIT BALTISTAN'!AA37+'AZAD KHASHMIR'!AA37+'KHYBER PAKHTUNKHWA'!AA37</f>
        <v>0</v>
      </c>
      <c r="AB37" s="71">
        <f>MPR!AB37+KARACHI!AB37+SINDH!AB37+'GILGIT BALTISTAN'!AB37+'AZAD KHASHMIR'!AB37+'KHYBER PAKHTUNKHWA'!AB37</f>
        <v>0</v>
      </c>
      <c r="AC37" s="71">
        <f>MPR!AC37+KARACHI!AC37+SINDH!AC37+'GILGIT BALTISTAN'!AC37+'AZAD KHASHMIR'!AC37+'KHYBER PAKHTUNKHWA'!AC37</f>
        <v>0</v>
      </c>
    </row>
    <row r="38" spans="1:29" ht="24.9" customHeight="1" x14ac:dyDescent="0.25">
      <c r="A38" s="224" t="s">
        <v>8</v>
      </c>
      <c r="B38" s="225"/>
      <c r="C38" s="225"/>
      <c r="D38" s="225"/>
      <c r="E38" s="225"/>
      <c r="F38" s="226"/>
      <c r="G38" s="71">
        <f>MPR!G38+KARACHI!G38+SINDH!G38+'GILGIT BALTISTAN'!G38+'AZAD KHASHMIR'!G38+'KHYBER PAKHTUNKHWA'!G38</f>
        <v>30</v>
      </c>
      <c r="H38" s="71">
        <f>MPR!H38+KARACHI!H38+SINDH!H38+'GILGIT BALTISTAN'!H38+'AZAD KHASHMIR'!H38+'KHYBER PAKHTUNKHWA'!H38</f>
        <v>0</v>
      </c>
      <c r="I38" s="71">
        <f>MPR!I38+KARACHI!I38+SINDH!I38+'GILGIT BALTISTAN'!I38+'AZAD KHASHMIR'!I38+'KHYBER PAKHTUNKHWA'!I38</f>
        <v>0</v>
      </c>
      <c r="J38" s="71">
        <f>MPR!J38+KARACHI!J38+SINDH!J38+'GILGIT BALTISTAN'!J38+'AZAD KHASHMIR'!J38+'KHYBER PAKHTUNKHWA'!J38</f>
        <v>0</v>
      </c>
      <c r="K38" s="71">
        <f>MPR!K38+KARACHI!K38+SINDH!K38+'GILGIT BALTISTAN'!K38+'AZAD KHASHMIR'!K38+'KHYBER PAKHTUNKHWA'!K38</f>
        <v>0</v>
      </c>
      <c r="L38" s="71">
        <f>MPR!L38+KARACHI!L38+SINDH!L38+'GILGIT BALTISTAN'!L38+'AZAD KHASHMIR'!L38+'KHYBER PAKHTUNKHWA'!L38</f>
        <v>0</v>
      </c>
      <c r="M38" s="97"/>
      <c r="N38" s="322"/>
      <c r="O38" s="322"/>
      <c r="P38" s="322"/>
      <c r="Q38" s="322"/>
      <c r="R38" s="322"/>
      <c r="S38" s="322"/>
      <c r="T38" s="322"/>
      <c r="U38" s="322"/>
      <c r="V38" s="322"/>
      <c r="W38" s="40" t="s">
        <v>65</v>
      </c>
      <c r="X38" s="71">
        <f>MPR!X38+KARACHI!X38+SINDH!X38+'GILGIT BALTISTAN'!X38+'AZAD KHASHMIR'!X38+'KHYBER PAKHTUNKHWA'!X38</f>
        <v>0</v>
      </c>
      <c r="Y38" s="71">
        <f>MPR!Y38+KARACHI!Y38+SINDH!Y38+'GILGIT BALTISTAN'!Y38+'AZAD KHASHMIR'!Y38+'KHYBER PAKHTUNKHWA'!Y38</f>
        <v>0</v>
      </c>
      <c r="Z38" s="71">
        <f>MPR!Z38+KARACHI!Z38+SINDH!Z38+'GILGIT BALTISTAN'!Z38+'AZAD KHASHMIR'!Z38+'KHYBER PAKHTUNKHWA'!Z38</f>
        <v>11</v>
      </c>
      <c r="AA38" s="71">
        <f>MPR!AA38+KARACHI!AA38+SINDH!AA38+'GILGIT BALTISTAN'!AA38+'AZAD KHASHMIR'!AA38+'KHYBER PAKHTUNKHWA'!AA38</f>
        <v>0</v>
      </c>
      <c r="AB38" s="71">
        <f>MPR!AB38+KARACHI!AB38+SINDH!AB38+'GILGIT BALTISTAN'!AB38+'AZAD KHASHMIR'!AB38+'KHYBER PAKHTUNKHWA'!AB38</f>
        <v>0</v>
      </c>
      <c r="AC38" s="71">
        <f>MPR!AC38+KARACHI!AC38+SINDH!AC38+'GILGIT BALTISTAN'!AC38+'AZAD KHASHMIR'!AC38+'KHYBER PAKHTUNKHWA'!AC38</f>
        <v>0</v>
      </c>
    </row>
    <row r="39" spans="1:29" ht="24.9" customHeight="1" x14ac:dyDescent="0.25">
      <c r="A39" s="309" t="s">
        <v>78</v>
      </c>
      <c r="B39" s="310"/>
      <c r="C39" s="310"/>
      <c r="D39" s="310"/>
      <c r="E39" s="310"/>
      <c r="F39" s="311"/>
      <c r="G39" s="71">
        <f>MPR!G39+KARACHI!G39+SINDH!G39+'GILGIT BALTISTAN'!G39+'AZAD KHASHMIR'!G39+'KHYBER PAKHTUNKHWA'!G39</f>
        <v>3</v>
      </c>
      <c r="H39" s="71">
        <f>MPR!H39+KARACHI!H39+SINDH!H39+'GILGIT BALTISTAN'!H39+'AZAD KHASHMIR'!H39+'KHYBER PAKHTUNKHWA'!H39</f>
        <v>1</v>
      </c>
      <c r="I39" s="71">
        <f>MPR!I39+KARACHI!I39+SINDH!I39+'GILGIT BALTISTAN'!I39+'AZAD KHASHMIR'!I39+'KHYBER PAKHTUNKHWA'!I39</f>
        <v>0</v>
      </c>
      <c r="J39" s="71">
        <f>MPR!J39+KARACHI!J39+SINDH!J39+'GILGIT BALTISTAN'!J39+'AZAD KHASHMIR'!J39+'KHYBER PAKHTUNKHWA'!J39</f>
        <v>0</v>
      </c>
      <c r="K39" s="71">
        <f>MPR!K39+KARACHI!K39+SINDH!K39+'GILGIT BALTISTAN'!K39+'AZAD KHASHMIR'!K39+'KHYBER PAKHTUNKHWA'!K39</f>
        <v>0</v>
      </c>
      <c r="L39" s="71">
        <f>MPR!L39+KARACHI!L39+SINDH!L39+'GILGIT BALTISTAN'!L39+'AZAD KHASHMIR'!L39+'KHYBER PAKHTUNKHWA'!L39</f>
        <v>0</v>
      </c>
      <c r="M39" s="97"/>
      <c r="N39" s="322"/>
      <c r="O39" s="322"/>
      <c r="P39" s="322"/>
      <c r="Q39" s="322"/>
      <c r="R39" s="322"/>
      <c r="S39" s="322"/>
      <c r="T39" s="322"/>
      <c r="U39" s="322"/>
      <c r="V39" s="322"/>
      <c r="W39" s="319" t="s">
        <v>66</v>
      </c>
      <c r="X39" s="321">
        <f>MPR!X39+KARACHI!X39+SINDH!X39+'GILGIT BALTISTAN'!X39:X40+'AZAD KHASHMIR'!X39:X40+'KHYBER PAKHTUNKHWA'!X39:X40</f>
        <v>0</v>
      </c>
      <c r="Y39" s="321">
        <f>MPR!Y39+KARACHI!Y39+SINDH!Y39+'GILGIT BALTISTAN'!Y39:Y40+'AZAD KHASHMIR'!Y39:Y40+'KHYBER PAKHTUNKHWA'!Y39:Y40</f>
        <v>8</v>
      </c>
      <c r="Z39" s="321">
        <f>MPR!Z39+KARACHI!Z39+SINDH!Z39+'GILGIT BALTISTAN'!Z39:Z40+'AZAD KHASHMIR'!Z39:Z40+'KHYBER PAKHTUNKHWA'!Z39:Z40</f>
        <v>40</v>
      </c>
      <c r="AA39" s="321">
        <f>MPR!AA39+KARACHI!AA39+SINDH!AA39+'GILGIT BALTISTAN'!AA39:AA40+'AZAD KHASHMIR'!AA39:AA40+'KHYBER PAKHTUNKHWA'!AA39:AA40</f>
        <v>0</v>
      </c>
      <c r="AB39" s="321">
        <f>MPR!AB39+KARACHI!AB39+SINDH!AB39+'GILGIT BALTISTAN'!AB39:AB40+'AZAD KHASHMIR'!AB39:AB40+'KHYBER PAKHTUNKHWA'!AB39:AB40</f>
        <v>0</v>
      </c>
      <c r="AC39" s="321">
        <f>MPR!AC39+KARACHI!AC39+SINDH!AC39+'GILGIT BALTISTAN'!AC39:AC40+'AZAD KHASHMIR'!AC39:AC40+'KHYBER PAKHTUNKHWA'!AC39:AC40</f>
        <v>0</v>
      </c>
    </row>
    <row r="40" spans="1:29" ht="24.9" customHeight="1" x14ac:dyDescent="0.25">
      <c r="A40" s="224" t="s">
        <v>7</v>
      </c>
      <c r="B40" s="225"/>
      <c r="C40" s="225"/>
      <c r="D40" s="225"/>
      <c r="E40" s="225"/>
      <c r="F40" s="226"/>
      <c r="G40" s="7">
        <f>SUM(G37:G39)</f>
        <v>958</v>
      </c>
      <c r="H40" s="7">
        <f t="shared" ref="H40:L40" si="3">SUM(H37:H39)</f>
        <v>3</v>
      </c>
      <c r="I40" s="7">
        <f t="shared" si="3"/>
        <v>0</v>
      </c>
      <c r="J40" s="7">
        <f t="shared" si="3"/>
        <v>0</v>
      </c>
      <c r="K40" s="7">
        <f t="shared" si="3"/>
        <v>0</v>
      </c>
      <c r="L40" s="7">
        <f t="shared" si="3"/>
        <v>0</v>
      </c>
      <c r="M40" s="97"/>
      <c r="N40" s="323"/>
      <c r="O40" s="323"/>
      <c r="P40" s="323"/>
      <c r="Q40" s="323"/>
      <c r="R40" s="323"/>
      <c r="S40" s="323"/>
      <c r="T40" s="323"/>
      <c r="U40" s="323"/>
      <c r="V40" s="323"/>
      <c r="W40" s="320"/>
      <c r="X40" s="323"/>
      <c r="Y40" s="323"/>
      <c r="Z40" s="323"/>
      <c r="AA40" s="323"/>
      <c r="AB40" s="323"/>
      <c r="AC40" s="323"/>
    </row>
    <row r="41" spans="1:29" ht="23.4" x14ac:dyDescent="0.25">
      <c r="A41" s="159" t="s">
        <v>15</v>
      </c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</row>
    <row r="42" spans="1:29" ht="23.4" x14ac:dyDescent="0.25">
      <c r="A42" s="159" t="s">
        <v>16</v>
      </c>
      <c r="B42" s="159"/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2"/>
      <c r="Y42" s="160" t="s">
        <v>17</v>
      </c>
      <c r="Z42" s="160"/>
      <c r="AA42" s="2"/>
      <c r="AB42" s="2"/>
      <c r="AC42" s="2"/>
    </row>
    <row r="43" spans="1:29" ht="30.9" customHeight="1" x14ac:dyDescent="0.25">
      <c r="A43" s="326" t="s">
        <v>18</v>
      </c>
      <c r="B43" s="326"/>
      <c r="C43" s="326"/>
      <c r="D43" s="326"/>
      <c r="E43" s="444" t="str">
        <f>E4</f>
        <v>All Project Total</v>
      </c>
      <c r="F43" s="444"/>
      <c r="G43" s="444"/>
      <c r="H43" s="444"/>
      <c r="I43" s="328" t="s">
        <v>20</v>
      </c>
      <c r="J43" s="328"/>
      <c r="K43" s="329" t="s">
        <v>85</v>
      </c>
      <c r="L43" s="329"/>
      <c r="M43" s="328" t="s">
        <v>21</v>
      </c>
      <c r="N43" s="328"/>
      <c r="O43" s="445" t="s">
        <v>14</v>
      </c>
      <c r="P43" s="445"/>
      <c r="Q43" s="445"/>
      <c r="R43" s="445"/>
      <c r="S43" s="43"/>
      <c r="T43" s="166" t="s">
        <v>22</v>
      </c>
      <c r="U43" s="166"/>
      <c r="V43" s="166"/>
      <c r="W43" s="166"/>
      <c r="X43" s="166"/>
      <c r="Y43" s="152" t="s">
        <v>79</v>
      </c>
      <c r="Z43" s="152"/>
      <c r="AA43" s="152"/>
      <c r="AB43" s="443" t="str">
        <f>AB4</f>
        <v>of Year 2024</v>
      </c>
      <c r="AC43" s="443"/>
    </row>
    <row r="44" spans="1:29" x14ac:dyDescent="0.25">
      <c r="T44" s="166"/>
      <c r="U44" s="166"/>
      <c r="V44" s="166"/>
      <c r="W44" s="166"/>
      <c r="X44" s="166"/>
      <c r="Y44" s="152"/>
      <c r="Z44" s="152"/>
      <c r="AA44" s="152"/>
      <c r="AB44" s="443"/>
      <c r="AC44" s="443"/>
    </row>
    <row r="45" spans="1:29" ht="15.6" x14ac:dyDescent="0.25">
      <c r="A45" s="324" t="s">
        <v>24</v>
      </c>
      <c r="B45" s="324"/>
      <c r="C45" s="324"/>
      <c r="D45" s="324"/>
      <c r="E45" s="324"/>
      <c r="F45" s="324"/>
      <c r="G45" s="324"/>
      <c r="H45" s="325" t="s">
        <v>25</v>
      </c>
      <c r="I45" s="325"/>
      <c r="J45" s="325"/>
      <c r="K45" s="325"/>
      <c r="L45" s="325"/>
      <c r="M45" s="325"/>
      <c r="N45" s="325"/>
      <c r="O45" s="73"/>
      <c r="P45" s="73"/>
      <c r="T45" s="156" t="s">
        <v>26</v>
      </c>
      <c r="U45" s="156"/>
      <c r="V45" s="156"/>
      <c r="W45" s="156"/>
      <c r="X45" s="156"/>
      <c r="Y45" s="156"/>
      <c r="Z45" s="265" t="s">
        <v>27</v>
      </c>
      <c r="AA45" s="265"/>
      <c r="AB45" s="265"/>
      <c r="AC45" s="265"/>
    </row>
    <row r="46" spans="1:29" x14ac:dyDescent="0.25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</row>
    <row r="47" spans="1:29" ht="15" customHeight="1" x14ac:dyDescent="0.25">
      <c r="A47" s="284" t="s">
        <v>29</v>
      </c>
      <c r="B47" s="285"/>
      <c r="C47" s="285"/>
      <c r="D47" s="285"/>
      <c r="E47" s="285"/>
      <c r="F47" s="285"/>
      <c r="G47" s="285"/>
      <c r="H47" s="285"/>
      <c r="I47" s="285"/>
      <c r="J47" s="286"/>
      <c r="K47" s="273" t="s">
        <v>30</v>
      </c>
      <c r="L47" s="274"/>
      <c r="M47" s="273" t="s">
        <v>31</v>
      </c>
      <c r="N47" s="274"/>
      <c r="O47" s="287" t="s">
        <v>32</v>
      </c>
      <c r="P47" s="288"/>
      <c r="Q47" s="289"/>
      <c r="R47" s="273" t="s">
        <v>33</v>
      </c>
      <c r="S47" s="296"/>
      <c r="T47" s="274"/>
      <c r="U47" s="224" t="s">
        <v>34</v>
      </c>
      <c r="V47" s="225"/>
      <c r="W47" s="225"/>
      <c r="X47" s="225"/>
      <c r="Y47" s="225"/>
      <c r="Z47" s="225"/>
      <c r="AA47" s="226"/>
      <c r="AB47" s="273" t="s">
        <v>7</v>
      </c>
      <c r="AC47" s="274"/>
    </row>
    <row r="48" spans="1:29" ht="23.25" customHeight="1" x14ac:dyDescent="0.25">
      <c r="A48" s="169" t="s">
        <v>35</v>
      </c>
      <c r="B48" s="173"/>
      <c r="C48" s="173"/>
      <c r="D48" s="173"/>
      <c r="E48" s="173"/>
      <c r="F48" s="173"/>
      <c r="G48" s="173"/>
      <c r="H48" s="173"/>
      <c r="I48" s="173"/>
      <c r="J48" s="170"/>
      <c r="K48" s="275"/>
      <c r="L48" s="276"/>
      <c r="M48" s="275"/>
      <c r="N48" s="276"/>
      <c r="O48" s="290"/>
      <c r="P48" s="291"/>
      <c r="Q48" s="292"/>
      <c r="R48" s="275"/>
      <c r="S48" s="297"/>
      <c r="T48" s="276"/>
      <c r="U48" s="279" t="s">
        <v>36</v>
      </c>
      <c r="V48" s="279"/>
      <c r="W48" s="279"/>
      <c r="X48" s="279" t="s">
        <v>37</v>
      </c>
      <c r="Y48" s="279"/>
      <c r="Z48" s="279" t="s">
        <v>38</v>
      </c>
      <c r="AA48" s="279"/>
      <c r="AB48" s="275"/>
      <c r="AC48" s="276"/>
    </row>
    <row r="49" spans="1:32" x14ac:dyDescent="0.25">
      <c r="A49" s="171"/>
      <c r="B49" s="174"/>
      <c r="C49" s="174"/>
      <c r="D49" s="174"/>
      <c r="E49" s="174"/>
      <c r="F49" s="174"/>
      <c r="G49" s="174"/>
      <c r="H49" s="174"/>
      <c r="I49" s="174"/>
      <c r="J49" s="172"/>
      <c r="K49" s="277"/>
      <c r="L49" s="278"/>
      <c r="M49" s="277"/>
      <c r="N49" s="278"/>
      <c r="O49" s="293"/>
      <c r="P49" s="294"/>
      <c r="Q49" s="295"/>
      <c r="R49" s="277"/>
      <c r="S49" s="298"/>
      <c r="T49" s="278"/>
      <c r="U49" s="280"/>
      <c r="V49" s="280"/>
      <c r="W49" s="280"/>
      <c r="X49" s="280"/>
      <c r="Y49" s="280"/>
      <c r="Z49" s="280"/>
      <c r="AA49" s="280"/>
      <c r="AB49" s="277"/>
      <c r="AC49" s="278"/>
    </row>
    <row r="50" spans="1:32" ht="24.9" customHeight="1" x14ac:dyDescent="0.25">
      <c r="A50" s="281" t="s">
        <v>39</v>
      </c>
      <c r="B50" s="282"/>
      <c r="C50" s="282"/>
      <c r="D50" s="282"/>
      <c r="E50" s="282"/>
      <c r="F50" s="282"/>
      <c r="G50" s="282"/>
      <c r="H50" s="282"/>
      <c r="I50" s="282"/>
      <c r="J50" s="283"/>
      <c r="K50" s="341">
        <f>SUM(MPR!K50+KARACHI!K50+SINDH!K50+'GILGIT BALTISTAN'!K50+'AZAD KHASHMIR'!K50+'KHYBER PAKHTUNKHWA'!K50)</f>
        <v>1006</v>
      </c>
      <c r="L50" s="342"/>
      <c r="M50" s="341">
        <f>SUM(MPR!M50+KARACHI!M50+SINDH!M50+'GILGIT BALTISTAN'!M50+'AZAD KHASHMIR'!M50+'KHYBER PAKHTUNKHWA'!M50)</f>
        <v>64</v>
      </c>
      <c r="N50" s="342"/>
      <c r="O50" s="341">
        <f>MPR!O50+KARACHI!O50+SINDH!O50+'GILGIT BALTISTAN'!O50:Q50+'AZAD KHASHMIR'!O50:Q50+'KHYBER PAKHTUNKHWA'!O50:Q50</f>
        <v>4</v>
      </c>
      <c r="P50" s="343"/>
      <c r="Q50" s="342"/>
      <c r="R50" s="341">
        <f>SUM(K50+M50+O50)</f>
        <v>1074</v>
      </c>
      <c r="S50" s="343"/>
      <c r="T50" s="342"/>
      <c r="U50" s="341">
        <f>MPR!U50+KARACHI!U50+SINDH!U50+'GILGIT BALTISTAN'!U50:W50+'AZAD KHASHMIR'!U50:W50+'KHYBER PAKHTUNKHWA'!U50:W50</f>
        <v>1</v>
      </c>
      <c r="V50" s="343"/>
      <c r="W50" s="342"/>
      <c r="X50" s="341">
        <f>MPR!X50+KARACHI!X50+SINDH!X50+'GILGIT BALTISTAN'!X50:Y50+'AZAD KHASHMIR'!X50:Y50+'KHYBER PAKHTUNKHWA'!X50:Y50</f>
        <v>6</v>
      </c>
      <c r="Y50" s="342"/>
      <c r="Z50" s="341">
        <f>MPR!Z50+KARACHI!Z50+SINDH!Z50+'GILGIT BALTISTAN'!Z50:AA50+'AZAD KHASHMIR'!Z50:AA50+'KHYBER PAKHTUNKHWA'!Z50:AA50</f>
        <v>4</v>
      </c>
      <c r="AA50" s="342"/>
      <c r="AB50" s="341">
        <f>SUM(K50+M50+O50+U50+X50+Z50)</f>
        <v>1085</v>
      </c>
      <c r="AC50" s="342"/>
    </row>
    <row r="51" spans="1:32" ht="24.9" customHeight="1" x14ac:dyDescent="0.25">
      <c r="A51" s="281" t="s">
        <v>40</v>
      </c>
      <c r="B51" s="282"/>
      <c r="C51" s="282"/>
      <c r="D51" s="282"/>
      <c r="E51" s="282"/>
      <c r="F51" s="282"/>
      <c r="G51" s="282"/>
      <c r="H51" s="282"/>
      <c r="I51" s="282"/>
      <c r="J51" s="283"/>
      <c r="K51" s="341">
        <f>SUM(MPR!K51+KARACHI!K51+SINDH!K51+'GILGIT BALTISTAN'!K51+'AZAD KHASHMIR'!K51+'KHYBER PAKHTUNKHWA'!K51)</f>
        <v>1428</v>
      </c>
      <c r="L51" s="342"/>
      <c r="M51" s="341">
        <f>SUM(MPR!M51+KARACHI!M51+SINDH!M51+'GILGIT BALTISTAN'!M51+'AZAD KHASHMIR'!M51+'KHYBER PAKHTUNKHWA'!M51)</f>
        <v>33</v>
      </c>
      <c r="N51" s="342"/>
      <c r="O51" s="341">
        <f>MPR!O51+KARACHI!O51+SINDH!O51+'GILGIT BALTISTAN'!O51:Q51+'AZAD KHASHMIR'!O51:Q51+'KHYBER PAKHTUNKHWA'!O51:Q51</f>
        <v>2</v>
      </c>
      <c r="P51" s="343"/>
      <c r="Q51" s="342"/>
      <c r="R51" s="341">
        <f>SUM(K51+M51+O51)</f>
        <v>1463</v>
      </c>
      <c r="S51" s="343"/>
      <c r="T51" s="342"/>
      <c r="U51" s="341">
        <f>MPR!U51+KARACHI!U51+SINDH!U51+'GILGIT BALTISTAN'!U51:W51+'AZAD KHASHMIR'!U51:W51+'KHYBER PAKHTUNKHWA'!U51:W51</f>
        <v>0</v>
      </c>
      <c r="V51" s="343"/>
      <c r="W51" s="342"/>
      <c r="X51" s="341">
        <f>MPR!X51+KARACHI!X51+SINDH!X51+'GILGIT BALTISTAN'!X51:Y51+'AZAD KHASHMIR'!X51:Y51+'KHYBER PAKHTUNKHWA'!X51:Y51</f>
        <v>2</v>
      </c>
      <c r="Y51" s="342"/>
      <c r="Z51" s="341">
        <f>MPR!Z51+KARACHI!Z51+SINDH!Z51+'GILGIT BALTISTAN'!Z51:AA51+'AZAD KHASHMIR'!Z51:AA51+'KHYBER PAKHTUNKHWA'!Z51:AA51</f>
        <v>6</v>
      </c>
      <c r="AA51" s="342"/>
      <c r="AB51" s="341">
        <f>SUM(K51+M51+O51+U51+X51+Z51)</f>
        <v>1471</v>
      </c>
      <c r="AC51" s="342"/>
    </row>
    <row r="52" spans="1:32" ht="24.9" customHeight="1" x14ac:dyDescent="0.25">
      <c r="A52" s="281" t="s">
        <v>41</v>
      </c>
      <c r="B52" s="282"/>
      <c r="C52" s="282"/>
      <c r="D52" s="282"/>
      <c r="E52" s="282"/>
      <c r="F52" s="282"/>
      <c r="G52" s="282"/>
      <c r="H52" s="282"/>
      <c r="I52" s="282"/>
      <c r="J52" s="283"/>
      <c r="K52" s="341">
        <f>SUM(MPR!K52+KARACHI!K52+SINDH!K52+'GILGIT BALTISTAN'!K52+'AZAD KHASHMIR'!K52+'KHYBER PAKHTUNKHWA'!K52)</f>
        <v>6</v>
      </c>
      <c r="L52" s="342"/>
      <c r="M52" s="341">
        <f>SUM(MPR!M52+KARACHI!M52+SINDH!M52+'GILGIT BALTISTAN'!M52+'AZAD KHASHMIR'!M52+'KHYBER PAKHTUNKHWA'!M52)</f>
        <v>1</v>
      </c>
      <c r="N52" s="342"/>
      <c r="O52" s="341">
        <f>MPR!O52+KARACHI!O52+SINDH!O52+'GILGIT BALTISTAN'!O52:Q52+'AZAD KHASHMIR'!O52:Q52+'KHYBER PAKHTUNKHWA'!O52:Q52</f>
        <v>0</v>
      </c>
      <c r="P52" s="343"/>
      <c r="Q52" s="342"/>
      <c r="R52" s="341">
        <f>SUM(K52+M52+O52)</f>
        <v>7</v>
      </c>
      <c r="S52" s="343"/>
      <c r="T52" s="342"/>
      <c r="U52" s="341">
        <f>MPR!U52+KARACHI!U52+SINDH!U52+'GILGIT BALTISTAN'!U52:W52+'AZAD KHASHMIR'!U52:W52+'KHYBER PAKHTUNKHWA'!U52:W52</f>
        <v>0</v>
      </c>
      <c r="V52" s="343"/>
      <c r="W52" s="342"/>
      <c r="X52" s="341">
        <f>MPR!X52+KARACHI!X52+SINDH!X52+'GILGIT BALTISTAN'!X52:Y52+'AZAD KHASHMIR'!X52:Y52+'KHYBER PAKHTUNKHWA'!X52:Y52</f>
        <v>0</v>
      </c>
      <c r="Y52" s="342"/>
      <c r="Z52" s="341">
        <f>MPR!Z52+KARACHI!Z52+SINDH!Z52+'GILGIT BALTISTAN'!Z52:AA52+'AZAD KHASHMIR'!Z52:AA52+'KHYBER PAKHTUNKHWA'!Z52:AA52</f>
        <v>0</v>
      </c>
      <c r="AA52" s="342"/>
      <c r="AB52" s="341">
        <f>SUM(K52+M52+O52+U52+X52+Z52)</f>
        <v>7</v>
      </c>
      <c r="AC52" s="342"/>
    </row>
    <row r="53" spans="1:32" ht="24.9" customHeight="1" x14ac:dyDescent="0.25">
      <c r="A53" s="281" t="s">
        <v>42</v>
      </c>
      <c r="B53" s="282"/>
      <c r="C53" s="282"/>
      <c r="D53" s="282"/>
      <c r="E53" s="282"/>
      <c r="F53" s="282"/>
      <c r="G53" s="282"/>
      <c r="H53" s="282"/>
      <c r="I53" s="282"/>
      <c r="J53" s="283"/>
      <c r="K53" s="341">
        <f>SUM(MPR!K53+KARACHI!K53+SINDH!K53+'GILGIT BALTISTAN'!K53+'AZAD KHASHMIR'!K53+'KHYBER PAKHTUNKHWA'!K53)</f>
        <v>677</v>
      </c>
      <c r="L53" s="342"/>
      <c r="M53" s="341">
        <f>SUM(MPR!M53+KARACHI!M53+SINDH!M53+'GILGIT BALTISTAN'!M53+'AZAD KHASHMIR'!M53+'KHYBER PAKHTUNKHWA'!M53)</f>
        <v>8</v>
      </c>
      <c r="N53" s="342"/>
      <c r="O53" s="341">
        <f>MPR!O53+KARACHI!O53+SINDH!O53+'GILGIT BALTISTAN'!O53:Q53+'AZAD KHASHMIR'!O53:Q53+'KHYBER PAKHTUNKHWA'!O53:Q53</f>
        <v>0</v>
      </c>
      <c r="P53" s="343"/>
      <c r="Q53" s="342"/>
      <c r="R53" s="341">
        <f>SUM(K53+M53+O53)</f>
        <v>685</v>
      </c>
      <c r="S53" s="343"/>
      <c r="T53" s="342"/>
      <c r="U53" s="341">
        <f>MPR!U53+KARACHI!U53+SINDH!U53+'GILGIT BALTISTAN'!U53:W53+'AZAD KHASHMIR'!U53:W53+'KHYBER PAKHTUNKHWA'!U53:W53</f>
        <v>0</v>
      </c>
      <c r="V53" s="343"/>
      <c r="W53" s="342"/>
      <c r="X53" s="341">
        <f>MPR!X53+KARACHI!X53+SINDH!X53+'GILGIT BALTISTAN'!X53:Y53+'AZAD KHASHMIR'!X53:Y53+'KHYBER PAKHTUNKHWA'!X53:Y53</f>
        <v>1</v>
      </c>
      <c r="Y53" s="342"/>
      <c r="Z53" s="341">
        <f>MPR!Z53+KARACHI!Z53+SINDH!Z53+'GILGIT BALTISTAN'!Z53:AA53+'AZAD KHASHMIR'!Z53:AA53+'KHYBER PAKHTUNKHWA'!Z53:AA53</f>
        <v>8</v>
      </c>
      <c r="AA53" s="342"/>
      <c r="AB53" s="341">
        <f>SUM(K53+M53+O53+U53+X53+Z53)</f>
        <v>694</v>
      </c>
      <c r="AC53" s="342"/>
    </row>
    <row r="54" spans="1:32" ht="24.9" customHeight="1" x14ac:dyDescent="0.25">
      <c r="A54" s="281" t="s">
        <v>7</v>
      </c>
      <c r="B54" s="282"/>
      <c r="C54" s="282"/>
      <c r="D54" s="282"/>
      <c r="E54" s="282"/>
      <c r="F54" s="282"/>
      <c r="G54" s="282"/>
      <c r="H54" s="282"/>
      <c r="I54" s="282"/>
      <c r="J54" s="283"/>
      <c r="K54" s="341">
        <f>SUM(K50:L53)</f>
        <v>3117</v>
      </c>
      <c r="L54" s="342"/>
      <c r="M54" s="341">
        <f>SUM(M50:N53)</f>
        <v>106</v>
      </c>
      <c r="N54" s="342"/>
      <c r="O54" s="341">
        <f>SUM(O50:Q53)</f>
        <v>6</v>
      </c>
      <c r="P54" s="343"/>
      <c r="Q54" s="342"/>
      <c r="R54" s="341">
        <f>SUM(K54+M54+O54)</f>
        <v>3229</v>
      </c>
      <c r="S54" s="343"/>
      <c r="T54" s="342"/>
      <c r="U54" s="341">
        <f>SUM(U50:W53)</f>
        <v>1</v>
      </c>
      <c r="V54" s="343"/>
      <c r="W54" s="342"/>
      <c r="X54" s="341">
        <f>SUM(X50:Y53)</f>
        <v>9</v>
      </c>
      <c r="Y54" s="342"/>
      <c r="Z54" s="341">
        <f>SUM(Z50:AA53)</f>
        <v>18</v>
      </c>
      <c r="AA54" s="342"/>
      <c r="AB54" s="341">
        <f>SUM(K54+M54+O54+U54+X54+Z54)</f>
        <v>3257</v>
      </c>
      <c r="AC54" s="342"/>
    </row>
    <row r="55" spans="1:32" ht="15.6" x14ac:dyDescent="0.25">
      <c r="A55" s="75" t="s">
        <v>43</v>
      </c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7"/>
      <c r="V55" s="77"/>
      <c r="W55" s="77"/>
      <c r="X55" s="77"/>
      <c r="Y55" s="77"/>
      <c r="Z55" s="77"/>
      <c r="AA55" s="77"/>
      <c r="AB55" s="77"/>
      <c r="AC55" s="78"/>
    </row>
    <row r="56" spans="1:32" ht="21.75" customHeight="1" x14ac:dyDescent="0.25">
      <c r="A56" s="331"/>
      <c r="B56" s="332"/>
      <c r="C56" s="332"/>
      <c r="D56" s="332"/>
      <c r="E56" s="332"/>
      <c r="F56" s="332"/>
      <c r="G56" s="332"/>
      <c r="H56" s="332"/>
      <c r="I56" s="332"/>
      <c r="J56" s="333"/>
      <c r="K56" s="224" t="s">
        <v>0</v>
      </c>
      <c r="L56" s="226"/>
      <c r="M56" s="305" t="s">
        <v>1</v>
      </c>
      <c r="N56" s="306"/>
      <c r="O56" s="301" t="s">
        <v>2</v>
      </c>
      <c r="P56" s="302"/>
      <c r="Q56" s="301" t="s">
        <v>3</v>
      </c>
      <c r="R56" s="302"/>
      <c r="S56" s="301" t="s">
        <v>4</v>
      </c>
      <c r="T56" s="302"/>
      <c r="U56" s="301" t="s">
        <v>5</v>
      </c>
      <c r="V56" s="302"/>
      <c r="W56" s="301" t="s">
        <v>6</v>
      </c>
      <c r="X56" s="302"/>
      <c r="Y56" s="301" t="s">
        <v>44</v>
      </c>
      <c r="Z56" s="302"/>
      <c r="AA56" s="301" t="s">
        <v>7</v>
      </c>
      <c r="AB56" s="302"/>
      <c r="AC56" s="303" t="s">
        <v>86</v>
      </c>
      <c r="AD56" s="5"/>
      <c r="AE56" s="6"/>
      <c r="AF56" s="6"/>
    </row>
    <row r="57" spans="1:32" x14ac:dyDescent="0.25">
      <c r="A57" s="334"/>
      <c r="B57" s="335"/>
      <c r="C57" s="335"/>
      <c r="D57" s="335"/>
      <c r="E57" s="335"/>
      <c r="F57" s="335"/>
      <c r="G57" s="335"/>
      <c r="H57" s="335"/>
      <c r="I57" s="335"/>
      <c r="J57" s="336"/>
      <c r="K57" s="7" t="s">
        <v>9</v>
      </c>
      <c r="L57" s="7" t="s">
        <v>10</v>
      </c>
      <c r="M57" s="7" t="s">
        <v>9</v>
      </c>
      <c r="N57" s="7" t="s">
        <v>10</v>
      </c>
      <c r="O57" s="7" t="s">
        <v>9</v>
      </c>
      <c r="P57" s="7" t="s">
        <v>10</v>
      </c>
      <c r="Q57" s="7" t="s">
        <v>9</v>
      </c>
      <c r="R57" s="7" t="s">
        <v>10</v>
      </c>
      <c r="S57" s="7" t="s">
        <v>9</v>
      </c>
      <c r="T57" s="7" t="s">
        <v>10</v>
      </c>
      <c r="U57" s="7" t="s">
        <v>9</v>
      </c>
      <c r="V57" s="7" t="s">
        <v>10</v>
      </c>
      <c r="W57" s="7" t="s">
        <v>9</v>
      </c>
      <c r="X57" s="7" t="s">
        <v>10</v>
      </c>
      <c r="Y57" s="7" t="s">
        <v>9</v>
      </c>
      <c r="Z57" s="7" t="s">
        <v>10</v>
      </c>
      <c r="AA57" s="7" t="s">
        <v>9</v>
      </c>
      <c r="AB57" s="7" t="s">
        <v>10</v>
      </c>
      <c r="AC57" s="304"/>
    </row>
    <row r="58" spans="1:32" ht="24.9" customHeight="1" x14ac:dyDescent="0.25">
      <c r="A58" s="281" t="s">
        <v>39</v>
      </c>
      <c r="B58" s="282"/>
      <c r="C58" s="282"/>
      <c r="D58" s="282"/>
      <c r="E58" s="282"/>
      <c r="F58" s="282"/>
      <c r="G58" s="282"/>
      <c r="H58" s="282"/>
      <c r="I58" s="282"/>
      <c r="J58" s="283"/>
      <c r="K58" s="71">
        <f>MPR!K58+KARACHI!K58+SINDH!K58+'GILGIT BALTISTAN'!K58+'AZAD KHASHMIR'!K58+'KHYBER PAKHTUNKHWA'!K58</f>
        <v>3</v>
      </c>
      <c r="L58" s="71">
        <f>MPR!L58+KARACHI!L58+SINDH!L58+'GILGIT BALTISTAN'!L58+'AZAD KHASHMIR'!L58+'KHYBER PAKHTUNKHWA'!L58</f>
        <v>1</v>
      </c>
      <c r="M58" s="71">
        <f>MPR!M58+KARACHI!M58+SINDH!M58+'GILGIT BALTISTAN'!M58+'AZAD KHASHMIR'!M58+'KHYBER PAKHTUNKHWA'!M58</f>
        <v>14</v>
      </c>
      <c r="N58" s="71">
        <f>MPR!N58+KARACHI!N58+SINDH!N58+'GILGIT BALTISTAN'!N58+'AZAD KHASHMIR'!N58+'KHYBER PAKHTUNKHWA'!N58</f>
        <v>28</v>
      </c>
      <c r="O58" s="71">
        <f>MPR!O58+KARACHI!O58+SINDH!O58+'GILGIT BALTISTAN'!O58+'AZAD KHASHMIR'!O58+'KHYBER PAKHTUNKHWA'!O58</f>
        <v>91</v>
      </c>
      <c r="P58" s="71">
        <f>MPR!P58+KARACHI!P58+SINDH!P58+'GILGIT BALTISTAN'!P58+'AZAD KHASHMIR'!P58+'KHYBER PAKHTUNKHWA'!P58</f>
        <v>131</v>
      </c>
      <c r="Q58" s="71">
        <f>MPR!Q58+KARACHI!Q58+SINDH!Q58+'GILGIT BALTISTAN'!Q58+'AZAD KHASHMIR'!Q58+'KHYBER PAKHTUNKHWA'!Q58</f>
        <v>88</v>
      </c>
      <c r="R58" s="71">
        <f>MPR!R58+KARACHI!R58+SINDH!R58+'GILGIT BALTISTAN'!R58+'AZAD KHASHMIR'!R58+'KHYBER PAKHTUNKHWA'!R58</f>
        <v>80</v>
      </c>
      <c r="S58" s="71">
        <f>MPR!S58+KARACHI!S58+SINDH!S58+'GILGIT BALTISTAN'!S58+'AZAD KHASHMIR'!S58+'KHYBER PAKHTUNKHWA'!S58</f>
        <v>77</v>
      </c>
      <c r="T58" s="71">
        <f>MPR!T58+KARACHI!T58+SINDH!T58+'GILGIT BALTISTAN'!T58+'AZAD KHASHMIR'!T58+'KHYBER PAKHTUNKHWA'!T58</f>
        <v>53</v>
      </c>
      <c r="U58" s="71">
        <f>MPR!U58+KARACHI!U58+SINDH!U58+'GILGIT BALTISTAN'!U58+'AZAD KHASHMIR'!U58+'KHYBER PAKHTUNKHWA'!U58</f>
        <v>66</v>
      </c>
      <c r="V58" s="71">
        <f>MPR!V58+KARACHI!V58+SINDH!V58+'GILGIT BALTISTAN'!V58+'AZAD KHASHMIR'!V58+'KHYBER PAKHTUNKHWA'!V58</f>
        <v>65</v>
      </c>
      <c r="W58" s="71">
        <f>MPR!W58+KARACHI!W58+SINDH!W58+'GILGIT BALTISTAN'!W58+'AZAD KHASHMIR'!W58+'KHYBER PAKHTUNKHWA'!W58</f>
        <v>72</v>
      </c>
      <c r="X58" s="71">
        <f>MPR!X58+KARACHI!X58+SINDH!X58+'GILGIT BALTISTAN'!X58+'AZAD KHASHMIR'!X58+'KHYBER PAKHTUNKHWA'!X58</f>
        <v>74</v>
      </c>
      <c r="Y58" s="71">
        <f>MPR!Y58+KARACHI!Y58+SINDH!Y58+'GILGIT BALTISTAN'!Y58+'AZAD KHASHMIR'!Y58+'KHYBER PAKHTUNKHWA'!Y58</f>
        <v>127</v>
      </c>
      <c r="Z58" s="71">
        <f>MPR!Z58+KARACHI!Z58+SINDH!Z58+'GILGIT BALTISTAN'!Z58+'AZAD KHASHMIR'!Z58+'KHYBER PAKHTUNKHWA'!Z58</f>
        <v>104</v>
      </c>
      <c r="AA58" s="71">
        <f>SUM(K58+M58+O58+Q58+S58+U58+W58+Y58)</f>
        <v>538</v>
      </c>
      <c r="AB58" s="71">
        <f>SUM(L58+N58+P58+R58+T58+V58+X58+Z58)</f>
        <v>536</v>
      </c>
      <c r="AC58" s="71">
        <f>SUM(AA58:AB58)</f>
        <v>1074</v>
      </c>
    </row>
    <row r="59" spans="1:32" ht="24.9" customHeight="1" x14ac:dyDescent="0.25">
      <c r="A59" s="281" t="s">
        <v>40</v>
      </c>
      <c r="B59" s="282"/>
      <c r="C59" s="282"/>
      <c r="D59" s="282"/>
      <c r="E59" s="282"/>
      <c r="F59" s="282"/>
      <c r="G59" s="282"/>
      <c r="H59" s="282"/>
      <c r="I59" s="282"/>
      <c r="J59" s="283"/>
      <c r="K59" s="71">
        <f>MPR!K59+KARACHI!K59+SINDH!K59+'GILGIT BALTISTAN'!K59+'AZAD KHASHMIR'!K59+'KHYBER PAKHTUNKHWA'!K59</f>
        <v>271</v>
      </c>
      <c r="L59" s="71">
        <f>MPR!L59+KARACHI!L59+SINDH!L59+'GILGIT BALTISTAN'!L59+'AZAD KHASHMIR'!L59+'KHYBER PAKHTUNKHWA'!L59</f>
        <v>167</v>
      </c>
      <c r="M59" s="71">
        <f>MPR!M59+KARACHI!M59+SINDH!M59+'GILGIT BALTISTAN'!M59+'AZAD KHASHMIR'!M59+'KHYBER PAKHTUNKHWA'!M59</f>
        <v>92</v>
      </c>
      <c r="N59" s="71">
        <f>MPR!N59+KARACHI!N59+SINDH!N59+'GILGIT BALTISTAN'!N59+'AZAD KHASHMIR'!N59+'KHYBER PAKHTUNKHWA'!N59</f>
        <v>83</v>
      </c>
      <c r="O59" s="71">
        <f>MPR!O59+KARACHI!O59+SINDH!O59+'GILGIT BALTISTAN'!O59+'AZAD KHASHMIR'!O59+'KHYBER PAKHTUNKHWA'!O59</f>
        <v>91</v>
      </c>
      <c r="P59" s="71">
        <f>MPR!P59+KARACHI!P59+SINDH!P59+'GILGIT BALTISTAN'!P59+'AZAD KHASHMIR'!P59+'KHYBER PAKHTUNKHWA'!P59</f>
        <v>107</v>
      </c>
      <c r="Q59" s="71">
        <f>MPR!Q59+KARACHI!Q59+SINDH!Q59+'GILGIT BALTISTAN'!Q59+'AZAD KHASHMIR'!Q59+'KHYBER PAKHTUNKHWA'!Q59</f>
        <v>73</v>
      </c>
      <c r="R59" s="71">
        <f>MPR!R59+KARACHI!R59+SINDH!R59+'GILGIT BALTISTAN'!R59+'AZAD KHASHMIR'!R59+'KHYBER PAKHTUNKHWA'!R59</f>
        <v>87</v>
      </c>
      <c r="S59" s="71">
        <f>MPR!S59+KARACHI!S59+SINDH!S59+'GILGIT BALTISTAN'!S59+'AZAD KHASHMIR'!S59+'KHYBER PAKHTUNKHWA'!S59</f>
        <v>53</v>
      </c>
      <c r="T59" s="71">
        <f>MPR!T59+KARACHI!T59+SINDH!T59+'GILGIT BALTISTAN'!T59+'AZAD KHASHMIR'!T59+'KHYBER PAKHTUNKHWA'!T59</f>
        <v>53</v>
      </c>
      <c r="U59" s="71">
        <f>MPR!U59+KARACHI!U59+SINDH!U59+'GILGIT BALTISTAN'!U59+'AZAD KHASHMIR'!U59+'KHYBER PAKHTUNKHWA'!U59</f>
        <v>45</v>
      </c>
      <c r="V59" s="71">
        <f>MPR!V59+KARACHI!V59+SINDH!V59+'GILGIT BALTISTAN'!V59+'AZAD KHASHMIR'!V59+'KHYBER PAKHTUNKHWA'!V59</f>
        <v>47</v>
      </c>
      <c r="W59" s="71">
        <f>MPR!W59+KARACHI!W59+SINDH!W59+'GILGIT BALTISTAN'!W59+'AZAD KHASHMIR'!W59+'KHYBER PAKHTUNKHWA'!W59</f>
        <v>62</v>
      </c>
      <c r="X59" s="71">
        <f>MPR!X59+KARACHI!X59+SINDH!X59+'GILGIT BALTISTAN'!X59+'AZAD KHASHMIR'!X59+'KHYBER PAKHTUNKHWA'!X59</f>
        <v>53</v>
      </c>
      <c r="Y59" s="71">
        <f>MPR!Y59+KARACHI!Y59+SINDH!Y59+'GILGIT BALTISTAN'!Y59+'AZAD KHASHMIR'!Y59+'KHYBER PAKHTUNKHWA'!Y59</f>
        <v>103</v>
      </c>
      <c r="Z59" s="71">
        <f>MPR!Z59+KARACHI!Z59+SINDH!Z59+'GILGIT BALTISTAN'!Z59+'AZAD KHASHMIR'!Z59+'KHYBER PAKHTUNKHWA'!Z59</f>
        <v>76</v>
      </c>
      <c r="AA59" s="71">
        <f t="shared" ref="AA59:AA61" si="4">SUM(K59+M59+O59+Q59+S59+U59+W59+Y59)</f>
        <v>790</v>
      </c>
      <c r="AB59" s="71">
        <f t="shared" ref="AB59:AB61" si="5">SUM(L59+N59+P59+R59+T59+V59+X59+Z59)</f>
        <v>673</v>
      </c>
      <c r="AC59" s="71">
        <f t="shared" ref="AC59:AC62" si="6">SUM(AA59:AB59)</f>
        <v>1463</v>
      </c>
    </row>
    <row r="60" spans="1:32" ht="24.9" customHeight="1" x14ac:dyDescent="0.25">
      <c r="A60" s="281" t="s">
        <v>41</v>
      </c>
      <c r="B60" s="282"/>
      <c r="C60" s="282"/>
      <c r="D60" s="282"/>
      <c r="E60" s="282"/>
      <c r="F60" s="282"/>
      <c r="G60" s="282"/>
      <c r="H60" s="282"/>
      <c r="I60" s="282"/>
      <c r="J60" s="283"/>
      <c r="K60" s="71">
        <f>MPR!K60+KARACHI!K60+SINDH!K60+'GILGIT BALTISTAN'!K60+'AZAD KHASHMIR'!K60+'KHYBER PAKHTUNKHWA'!K60</f>
        <v>1</v>
      </c>
      <c r="L60" s="71">
        <f>MPR!L60+KARACHI!L60+SINDH!L60+'GILGIT BALTISTAN'!L60+'AZAD KHASHMIR'!L60+'KHYBER PAKHTUNKHWA'!L60</f>
        <v>0</v>
      </c>
      <c r="M60" s="71">
        <f>MPR!M60+KARACHI!M60+SINDH!M60+'GILGIT BALTISTAN'!M60+'AZAD KHASHMIR'!M60+'KHYBER PAKHTUNKHWA'!M60</f>
        <v>0</v>
      </c>
      <c r="N60" s="71">
        <f>MPR!N60+KARACHI!N60+SINDH!N60+'GILGIT BALTISTAN'!N60+'AZAD KHASHMIR'!N60+'KHYBER PAKHTUNKHWA'!N60</f>
        <v>0</v>
      </c>
      <c r="O60" s="71">
        <f>MPR!O60+KARACHI!O60+SINDH!O60+'GILGIT BALTISTAN'!O60+'AZAD KHASHMIR'!O60+'KHYBER PAKHTUNKHWA'!O60</f>
        <v>0</v>
      </c>
      <c r="P60" s="71">
        <f>MPR!P60+KARACHI!P60+SINDH!P60+'GILGIT BALTISTAN'!P60+'AZAD KHASHMIR'!P60+'KHYBER PAKHTUNKHWA'!P60</f>
        <v>0</v>
      </c>
      <c r="Q60" s="71">
        <f>MPR!Q60+KARACHI!Q60+SINDH!Q60+'GILGIT BALTISTAN'!Q60+'AZAD KHASHMIR'!Q60+'KHYBER PAKHTUNKHWA'!Q60</f>
        <v>0</v>
      </c>
      <c r="R60" s="71">
        <f>MPR!R60+KARACHI!R60+SINDH!R60+'GILGIT BALTISTAN'!R60+'AZAD KHASHMIR'!R60+'KHYBER PAKHTUNKHWA'!R60</f>
        <v>0</v>
      </c>
      <c r="S60" s="71">
        <f>MPR!S60+KARACHI!S60+SINDH!S60+'GILGIT BALTISTAN'!S60+'AZAD KHASHMIR'!S60+'KHYBER PAKHTUNKHWA'!S60</f>
        <v>2</v>
      </c>
      <c r="T60" s="71">
        <f>MPR!T60+KARACHI!T60+SINDH!T60+'GILGIT BALTISTAN'!T60+'AZAD KHASHMIR'!T60+'KHYBER PAKHTUNKHWA'!T60</f>
        <v>0</v>
      </c>
      <c r="U60" s="71">
        <f>MPR!U60+KARACHI!U60+SINDH!U60+'GILGIT BALTISTAN'!U60+'AZAD KHASHMIR'!U60+'KHYBER PAKHTUNKHWA'!U60</f>
        <v>3</v>
      </c>
      <c r="V60" s="71">
        <f>MPR!V60+KARACHI!V60+SINDH!V60+'GILGIT BALTISTAN'!V60+'AZAD KHASHMIR'!V60+'KHYBER PAKHTUNKHWA'!V60</f>
        <v>0</v>
      </c>
      <c r="W60" s="71">
        <f>MPR!W60+KARACHI!W60+SINDH!W60+'GILGIT BALTISTAN'!W60+'AZAD KHASHMIR'!W60+'KHYBER PAKHTUNKHWA'!W60</f>
        <v>0</v>
      </c>
      <c r="X60" s="71">
        <f>MPR!X60+KARACHI!X60+SINDH!X60+'GILGIT BALTISTAN'!X60+'AZAD KHASHMIR'!X60+'KHYBER PAKHTUNKHWA'!X60</f>
        <v>1</v>
      </c>
      <c r="Y60" s="71">
        <f>MPR!Y60+KARACHI!Y60+SINDH!Y60+'GILGIT BALTISTAN'!Y60+'AZAD KHASHMIR'!Y60+'KHYBER PAKHTUNKHWA'!Y60</f>
        <v>0</v>
      </c>
      <c r="Z60" s="71">
        <f>MPR!Z60+KARACHI!Z60+SINDH!Z60+'GILGIT BALTISTAN'!Z60+'AZAD KHASHMIR'!Z60+'KHYBER PAKHTUNKHWA'!Z60</f>
        <v>0</v>
      </c>
      <c r="AA60" s="71">
        <f t="shared" si="4"/>
        <v>6</v>
      </c>
      <c r="AB60" s="71">
        <f t="shared" si="5"/>
        <v>1</v>
      </c>
      <c r="AC60" s="71">
        <f t="shared" si="6"/>
        <v>7</v>
      </c>
    </row>
    <row r="61" spans="1:32" ht="24.9" customHeight="1" x14ac:dyDescent="0.25">
      <c r="A61" s="281" t="s">
        <v>42</v>
      </c>
      <c r="B61" s="282"/>
      <c r="C61" s="282"/>
      <c r="D61" s="282"/>
      <c r="E61" s="282"/>
      <c r="F61" s="282"/>
      <c r="G61" s="282"/>
      <c r="H61" s="282"/>
      <c r="I61" s="282"/>
      <c r="J61" s="283"/>
      <c r="K61" s="71">
        <f>MPR!K61+KARACHI!K61+SINDH!K61+'GILGIT BALTISTAN'!K61+'AZAD KHASHMIR'!K61+'KHYBER PAKHTUNKHWA'!K61</f>
        <v>44</v>
      </c>
      <c r="L61" s="71">
        <f>MPR!L61+KARACHI!L61+SINDH!L61+'GILGIT BALTISTAN'!L61+'AZAD KHASHMIR'!L61+'KHYBER PAKHTUNKHWA'!L61</f>
        <v>30</v>
      </c>
      <c r="M61" s="71">
        <f>MPR!M61+KARACHI!M61+SINDH!M61+'GILGIT BALTISTAN'!M61+'AZAD KHASHMIR'!M61+'KHYBER PAKHTUNKHWA'!M61</f>
        <v>44</v>
      </c>
      <c r="N61" s="71">
        <f>MPR!N61+KARACHI!N61+SINDH!N61+'GILGIT BALTISTAN'!N61+'AZAD KHASHMIR'!N61+'KHYBER PAKHTUNKHWA'!N61</f>
        <v>28</v>
      </c>
      <c r="O61" s="71">
        <f>MPR!O61+KARACHI!O61+SINDH!O61+'GILGIT BALTISTAN'!O61+'AZAD KHASHMIR'!O61+'KHYBER PAKHTUNKHWA'!O61</f>
        <v>81</v>
      </c>
      <c r="P61" s="71">
        <f>MPR!P61+KARACHI!P61+SINDH!P61+'GILGIT BALTISTAN'!P61+'AZAD KHASHMIR'!P61+'KHYBER PAKHTUNKHWA'!P61</f>
        <v>48</v>
      </c>
      <c r="Q61" s="71">
        <f>MPR!Q61+KARACHI!Q61+SINDH!Q61+'GILGIT BALTISTAN'!Q61+'AZAD KHASHMIR'!Q61+'KHYBER PAKHTUNKHWA'!Q61</f>
        <v>49</v>
      </c>
      <c r="R61" s="71">
        <f>MPR!R61+KARACHI!R61+SINDH!R61+'GILGIT BALTISTAN'!R61+'AZAD KHASHMIR'!R61+'KHYBER PAKHTUNKHWA'!R61</f>
        <v>61</v>
      </c>
      <c r="S61" s="71">
        <f>MPR!S61+KARACHI!S61+SINDH!S61+'GILGIT BALTISTAN'!S61+'AZAD KHASHMIR'!S61+'KHYBER PAKHTUNKHWA'!S61</f>
        <v>42</v>
      </c>
      <c r="T61" s="71">
        <f>MPR!T61+KARACHI!T61+SINDH!T61+'GILGIT BALTISTAN'!T61+'AZAD KHASHMIR'!T61+'KHYBER PAKHTUNKHWA'!T61</f>
        <v>53</v>
      </c>
      <c r="U61" s="71">
        <f>MPR!U61+KARACHI!U61+SINDH!U61+'GILGIT BALTISTAN'!U61+'AZAD KHASHMIR'!U61+'KHYBER PAKHTUNKHWA'!U61</f>
        <v>34</v>
      </c>
      <c r="V61" s="71">
        <f>MPR!V61+KARACHI!V61+SINDH!V61+'GILGIT BALTISTAN'!V61+'AZAD KHASHMIR'!V61+'KHYBER PAKHTUNKHWA'!V61</f>
        <v>32</v>
      </c>
      <c r="W61" s="71">
        <f>MPR!W61+KARACHI!W61+SINDH!W61+'GILGIT BALTISTAN'!W61+'AZAD KHASHMIR'!W61+'KHYBER PAKHTUNKHWA'!W61</f>
        <v>34</v>
      </c>
      <c r="X61" s="71">
        <f>MPR!X61+KARACHI!X61+SINDH!X61+'GILGIT BALTISTAN'!X61+'AZAD KHASHMIR'!X61+'KHYBER PAKHTUNKHWA'!X61</f>
        <v>26</v>
      </c>
      <c r="Y61" s="71">
        <f>MPR!Y61+KARACHI!Y61+SINDH!Y61+'GILGIT BALTISTAN'!Y61+'AZAD KHASHMIR'!Y61+'KHYBER PAKHTUNKHWA'!Y61</f>
        <v>52</v>
      </c>
      <c r="Z61" s="71">
        <f>MPR!Z61+KARACHI!Z61+SINDH!Z61+'GILGIT BALTISTAN'!Z61+'AZAD KHASHMIR'!Z61+'KHYBER PAKHTUNKHWA'!Z61</f>
        <v>27</v>
      </c>
      <c r="AA61" s="71">
        <f t="shared" si="4"/>
        <v>380</v>
      </c>
      <c r="AB61" s="71">
        <f t="shared" si="5"/>
        <v>305</v>
      </c>
      <c r="AC61" s="71">
        <f t="shared" si="6"/>
        <v>685</v>
      </c>
    </row>
    <row r="62" spans="1:32" ht="24.9" customHeight="1" x14ac:dyDescent="0.25">
      <c r="A62" s="224" t="s">
        <v>7</v>
      </c>
      <c r="B62" s="225"/>
      <c r="C62" s="225"/>
      <c r="D62" s="225"/>
      <c r="E62" s="225"/>
      <c r="F62" s="225"/>
      <c r="G62" s="225"/>
      <c r="H62" s="225"/>
      <c r="I62" s="225"/>
      <c r="J62" s="226"/>
      <c r="K62" s="71">
        <f>SUM(K58:K61)</f>
        <v>319</v>
      </c>
      <c r="L62" s="71">
        <f t="shared" ref="L62:AB62" si="7">SUM(L58:L61)</f>
        <v>198</v>
      </c>
      <c r="M62" s="71">
        <f t="shared" si="7"/>
        <v>150</v>
      </c>
      <c r="N62" s="71">
        <f t="shared" si="7"/>
        <v>139</v>
      </c>
      <c r="O62" s="71">
        <f t="shared" si="7"/>
        <v>263</v>
      </c>
      <c r="P62" s="71">
        <f t="shared" si="7"/>
        <v>286</v>
      </c>
      <c r="Q62" s="71">
        <f t="shared" si="7"/>
        <v>210</v>
      </c>
      <c r="R62" s="71">
        <f t="shared" si="7"/>
        <v>228</v>
      </c>
      <c r="S62" s="71">
        <f t="shared" si="7"/>
        <v>174</v>
      </c>
      <c r="T62" s="71">
        <f t="shared" si="7"/>
        <v>159</v>
      </c>
      <c r="U62" s="71">
        <f t="shared" si="7"/>
        <v>148</v>
      </c>
      <c r="V62" s="71">
        <f t="shared" si="7"/>
        <v>144</v>
      </c>
      <c r="W62" s="71">
        <f t="shared" si="7"/>
        <v>168</v>
      </c>
      <c r="X62" s="71">
        <f t="shared" si="7"/>
        <v>154</v>
      </c>
      <c r="Y62" s="71">
        <f t="shared" si="7"/>
        <v>282</v>
      </c>
      <c r="Z62" s="71">
        <f t="shared" si="7"/>
        <v>207</v>
      </c>
      <c r="AA62" s="71">
        <f t="shared" si="7"/>
        <v>1714</v>
      </c>
      <c r="AB62" s="71">
        <f t="shared" si="7"/>
        <v>1515</v>
      </c>
      <c r="AC62" s="71">
        <f t="shared" si="6"/>
        <v>3229</v>
      </c>
    </row>
    <row r="63" spans="1:32" ht="6.75" customHeight="1" x14ac:dyDescent="0.25">
      <c r="A63" s="79"/>
      <c r="B63" s="80"/>
      <c r="C63" s="80"/>
      <c r="D63" s="80"/>
      <c r="E63" s="80"/>
      <c r="F63" s="81"/>
      <c r="G63" s="82"/>
      <c r="H63" s="82"/>
      <c r="I63" s="82"/>
      <c r="J63" s="82"/>
      <c r="K63" s="82"/>
      <c r="L63" s="82"/>
      <c r="M63" s="83"/>
      <c r="N63" s="82"/>
      <c r="O63" s="337"/>
      <c r="P63" s="338"/>
      <c r="Q63" s="84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5"/>
    </row>
    <row r="64" spans="1:32" ht="18" customHeight="1" x14ac:dyDescent="0.25">
      <c r="A64" s="86" t="s">
        <v>45</v>
      </c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8"/>
      <c r="M64" s="89"/>
      <c r="N64" s="86" t="s">
        <v>46</v>
      </c>
      <c r="O64" s="87"/>
      <c r="P64" s="87"/>
      <c r="Q64" s="87"/>
      <c r="R64" s="87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1"/>
    </row>
    <row r="65" spans="1:29" ht="42.75" customHeight="1" x14ac:dyDescent="0.25">
      <c r="A65" s="307" t="s">
        <v>47</v>
      </c>
      <c r="B65" s="312" t="s">
        <v>48</v>
      </c>
      <c r="C65" s="313"/>
      <c r="D65" s="314" t="s">
        <v>49</v>
      </c>
      <c r="E65" s="315"/>
      <c r="F65" s="316"/>
      <c r="G65" s="314" t="s">
        <v>50</v>
      </c>
      <c r="H65" s="315"/>
      <c r="I65" s="315"/>
      <c r="J65" s="316"/>
      <c r="K65" s="307" t="s">
        <v>51</v>
      </c>
      <c r="L65" s="307" t="s">
        <v>52</v>
      </c>
      <c r="M65" s="20"/>
      <c r="N65" s="309" t="s">
        <v>53</v>
      </c>
      <c r="O65" s="310"/>
      <c r="P65" s="311"/>
      <c r="Q65" s="309" t="s">
        <v>54</v>
      </c>
      <c r="R65" s="310"/>
      <c r="S65" s="311"/>
      <c r="T65" s="309" t="s">
        <v>55</v>
      </c>
      <c r="U65" s="310"/>
      <c r="V65" s="310"/>
      <c r="W65" s="310"/>
      <c r="X65" s="310"/>
      <c r="Y65" s="310"/>
      <c r="Z65" s="310"/>
      <c r="AA65" s="310"/>
      <c r="AB65" s="310"/>
      <c r="AC65" s="311"/>
    </row>
    <row r="66" spans="1:29" ht="48" customHeight="1" x14ac:dyDescent="0.25">
      <c r="A66" s="308"/>
      <c r="B66" s="21" t="s">
        <v>7</v>
      </c>
      <c r="C66" s="22" t="s">
        <v>87</v>
      </c>
      <c r="D66" s="22" t="s">
        <v>56</v>
      </c>
      <c r="E66" s="22" t="s">
        <v>88</v>
      </c>
      <c r="F66" s="22" t="s">
        <v>89</v>
      </c>
      <c r="G66" s="23" t="s">
        <v>56</v>
      </c>
      <c r="H66" s="22" t="s">
        <v>90</v>
      </c>
      <c r="I66" s="23" t="s">
        <v>57</v>
      </c>
      <c r="J66" s="23" t="s">
        <v>58</v>
      </c>
      <c r="K66" s="308"/>
      <c r="L66" s="308"/>
      <c r="M66" s="20"/>
      <c r="N66" s="309">
        <f>MPR!N66+KARACHI!N66+SINDH!N66+'GILGIT BALTISTAN'!N66:P66+'AZAD KHASHMIR'!N66:P66+'KHYBER PAKHTUNKHWA'!N66:P66</f>
        <v>132</v>
      </c>
      <c r="O66" s="310"/>
      <c r="P66" s="311"/>
      <c r="Q66" s="309">
        <f>MPR!Q66+KARACHI!Q66+SINDH!Q66+'GILGIT BALTISTAN'!Q66:S66+'AZAD KHASHMIR'!Q66:S66+'KHYBER PAKHTUNKHWA'!Q66:S66</f>
        <v>0</v>
      </c>
      <c r="R66" s="310"/>
      <c r="S66" s="311"/>
      <c r="T66" s="309">
        <f>MPR!T66+KARACHI!T66+SINDH!T66+'GILGIT BALTISTAN'!T66:AC66+'AZAD KHASHMIR'!T66:AC66+'KHYBER PAKHTUNKHWA'!T66:AC66</f>
        <v>0</v>
      </c>
      <c r="U66" s="310"/>
      <c r="V66" s="310"/>
      <c r="W66" s="310"/>
      <c r="X66" s="310"/>
      <c r="Y66" s="310"/>
      <c r="Z66" s="310"/>
      <c r="AA66" s="310"/>
      <c r="AB66" s="310"/>
      <c r="AC66" s="311"/>
    </row>
    <row r="67" spans="1:29" ht="38.25" customHeight="1" x14ac:dyDescent="0.25">
      <c r="A67" s="270">
        <f>MPR!A67+KARACHI!A67+SINDH!A67+'GILGIT BALTISTAN'!A67:A71+'AZAD KHASHMIR'!A67:A71+'KHYBER PAKHTUNKHWA'!A67:A71</f>
        <v>545078</v>
      </c>
      <c r="B67" s="270">
        <f>MPR!B67+KARACHI!B67+SINDH!B67+'GILGIT BALTISTAN'!B67:B71+'AZAD KHASHMIR'!B67:B71+'KHYBER PAKHTUNKHWA'!B67:B71</f>
        <v>14719</v>
      </c>
      <c r="C67" s="270">
        <f>MPR!C67+KARACHI!C67+SINDH!C67+'GILGIT BALTISTAN'!C67:C71+'AZAD KHASHMIR'!C67:C71+'KHYBER PAKHTUNKHWA'!C67:C71</f>
        <v>1769</v>
      </c>
      <c r="D67" s="270">
        <f>MPR!D67+KARACHI!D67+SINDH!D67+'GILGIT BALTISTAN'!D67:D71+'AZAD KHASHMIR'!D67:D71+'KHYBER PAKHTUNKHWA'!D67:D71</f>
        <v>7124</v>
      </c>
      <c r="E67" s="270">
        <f>MPR!E67+KARACHI!E67+SINDH!E67+'GILGIT BALTISTAN'!E67:E71+'AZAD KHASHMIR'!E67:E71+'KHYBER PAKHTUNKHWA'!E67:E71</f>
        <v>1295</v>
      </c>
      <c r="F67" s="270">
        <f>MPR!F67+KARACHI!F67+SINDH!F67+'GILGIT BALTISTAN'!F67:F71+'AZAD KHASHMIR'!F67:F71+'KHYBER PAKHTUNKHWA'!F67:F71</f>
        <v>7195</v>
      </c>
      <c r="G67" s="270">
        <f>MPR!G67+KARACHI!G67+SINDH!G67+'GILGIT BALTISTAN'!G67:G71+'AZAD KHASHMIR'!G67:G71+'KHYBER PAKHTUNKHWA'!G67:G71</f>
        <v>878</v>
      </c>
      <c r="H67" s="270">
        <f>MPR!H67+KARACHI!H67+SINDH!H67+'GILGIT BALTISTAN'!H67:H71+'AZAD KHASHMIR'!H67:H71+'KHYBER PAKHTUNKHWA'!H67:H71</f>
        <v>223</v>
      </c>
      <c r="I67" s="270">
        <f>MPR!I67+KARACHI!I67+SINDH!I67+'GILGIT BALTISTAN'!I67:I71+'AZAD KHASHMIR'!I67:I71+'KHYBER PAKHTUNKHWA'!I67:I71</f>
        <v>87</v>
      </c>
      <c r="J67" s="440">
        <f>SUM(G67:I71)</f>
        <v>1188</v>
      </c>
      <c r="K67" s="270">
        <f>MPR!K67+KARACHI!K67+SINDH!K67+'GILGIT BALTISTAN'!K67:K71+'AZAD KHASHMIR'!K67:K71+'KHYBER PAKHTUNKHWA'!K67:K71</f>
        <v>1013</v>
      </c>
      <c r="L67" s="270">
        <f>MPR!L67+KARACHI!L67+SINDH!L67+'GILGIT BALTISTAN'!L67:L71+'AZAD KHASHMIR'!L67:L71+'KHYBER PAKHTUNKHWA'!L67:L71</f>
        <v>1874</v>
      </c>
      <c r="M67" s="20"/>
      <c r="N67" s="309" t="s">
        <v>59</v>
      </c>
      <c r="O67" s="310"/>
      <c r="P67" s="311"/>
      <c r="Q67" s="309" t="s">
        <v>60</v>
      </c>
      <c r="R67" s="310"/>
      <c r="S67" s="311"/>
      <c r="T67" s="293" t="s">
        <v>61</v>
      </c>
      <c r="U67" s="294"/>
      <c r="V67" s="294"/>
      <c r="W67" s="295"/>
      <c r="X67" s="293" t="s">
        <v>62</v>
      </c>
      <c r="Y67" s="294"/>
      <c r="Z67" s="294"/>
      <c r="AA67" s="294"/>
      <c r="AB67" s="294"/>
      <c r="AC67" s="295"/>
    </row>
    <row r="68" spans="1:29" ht="19.5" customHeight="1" x14ac:dyDescent="0.25">
      <c r="A68" s="271"/>
      <c r="B68" s="271"/>
      <c r="C68" s="271"/>
      <c r="D68" s="271"/>
      <c r="E68" s="271"/>
      <c r="F68" s="271"/>
      <c r="G68" s="271"/>
      <c r="H68" s="271"/>
      <c r="I68" s="271"/>
      <c r="J68" s="441"/>
      <c r="K68" s="271"/>
      <c r="L68" s="271"/>
      <c r="M68" s="20"/>
      <c r="N68" s="287">
        <f>MPR!N68+KARACHI!N68+SINDH!N68+'GILGIT BALTISTAN'!N68:P71+'AZAD KHASHMIR'!N68:P71+'KHYBER PAKHTUNKHWA'!N68:P71</f>
        <v>19</v>
      </c>
      <c r="O68" s="288"/>
      <c r="P68" s="289"/>
      <c r="Q68" s="287">
        <f>MPR!Q68+KARACHI!Q68+SINDH!Q68+'GILGIT BALTISTAN'!Q68:S71+'AZAD KHASHMIR'!Q68:S71+'KHYBER PAKHTUNKHWA'!Q68:S71</f>
        <v>19</v>
      </c>
      <c r="R68" s="288"/>
      <c r="S68" s="289"/>
      <c r="T68" s="287">
        <f>MPR!T68+KARACHI!T68+SINDH!T68+'GILGIT BALTISTAN'!T68:W71+'AZAD KHASHMIR'!T68:W71+'KHYBER PAKHTUNKHWA'!T68:W71</f>
        <v>0</v>
      </c>
      <c r="U68" s="288"/>
      <c r="V68" s="288"/>
      <c r="W68" s="289"/>
      <c r="X68" s="24"/>
      <c r="Y68" s="309" t="s">
        <v>0</v>
      </c>
      <c r="Z68" s="311"/>
      <c r="AA68" s="25" t="s">
        <v>1</v>
      </c>
      <c r="AB68" s="309" t="s">
        <v>63</v>
      </c>
      <c r="AC68" s="311"/>
    </row>
    <row r="69" spans="1:29" ht="18" customHeight="1" x14ac:dyDescent="0.25">
      <c r="A69" s="271"/>
      <c r="B69" s="271"/>
      <c r="C69" s="271"/>
      <c r="D69" s="271"/>
      <c r="E69" s="271"/>
      <c r="F69" s="271"/>
      <c r="G69" s="271"/>
      <c r="H69" s="271"/>
      <c r="I69" s="271"/>
      <c r="J69" s="441"/>
      <c r="K69" s="271"/>
      <c r="L69" s="271"/>
      <c r="M69" s="20"/>
      <c r="N69" s="290"/>
      <c r="O69" s="291"/>
      <c r="P69" s="292"/>
      <c r="Q69" s="290"/>
      <c r="R69" s="291"/>
      <c r="S69" s="292"/>
      <c r="T69" s="290"/>
      <c r="U69" s="291"/>
      <c r="V69" s="291"/>
      <c r="W69" s="292"/>
      <c r="X69" s="26" t="s">
        <v>64</v>
      </c>
      <c r="Y69" s="317">
        <f>MPR!Y69+KARACHI!Y69+SINDH!Y69+'GILGIT BALTISTAN'!Y69:Z69+'AZAD KHASHMIR'!Y69:Z69+'KHYBER PAKHTUNKHWA'!Y69:Z69</f>
        <v>0</v>
      </c>
      <c r="Z69" s="317"/>
      <c r="AA69" s="101">
        <f>MPR!AA69+KARACHI!AA69+SINDH!AA69+'GILGIT BALTISTAN'!AA69+'AZAD KHASHMIR'!AA69+'KHYBER PAKHTUNKHWA'!AA69</f>
        <v>0</v>
      </c>
      <c r="AB69" s="446">
        <f>MPR!AB69+KARACHI!AB69+SINDH!AB69+'GILGIT BALTISTAN'!AB69:AC69+'AZAD KHASHMIR'!AB69:AC69+'KHYBER PAKHTUNKHWA'!AB69:AC69</f>
        <v>0</v>
      </c>
      <c r="AC69" s="317"/>
    </row>
    <row r="70" spans="1:29" ht="18" customHeight="1" x14ac:dyDescent="0.25">
      <c r="A70" s="271"/>
      <c r="B70" s="271"/>
      <c r="C70" s="271"/>
      <c r="D70" s="271"/>
      <c r="E70" s="271"/>
      <c r="F70" s="271"/>
      <c r="G70" s="271"/>
      <c r="H70" s="271"/>
      <c r="I70" s="271"/>
      <c r="J70" s="441"/>
      <c r="K70" s="271"/>
      <c r="L70" s="271"/>
      <c r="M70" s="20"/>
      <c r="N70" s="290"/>
      <c r="O70" s="291"/>
      <c r="P70" s="292"/>
      <c r="Q70" s="290"/>
      <c r="R70" s="291"/>
      <c r="S70" s="292"/>
      <c r="T70" s="290"/>
      <c r="U70" s="291"/>
      <c r="V70" s="291"/>
      <c r="W70" s="292"/>
      <c r="X70" s="26" t="s">
        <v>65</v>
      </c>
      <c r="Y70" s="317">
        <f>MPR!Y70+KARACHI!Y70+SINDH!Y70+'GILGIT BALTISTAN'!Y70:Z70+'AZAD KHASHMIR'!Y70:Z70+'KHYBER PAKHTUNKHWA'!Y70:Z70</f>
        <v>0</v>
      </c>
      <c r="Z70" s="317"/>
      <c r="AA70" s="101">
        <f>MPR!AA70+KARACHI!AA70+SINDH!AA70+'GILGIT BALTISTAN'!AA70+'AZAD KHASHMIR'!AA70+'KHYBER PAKHTUNKHWA'!AA70</f>
        <v>0</v>
      </c>
      <c r="AB70" s="446">
        <f>MPR!AB70+KARACHI!AB70+SINDH!AB70+'GILGIT BALTISTAN'!AB70:AC70+'AZAD KHASHMIR'!AB70:AC70+'KHYBER PAKHTUNKHWA'!AB70:AC70</f>
        <v>0</v>
      </c>
      <c r="AC70" s="317"/>
    </row>
    <row r="71" spans="1:29" ht="18" customHeight="1" x14ac:dyDescent="0.25">
      <c r="A71" s="272"/>
      <c r="B71" s="272"/>
      <c r="C71" s="272"/>
      <c r="D71" s="272"/>
      <c r="E71" s="272"/>
      <c r="F71" s="272"/>
      <c r="G71" s="272"/>
      <c r="H71" s="272"/>
      <c r="I71" s="272"/>
      <c r="J71" s="442"/>
      <c r="K71" s="272"/>
      <c r="L71" s="272"/>
      <c r="M71" s="20"/>
      <c r="N71" s="293"/>
      <c r="O71" s="294"/>
      <c r="P71" s="295"/>
      <c r="Q71" s="293"/>
      <c r="R71" s="294"/>
      <c r="S71" s="295"/>
      <c r="T71" s="293"/>
      <c r="U71" s="294"/>
      <c r="V71" s="294"/>
      <c r="W71" s="295"/>
      <c r="X71" s="26" t="s">
        <v>66</v>
      </c>
      <c r="Y71" s="317">
        <f>MPR!Y71+KARACHI!Y71+SINDH!Y71+'GILGIT BALTISTAN'!Y71:Z71+'AZAD KHASHMIR'!Y71:Z71+'KHYBER PAKHTUNKHWA'!Y71:Z71</f>
        <v>0</v>
      </c>
      <c r="Z71" s="317"/>
      <c r="AA71" s="101">
        <f>MPR!AA71+KARACHI!AA71+SINDH!AA71+'GILGIT BALTISTAN'!AA71+'AZAD KHASHMIR'!AA71+'KHYBER PAKHTUNKHWA'!AA71</f>
        <v>0</v>
      </c>
      <c r="AB71" s="446">
        <f>MPR!AB71+KARACHI!AB71+SINDH!AB71+'GILGIT BALTISTAN'!AB71:AC71+'AZAD KHASHMIR'!AB71:AC71+'KHYBER PAKHTUNKHWA'!AB71:AC71</f>
        <v>0</v>
      </c>
      <c r="AC71" s="317"/>
    </row>
    <row r="72" spans="1:29" ht="8.25" customHeight="1" x14ac:dyDescent="0.25">
      <c r="A72" s="27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92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78"/>
    </row>
    <row r="73" spans="1:29" ht="18" customHeight="1" x14ac:dyDescent="0.25">
      <c r="A73" s="86" t="s">
        <v>67</v>
      </c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8"/>
      <c r="M73" s="93"/>
      <c r="N73" s="86" t="s">
        <v>68</v>
      </c>
      <c r="O73" s="88"/>
      <c r="P73" s="87"/>
      <c r="Q73" s="94"/>
      <c r="R73" s="87"/>
      <c r="S73" s="87"/>
      <c r="T73" s="87"/>
      <c r="U73" s="87"/>
      <c r="V73" s="87"/>
      <c r="W73" s="87"/>
      <c r="X73" s="87"/>
      <c r="Y73" s="87"/>
      <c r="Z73" s="87"/>
      <c r="AA73" s="90"/>
      <c r="AB73" s="90"/>
      <c r="AC73" s="95"/>
    </row>
    <row r="74" spans="1:29" ht="57" customHeight="1" x14ac:dyDescent="0.25">
      <c r="A74" s="331"/>
      <c r="B74" s="332"/>
      <c r="C74" s="332"/>
      <c r="D74" s="332"/>
      <c r="E74" s="332"/>
      <c r="F74" s="333"/>
      <c r="G74" s="224" t="s">
        <v>11</v>
      </c>
      <c r="H74" s="226"/>
      <c r="I74" s="224" t="s">
        <v>12</v>
      </c>
      <c r="J74" s="226"/>
      <c r="K74" s="33" t="s">
        <v>69</v>
      </c>
      <c r="L74" s="34"/>
      <c r="M74" s="96"/>
      <c r="N74" s="314" t="s">
        <v>70</v>
      </c>
      <c r="O74" s="315"/>
      <c r="P74" s="316"/>
      <c r="Q74" s="314" t="s">
        <v>71</v>
      </c>
      <c r="R74" s="315"/>
      <c r="S74" s="316"/>
      <c r="T74" s="314" t="s">
        <v>72</v>
      </c>
      <c r="U74" s="315"/>
      <c r="V74" s="316"/>
      <c r="W74" s="314" t="s">
        <v>73</v>
      </c>
      <c r="X74" s="315"/>
      <c r="Y74" s="315"/>
      <c r="Z74" s="316"/>
      <c r="AA74" s="314" t="s">
        <v>74</v>
      </c>
      <c r="AB74" s="315"/>
      <c r="AC74" s="316"/>
    </row>
    <row r="75" spans="1:29" ht="13.5" customHeight="1" x14ac:dyDescent="0.25">
      <c r="A75" s="334"/>
      <c r="B75" s="335"/>
      <c r="C75" s="335"/>
      <c r="D75" s="335"/>
      <c r="E75" s="335"/>
      <c r="F75" s="336"/>
      <c r="G75" s="7" t="s">
        <v>75</v>
      </c>
      <c r="H75" s="7" t="s">
        <v>13</v>
      </c>
      <c r="I75" s="7" t="s">
        <v>75</v>
      </c>
      <c r="J75" s="7" t="s">
        <v>13</v>
      </c>
      <c r="K75" s="7" t="s">
        <v>75</v>
      </c>
      <c r="L75" s="7" t="s">
        <v>13</v>
      </c>
      <c r="M75" s="97"/>
      <c r="N75" s="37" t="s">
        <v>0</v>
      </c>
      <c r="O75" s="98" t="s">
        <v>1</v>
      </c>
      <c r="P75" s="98" t="s">
        <v>91</v>
      </c>
      <c r="Q75" s="37" t="s">
        <v>0</v>
      </c>
      <c r="R75" s="98" t="s">
        <v>1</v>
      </c>
      <c r="S75" s="98" t="s">
        <v>91</v>
      </c>
      <c r="T75" s="37" t="s">
        <v>0</v>
      </c>
      <c r="U75" s="98" t="s">
        <v>1</v>
      </c>
      <c r="V75" s="98" t="s">
        <v>91</v>
      </c>
      <c r="W75" s="37"/>
      <c r="X75" s="37" t="s">
        <v>0</v>
      </c>
      <c r="Y75" s="99" t="s">
        <v>1</v>
      </c>
      <c r="Z75" s="39" t="s">
        <v>76</v>
      </c>
      <c r="AA75" s="37" t="s">
        <v>0</v>
      </c>
      <c r="AB75" s="99" t="s">
        <v>1</v>
      </c>
      <c r="AC75" s="39" t="s">
        <v>76</v>
      </c>
    </row>
    <row r="76" spans="1:29" ht="24.9" customHeight="1" x14ac:dyDescent="0.25">
      <c r="A76" s="224" t="s">
        <v>77</v>
      </c>
      <c r="B76" s="225"/>
      <c r="C76" s="225"/>
      <c r="D76" s="225"/>
      <c r="E76" s="225"/>
      <c r="F76" s="226"/>
      <c r="G76" s="71">
        <f>MPR!G76+KARACHI!G76+SINDH!G76+'GILGIT BALTISTAN'!G76+'AZAD KHASHMIR'!G76+'KHYBER PAKHTUNKHWA'!G76</f>
        <v>951</v>
      </c>
      <c r="H76" s="71">
        <f>MPR!H76+KARACHI!H76+SINDH!H76+'GILGIT BALTISTAN'!H76+'AZAD KHASHMIR'!H76+'KHYBER PAKHTUNKHWA'!H76</f>
        <v>2</v>
      </c>
      <c r="I76" s="71">
        <f>MPR!I76+KARACHI!I76+SINDH!I76+'GILGIT BALTISTAN'!I76+'AZAD KHASHMIR'!I76+'KHYBER PAKHTUNKHWA'!I76</f>
        <v>13</v>
      </c>
      <c r="J76" s="71">
        <f>MPR!J76+KARACHI!J76+SINDH!J76+'GILGIT BALTISTAN'!J76+'AZAD KHASHMIR'!J76+'KHYBER PAKHTUNKHWA'!J76</f>
        <v>0</v>
      </c>
      <c r="K76" s="71">
        <f>MPR!K76+KARACHI!K76+SINDH!K76+'GILGIT BALTISTAN'!K76+'AZAD KHASHMIR'!K76+'KHYBER PAKHTUNKHWA'!K76</f>
        <v>0</v>
      </c>
      <c r="L76" s="71">
        <f>MPR!L76+KARACHI!L76+SINDH!L76+'GILGIT BALTISTAN'!L76+'AZAD KHASHMIR'!L76+'KHYBER PAKHTUNKHWA'!L76</f>
        <v>0</v>
      </c>
      <c r="M76" s="97"/>
      <c r="N76" s="344">
        <f>MPR!N76+KARACHI!N76+SINDH!N76+'GILGIT BALTISTAN'!N76:N79+'AZAD KHASHMIR'!N76:N79+'KHYBER PAKHTUNKHWA'!N76:N79</f>
        <v>99</v>
      </c>
      <c r="O76" s="344">
        <f>MPR!O76+KARACHI!O76+SINDH!O76+'GILGIT BALTISTAN'!O76:O79+'AZAD KHASHMIR'!O76:O79+'KHYBER PAKHTUNKHWA'!O76:O79</f>
        <v>1665</v>
      </c>
      <c r="P76" s="344">
        <f>MPR!P76+KARACHI!P76+SINDH!P76+'GILGIT BALTISTAN'!P76:P79+'AZAD KHASHMIR'!P76:P79+'KHYBER PAKHTUNKHWA'!P76:P79</f>
        <v>4885</v>
      </c>
      <c r="Q76" s="344">
        <f>MPR!Q76+KARACHI!Q76+SINDH!Q76+'GILGIT BALTISTAN'!Q76:Q79+'AZAD KHASHMIR'!Q76:Q79+'KHYBER PAKHTUNKHWA'!Q76:Q79</f>
        <v>48</v>
      </c>
      <c r="R76" s="344">
        <f>MPR!R76+KARACHI!R76+SINDH!R76+'GILGIT BALTISTAN'!R76:R79+'AZAD KHASHMIR'!R76:R79+'KHYBER PAKHTUNKHWA'!R76:R79</f>
        <v>1333</v>
      </c>
      <c r="S76" s="344">
        <f>MPR!S76+KARACHI!S76+SINDH!S76+'GILGIT BALTISTAN'!S76:S79+'AZAD KHASHMIR'!S76:S79+'KHYBER PAKHTUNKHWA'!S76:S79</f>
        <v>3491</v>
      </c>
      <c r="T76" s="344">
        <f>MPR!T76+KARACHI!T76+SINDH!T76+'GILGIT BALTISTAN'!T76:T79+'AZAD KHASHMIR'!T76:T79+'KHYBER PAKHTUNKHWA'!T76:T79</f>
        <v>0</v>
      </c>
      <c r="U76" s="344">
        <f>MPR!U76+KARACHI!U76+SINDH!U76+'GILGIT BALTISTAN'!U76:U79+'AZAD KHASHMIR'!U76:U79+'KHYBER PAKHTUNKHWA'!U76:U79</f>
        <v>5</v>
      </c>
      <c r="V76" s="344">
        <f>MPR!V76+KARACHI!V76+SINDH!V76+'GILGIT BALTISTAN'!V76:V79+'AZAD KHASHMIR'!V76:V79+'KHYBER PAKHTUNKHWA'!V76:V79</f>
        <v>206</v>
      </c>
      <c r="W76" s="40" t="s">
        <v>64</v>
      </c>
      <c r="X76" s="71">
        <f>MPR!X76+KARACHI!X76+SINDH!X76+'GILGIT BALTISTAN'!X76+'AZAD KHASHMIR'!X76+'KHYBER PAKHTUNKHWA'!X76</f>
        <v>12</v>
      </c>
      <c r="Y76" s="71">
        <f>MPR!Y76+KARACHI!Y76+SINDH!Y76+'GILGIT BALTISTAN'!Y76+'AZAD KHASHMIR'!Y76+'KHYBER PAKHTUNKHWA'!Y76</f>
        <v>17</v>
      </c>
      <c r="Z76" s="71">
        <f>MPR!Z76+KARACHI!Z76+SINDH!Z76+'GILGIT BALTISTAN'!Z76+'AZAD KHASHMIR'!Z76+'KHYBER PAKHTUNKHWA'!Z76</f>
        <v>0</v>
      </c>
      <c r="AA76" s="71">
        <f>MPR!AA76+KARACHI!AA76+SINDH!AA76+'GILGIT BALTISTAN'!AA76+'AZAD KHASHMIR'!AA76+'KHYBER PAKHTUNKHWA'!AA76</f>
        <v>0</v>
      </c>
      <c r="AB76" s="71">
        <f>MPR!AB76+KARACHI!AB76+SINDH!AB76+'GILGIT BALTISTAN'!AB76+'AZAD KHASHMIR'!AB76+'KHYBER PAKHTUNKHWA'!AB76</f>
        <v>0</v>
      </c>
      <c r="AC76" s="71">
        <f>MPR!AC76+KARACHI!AC76+SINDH!AC76+'GILGIT BALTISTAN'!AC76+'AZAD KHASHMIR'!AC76+'KHYBER PAKHTUNKHWA'!AC76</f>
        <v>0</v>
      </c>
    </row>
    <row r="77" spans="1:29" ht="24.9" customHeight="1" x14ac:dyDescent="0.25">
      <c r="A77" s="224" t="s">
        <v>8</v>
      </c>
      <c r="B77" s="225"/>
      <c r="C77" s="225"/>
      <c r="D77" s="225"/>
      <c r="E77" s="225"/>
      <c r="F77" s="226"/>
      <c r="G77" s="71">
        <f>MPR!G77+KARACHI!G77+SINDH!G77+'GILGIT BALTISTAN'!G77+'AZAD KHASHMIR'!G77+'KHYBER PAKHTUNKHWA'!G77</f>
        <v>20</v>
      </c>
      <c r="H77" s="71">
        <f>MPR!H77+KARACHI!H77+SINDH!H77+'GILGIT BALTISTAN'!H77+'AZAD KHASHMIR'!H77+'KHYBER PAKHTUNKHWA'!H77</f>
        <v>1</v>
      </c>
      <c r="I77" s="71">
        <f>MPR!I77+KARACHI!I77+SINDH!I77+'GILGIT BALTISTAN'!I77+'AZAD KHASHMIR'!I77+'KHYBER PAKHTUNKHWA'!I77</f>
        <v>0</v>
      </c>
      <c r="J77" s="71">
        <f>MPR!J77+KARACHI!J77+SINDH!J77+'GILGIT BALTISTAN'!J77+'AZAD KHASHMIR'!J77+'KHYBER PAKHTUNKHWA'!J77</f>
        <v>0</v>
      </c>
      <c r="K77" s="71">
        <f>MPR!K77+KARACHI!K77+SINDH!K77+'GILGIT BALTISTAN'!K77+'AZAD KHASHMIR'!K77+'KHYBER PAKHTUNKHWA'!K77</f>
        <v>0</v>
      </c>
      <c r="L77" s="71">
        <f>MPR!L77+KARACHI!L77+SINDH!L77+'GILGIT BALTISTAN'!L77+'AZAD KHASHMIR'!L77+'KHYBER PAKHTUNKHWA'!L77</f>
        <v>0</v>
      </c>
      <c r="M77" s="97"/>
      <c r="N77" s="322"/>
      <c r="O77" s="322"/>
      <c r="P77" s="322"/>
      <c r="Q77" s="322"/>
      <c r="R77" s="322"/>
      <c r="S77" s="322"/>
      <c r="T77" s="322"/>
      <c r="U77" s="322"/>
      <c r="V77" s="322"/>
      <c r="W77" s="40" t="s">
        <v>65</v>
      </c>
      <c r="X77" s="71">
        <f>MPR!X77+KARACHI!X77+SINDH!X77+'GILGIT BALTISTAN'!X77+'AZAD KHASHMIR'!X77+'KHYBER PAKHTUNKHWA'!X77</f>
        <v>0</v>
      </c>
      <c r="Y77" s="71">
        <f>MPR!Y77+KARACHI!Y77+SINDH!Y77+'GILGIT BALTISTAN'!Y77+'AZAD KHASHMIR'!Y77+'KHYBER PAKHTUNKHWA'!Y77</f>
        <v>5</v>
      </c>
      <c r="Z77" s="71">
        <f>MPR!Z77+KARACHI!Z77+SINDH!Z77+'GILGIT BALTISTAN'!Z77+'AZAD KHASHMIR'!Z77+'KHYBER PAKHTUNKHWA'!Z77</f>
        <v>12</v>
      </c>
      <c r="AA77" s="71">
        <f>MPR!AA77+KARACHI!AA77+SINDH!AA77+'GILGIT BALTISTAN'!AA77+'AZAD KHASHMIR'!AA77+'KHYBER PAKHTUNKHWA'!AA77</f>
        <v>0</v>
      </c>
      <c r="AB77" s="71">
        <f>MPR!AB77+KARACHI!AB77+SINDH!AB77+'GILGIT BALTISTAN'!AB77+'AZAD KHASHMIR'!AB77+'KHYBER PAKHTUNKHWA'!AB77</f>
        <v>0</v>
      </c>
      <c r="AC77" s="71">
        <f>MPR!AC77+KARACHI!AC77+SINDH!AC77+'GILGIT BALTISTAN'!AC77+'AZAD KHASHMIR'!AC77+'KHYBER PAKHTUNKHWA'!AC77</f>
        <v>0</v>
      </c>
    </row>
    <row r="78" spans="1:29" ht="24.9" customHeight="1" x14ac:dyDescent="0.25">
      <c r="A78" s="309" t="s">
        <v>78</v>
      </c>
      <c r="B78" s="310"/>
      <c r="C78" s="310"/>
      <c r="D78" s="310"/>
      <c r="E78" s="310"/>
      <c r="F78" s="311"/>
      <c r="G78" s="71">
        <f>MPR!G78+KARACHI!G78+SINDH!G78+'GILGIT BALTISTAN'!G78+'AZAD KHASHMIR'!G78+'KHYBER PAKHTUNKHWA'!G78</f>
        <v>7</v>
      </c>
      <c r="H78" s="71">
        <f>MPR!H78+KARACHI!H78+SINDH!H78+'GILGIT BALTISTAN'!H78+'AZAD KHASHMIR'!H78+'KHYBER PAKHTUNKHWA'!H78</f>
        <v>0</v>
      </c>
      <c r="I78" s="71">
        <f>MPR!I78+KARACHI!I78+SINDH!I78+'GILGIT BALTISTAN'!I78+'AZAD KHASHMIR'!I78+'KHYBER PAKHTUNKHWA'!I78</f>
        <v>0</v>
      </c>
      <c r="J78" s="71">
        <f>MPR!J78+KARACHI!J78+SINDH!J78+'GILGIT BALTISTAN'!J78+'AZAD KHASHMIR'!J78+'KHYBER PAKHTUNKHWA'!J78</f>
        <v>0</v>
      </c>
      <c r="K78" s="71">
        <f>MPR!K78+KARACHI!K78+SINDH!K78+'GILGIT BALTISTAN'!K78+'AZAD KHASHMIR'!K78+'KHYBER PAKHTUNKHWA'!K78</f>
        <v>0</v>
      </c>
      <c r="L78" s="71">
        <f>MPR!L78+KARACHI!L78+SINDH!L78+'GILGIT BALTISTAN'!L78+'AZAD KHASHMIR'!L78+'KHYBER PAKHTUNKHWA'!L78</f>
        <v>0</v>
      </c>
      <c r="M78" s="97"/>
      <c r="N78" s="322"/>
      <c r="O78" s="322"/>
      <c r="P78" s="322"/>
      <c r="Q78" s="322"/>
      <c r="R78" s="322"/>
      <c r="S78" s="322"/>
      <c r="T78" s="322"/>
      <c r="U78" s="322"/>
      <c r="V78" s="322"/>
      <c r="W78" s="319" t="s">
        <v>66</v>
      </c>
      <c r="X78" s="321">
        <f>MPR!X78+KARACHI!X78+SINDH!X78+'GILGIT BALTISTAN'!X78:X79+'AZAD KHASHMIR'!X78:X79+'KHYBER PAKHTUNKHWA'!X78:X79</f>
        <v>1</v>
      </c>
      <c r="Y78" s="321">
        <f>MPR!Y78+KARACHI!Y78+SINDH!Y78+'GILGIT BALTISTAN'!Y78:Y79+'AZAD KHASHMIR'!Y78:Y79+'KHYBER PAKHTUNKHWA'!Y78:Y79</f>
        <v>30</v>
      </c>
      <c r="Z78" s="321">
        <f>MPR!Z78+KARACHI!Z78+SINDH!Z78+'GILGIT BALTISTAN'!Z78:Z79+'AZAD KHASHMIR'!Z78:Z79+'KHYBER PAKHTUNKHWA'!Z78:Z79</f>
        <v>119</v>
      </c>
      <c r="AA78" s="321">
        <f>MPR!AA78+KARACHI!AA78+SINDH!AA78+'GILGIT BALTISTAN'!AA78:AA79+'AZAD KHASHMIR'!AA78:AA79+'KHYBER PAKHTUNKHWA'!AA78:AA79</f>
        <v>0</v>
      </c>
      <c r="AB78" s="321">
        <f>MPR!AB78+KARACHI!AB78+SINDH!AB78+'GILGIT BALTISTAN'!AB78:AB79+'AZAD KHASHMIR'!AB78:AB79+'KHYBER PAKHTUNKHWA'!AB78:AB79</f>
        <v>0</v>
      </c>
      <c r="AC78" s="321">
        <f>MPR!AC78+KARACHI!AC78+SINDH!AC78+'GILGIT BALTISTAN'!AC78:AC79+'AZAD KHASHMIR'!AC78:AC79+'KHYBER PAKHTUNKHWA'!AC78:AC79</f>
        <v>0</v>
      </c>
    </row>
    <row r="79" spans="1:29" ht="24.9" customHeight="1" x14ac:dyDescent="0.25">
      <c r="A79" s="224" t="s">
        <v>7</v>
      </c>
      <c r="B79" s="225"/>
      <c r="C79" s="225"/>
      <c r="D79" s="225"/>
      <c r="E79" s="225"/>
      <c r="F79" s="226"/>
      <c r="G79" s="7">
        <f>SUM(G76:G78)</f>
        <v>978</v>
      </c>
      <c r="H79" s="7">
        <f t="shared" ref="H79:L79" si="8">SUM(H76:H78)</f>
        <v>3</v>
      </c>
      <c r="I79" s="7">
        <f t="shared" si="8"/>
        <v>13</v>
      </c>
      <c r="J79" s="7">
        <f t="shared" si="8"/>
        <v>0</v>
      </c>
      <c r="K79" s="7">
        <f t="shared" si="8"/>
        <v>0</v>
      </c>
      <c r="L79" s="7">
        <f t="shared" si="8"/>
        <v>0</v>
      </c>
      <c r="M79" s="97"/>
      <c r="N79" s="323"/>
      <c r="O79" s="323"/>
      <c r="P79" s="323"/>
      <c r="Q79" s="323"/>
      <c r="R79" s="323"/>
      <c r="S79" s="323"/>
      <c r="T79" s="323"/>
      <c r="U79" s="323"/>
      <c r="V79" s="323"/>
      <c r="W79" s="320"/>
      <c r="X79" s="323"/>
      <c r="Y79" s="323"/>
      <c r="Z79" s="323"/>
      <c r="AA79" s="323"/>
      <c r="AB79" s="323"/>
      <c r="AC79" s="323"/>
    </row>
    <row r="80" spans="1:29" ht="23.4" x14ac:dyDescent="0.25">
      <c r="A80" s="159" t="s">
        <v>15</v>
      </c>
      <c r="B80" s="159"/>
      <c r="C80" s="159"/>
      <c r="D80" s="159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  <c r="AB80" s="159"/>
      <c r="AC80" s="159"/>
    </row>
    <row r="81" spans="1:32" ht="23.4" x14ac:dyDescent="0.25">
      <c r="A81" s="159" t="s">
        <v>16</v>
      </c>
      <c r="B81" s="159"/>
      <c r="C81" s="159"/>
      <c r="D81" s="159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2"/>
      <c r="Y81" s="160" t="s">
        <v>17</v>
      </c>
      <c r="Z81" s="160"/>
      <c r="AA81" s="2"/>
      <c r="AB81" s="2"/>
      <c r="AC81" s="2"/>
    </row>
    <row r="82" spans="1:32" ht="30.9" customHeight="1" x14ac:dyDescent="0.25">
      <c r="A82" s="326" t="s">
        <v>18</v>
      </c>
      <c r="B82" s="326"/>
      <c r="C82" s="326"/>
      <c r="D82" s="326"/>
      <c r="E82" s="444" t="str">
        <f>E4</f>
        <v>All Project Total</v>
      </c>
      <c r="F82" s="444"/>
      <c r="G82" s="444"/>
      <c r="H82" s="444"/>
      <c r="I82" s="328" t="s">
        <v>20</v>
      </c>
      <c r="J82" s="328"/>
      <c r="K82" s="329" t="s">
        <v>85</v>
      </c>
      <c r="L82" s="329"/>
      <c r="M82" s="328" t="s">
        <v>21</v>
      </c>
      <c r="N82" s="328"/>
      <c r="O82" s="445" t="s">
        <v>14</v>
      </c>
      <c r="P82" s="445"/>
      <c r="Q82" s="445"/>
      <c r="R82" s="445"/>
      <c r="S82" s="43"/>
      <c r="T82" s="166" t="s">
        <v>22</v>
      </c>
      <c r="U82" s="166"/>
      <c r="V82" s="166"/>
      <c r="W82" s="166"/>
      <c r="X82" s="166"/>
      <c r="Y82" s="152" t="s">
        <v>80</v>
      </c>
      <c r="Z82" s="152"/>
      <c r="AA82" s="152"/>
      <c r="AB82" s="443" t="str">
        <f>AB43</f>
        <v>of Year 2024</v>
      </c>
      <c r="AC82" s="443"/>
    </row>
    <row r="83" spans="1:32" ht="15" customHeight="1" x14ac:dyDescent="0.25">
      <c r="T83" s="166"/>
      <c r="U83" s="166"/>
      <c r="V83" s="166"/>
      <c r="W83" s="166"/>
      <c r="X83" s="166"/>
      <c r="Y83" s="152"/>
      <c r="Z83" s="152"/>
      <c r="AA83" s="152"/>
      <c r="AB83" s="443"/>
      <c r="AC83" s="443"/>
    </row>
    <row r="84" spans="1:32" ht="15.6" x14ac:dyDescent="0.25">
      <c r="A84" s="324" t="s">
        <v>24</v>
      </c>
      <c r="B84" s="324"/>
      <c r="C84" s="324"/>
      <c r="D84" s="324"/>
      <c r="E84" s="324"/>
      <c r="F84" s="324"/>
      <c r="G84" s="324"/>
      <c r="H84" s="325" t="s">
        <v>25</v>
      </c>
      <c r="I84" s="325"/>
      <c r="J84" s="325"/>
      <c r="K84" s="325"/>
      <c r="L84" s="325"/>
      <c r="M84" s="325"/>
      <c r="N84" s="325"/>
      <c r="O84" s="73"/>
      <c r="P84" s="73"/>
      <c r="T84" s="156" t="s">
        <v>26</v>
      </c>
      <c r="U84" s="156"/>
      <c r="V84" s="156"/>
      <c r="W84" s="156"/>
      <c r="X84" s="156"/>
      <c r="Y84" s="156"/>
      <c r="Z84" s="265" t="s">
        <v>27</v>
      </c>
      <c r="AA84" s="265"/>
      <c r="AB84" s="265"/>
      <c r="AC84" s="265"/>
    </row>
    <row r="85" spans="1:32" x14ac:dyDescent="0.25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</row>
    <row r="86" spans="1:32" ht="15" customHeight="1" x14ac:dyDescent="0.25">
      <c r="A86" s="284" t="s">
        <v>29</v>
      </c>
      <c r="B86" s="285"/>
      <c r="C86" s="285"/>
      <c r="D86" s="285"/>
      <c r="E86" s="285"/>
      <c r="F86" s="285"/>
      <c r="G86" s="285"/>
      <c r="H86" s="285"/>
      <c r="I86" s="285"/>
      <c r="J86" s="286"/>
      <c r="K86" s="273" t="s">
        <v>30</v>
      </c>
      <c r="L86" s="274"/>
      <c r="M86" s="273" t="s">
        <v>31</v>
      </c>
      <c r="N86" s="274"/>
      <c r="O86" s="287" t="s">
        <v>32</v>
      </c>
      <c r="P86" s="288"/>
      <c r="Q86" s="289"/>
      <c r="R86" s="273" t="s">
        <v>33</v>
      </c>
      <c r="S86" s="296"/>
      <c r="T86" s="274"/>
      <c r="U86" s="224" t="s">
        <v>34</v>
      </c>
      <c r="V86" s="225"/>
      <c r="W86" s="225"/>
      <c r="X86" s="225"/>
      <c r="Y86" s="225"/>
      <c r="Z86" s="225"/>
      <c r="AA86" s="226"/>
      <c r="AB86" s="273" t="s">
        <v>7</v>
      </c>
      <c r="AC86" s="274"/>
    </row>
    <row r="87" spans="1:32" ht="23.25" customHeight="1" x14ac:dyDescent="0.25">
      <c r="A87" s="169" t="s">
        <v>35</v>
      </c>
      <c r="B87" s="173"/>
      <c r="C87" s="173"/>
      <c r="D87" s="173"/>
      <c r="E87" s="173"/>
      <c r="F87" s="173"/>
      <c r="G87" s="173"/>
      <c r="H87" s="173"/>
      <c r="I87" s="173"/>
      <c r="J87" s="170"/>
      <c r="K87" s="275"/>
      <c r="L87" s="276"/>
      <c r="M87" s="275"/>
      <c r="N87" s="276"/>
      <c r="O87" s="290"/>
      <c r="P87" s="291"/>
      <c r="Q87" s="292"/>
      <c r="R87" s="275"/>
      <c r="S87" s="297"/>
      <c r="T87" s="276"/>
      <c r="U87" s="279" t="s">
        <v>36</v>
      </c>
      <c r="V87" s="279"/>
      <c r="W87" s="279"/>
      <c r="X87" s="279" t="s">
        <v>37</v>
      </c>
      <c r="Y87" s="279"/>
      <c r="Z87" s="279" t="s">
        <v>38</v>
      </c>
      <c r="AA87" s="279"/>
      <c r="AB87" s="275"/>
      <c r="AC87" s="276"/>
    </row>
    <row r="88" spans="1:32" x14ac:dyDescent="0.25">
      <c r="A88" s="171"/>
      <c r="B88" s="174"/>
      <c r="C88" s="174"/>
      <c r="D88" s="174"/>
      <c r="E88" s="174"/>
      <c r="F88" s="174"/>
      <c r="G88" s="174"/>
      <c r="H88" s="174"/>
      <c r="I88" s="174"/>
      <c r="J88" s="172"/>
      <c r="K88" s="277"/>
      <c r="L88" s="278"/>
      <c r="M88" s="277"/>
      <c r="N88" s="278"/>
      <c r="O88" s="293"/>
      <c r="P88" s="294"/>
      <c r="Q88" s="295"/>
      <c r="R88" s="277"/>
      <c r="S88" s="298"/>
      <c r="T88" s="278"/>
      <c r="U88" s="280"/>
      <c r="V88" s="280"/>
      <c r="W88" s="280"/>
      <c r="X88" s="280"/>
      <c r="Y88" s="280"/>
      <c r="Z88" s="280"/>
      <c r="AA88" s="280"/>
      <c r="AB88" s="277"/>
      <c r="AC88" s="278"/>
    </row>
    <row r="89" spans="1:32" ht="24.9" customHeight="1" x14ac:dyDescent="0.25">
      <c r="A89" s="281" t="s">
        <v>39</v>
      </c>
      <c r="B89" s="282"/>
      <c r="C89" s="282"/>
      <c r="D89" s="282"/>
      <c r="E89" s="282"/>
      <c r="F89" s="282"/>
      <c r="G89" s="282"/>
      <c r="H89" s="282"/>
      <c r="I89" s="282"/>
      <c r="J89" s="283"/>
      <c r="K89" s="341">
        <f>SUM(MPR!K89+KARACHI!K89+SINDH!K89+'GILGIT BALTISTAN'!K89+'AZAD KHASHMIR'!K89+'KHYBER PAKHTUNKHWA'!K89)</f>
        <v>963</v>
      </c>
      <c r="L89" s="342"/>
      <c r="M89" s="341">
        <f>SUM(MPR!M89+KARACHI!M89+SINDH!M89+'GILGIT BALTISTAN'!M89+'AZAD KHASHMIR'!M89+'KHYBER PAKHTUNKHWA'!M89)</f>
        <v>76</v>
      </c>
      <c r="N89" s="342"/>
      <c r="O89" s="341">
        <f>MPR!O89+KARACHI!O89+SINDH!O89+'GILGIT BALTISTAN'!O89:Q89+'AZAD KHASHMIR'!O89:Q89+'KHYBER PAKHTUNKHWA'!O89:Q89</f>
        <v>1</v>
      </c>
      <c r="P89" s="343"/>
      <c r="Q89" s="342"/>
      <c r="R89" s="341">
        <f>SUM(K89+M89+O89)</f>
        <v>1040</v>
      </c>
      <c r="S89" s="343"/>
      <c r="T89" s="342"/>
      <c r="U89" s="341">
        <f>MPR!U89+KARACHI!U89+SINDH!U89+'GILGIT BALTISTAN'!U89:W89+'AZAD KHASHMIR'!U89:W89+'KHYBER PAKHTUNKHWA'!U89:W89</f>
        <v>0</v>
      </c>
      <c r="V89" s="343"/>
      <c r="W89" s="342"/>
      <c r="X89" s="341">
        <f>MPR!X89+KARACHI!X89+SINDH!X89+'GILGIT BALTISTAN'!X89:Y89+'AZAD KHASHMIR'!X89:Y89+'KHYBER PAKHTUNKHWA'!X89:Y89</f>
        <v>0</v>
      </c>
      <c r="Y89" s="342"/>
      <c r="Z89" s="341">
        <f>MPR!Z89+KARACHI!Z89+SINDH!Z89+'GILGIT BALTISTAN'!Z89:AA89+'AZAD KHASHMIR'!Z89:AA89+'KHYBER PAKHTUNKHWA'!Z89:AA89</f>
        <v>1</v>
      </c>
      <c r="AA89" s="342"/>
      <c r="AB89" s="341">
        <f>SUM(K89+M89+O89+U89+X89+Z89)</f>
        <v>1041</v>
      </c>
      <c r="AC89" s="342"/>
    </row>
    <row r="90" spans="1:32" ht="24.9" customHeight="1" x14ac:dyDescent="0.25">
      <c r="A90" s="281" t="s">
        <v>40</v>
      </c>
      <c r="B90" s="282"/>
      <c r="C90" s="282"/>
      <c r="D90" s="282"/>
      <c r="E90" s="282"/>
      <c r="F90" s="282"/>
      <c r="G90" s="282"/>
      <c r="H90" s="282"/>
      <c r="I90" s="282"/>
      <c r="J90" s="283"/>
      <c r="K90" s="341">
        <f>SUM(MPR!K90+KARACHI!K90+SINDH!K90+'GILGIT BALTISTAN'!K90+'AZAD KHASHMIR'!K90+'KHYBER PAKHTUNKHWA'!K90)</f>
        <v>1869</v>
      </c>
      <c r="L90" s="342"/>
      <c r="M90" s="341">
        <f>SUM(MPR!M90+KARACHI!M90+SINDH!M90+'GILGIT BALTISTAN'!M90+'AZAD KHASHMIR'!M90+'KHYBER PAKHTUNKHWA'!M90)</f>
        <v>49</v>
      </c>
      <c r="N90" s="342"/>
      <c r="O90" s="341">
        <f>MPR!O90+KARACHI!O90+SINDH!O90+'GILGIT BALTISTAN'!O90:Q90+'AZAD KHASHMIR'!O90:Q90+'KHYBER PAKHTUNKHWA'!O90:Q90</f>
        <v>0</v>
      </c>
      <c r="P90" s="343"/>
      <c r="Q90" s="342"/>
      <c r="R90" s="341">
        <f>SUM(K90+M90+O90)</f>
        <v>1918</v>
      </c>
      <c r="S90" s="343"/>
      <c r="T90" s="342"/>
      <c r="U90" s="341">
        <f>MPR!U90+KARACHI!U90+SINDH!U90+'GILGIT BALTISTAN'!U90:W90+'AZAD KHASHMIR'!U90:W90+'KHYBER PAKHTUNKHWA'!U90:W90</f>
        <v>0</v>
      </c>
      <c r="V90" s="343"/>
      <c r="W90" s="342"/>
      <c r="X90" s="341">
        <f>MPR!X90+KARACHI!X90+SINDH!X90+'GILGIT BALTISTAN'!X90:Y90+'AZAD KHASHMIR'!X90:Y90+'KHYBER PAKHTUNKHWA'!X90:Y90</f>
        <v>5</v>
      </c>
      <c r="Y90" s="342"/>
      <c r="Z90" s="341">
        <f>MPR!Z90+KARACHI!Z90+SINDH!Z90+'GILGIT BALTISTAN'!Z90:AA90+'AZAD KHASHMIR'!Z90:AA90+'KHYBER PAKHTUNKHWA'!Z90:AA90</f>
        <v>4</v>
      </c>
      <c r="AA90" s="342"/>
      <c r="AB90" s="341">
        <f>SUM(K90+M90+O90+U90+X90+Z90)</f>
        <v>1927</v>
      </c>
      <c r="AC90" s="342"/>
    </row>
    <row r="91" spans="1:32" ht="24.9" customHeight="1" x14ac:dyDescent="0.25">
      <c r="A91" s="281" t="s">
        <v>41</v>
      </c>
      <c r="B91" s="282"/>
      <c r="C91" s="282"/>
      <c r="D91" s="282"/>
      <c r="E91" s="282"/>
      <c r="F91" s="282"/>
      <c r="G91" s="282"/>
      <c r="H91" s="282"/>
      <c r="I91" s="282"/>
      <c r="J91" s="283"/>
      <c r="K91" s="341">
        <f>SUM(MPR!K91+KARACHI!K91+SINDH!K91+'GILGIT BALTISTAN'!K91+'AZAD KHASHMIR'!K91+'KHYBER PAKHTUNKHWA'!K91)</f>
        <v>6</v>
      </c>
      <c r="L91" s="342"/>
      <c r="M91" s="341">
        <f>SUM(MPR!M91+KARACHI!M91+SINDH!M91+'GILGIT BALTISTAN'!M91+'AZAD KHASHMIR'!M91+'KHYBER PAKHTUNKHWA'!M91)</f>
        <v>0</v>
      </c>
      <c r="N91" s="342"/>
      <c r="O91" s="341">
        <f>MPR!O91+KARACHI!O91+SINDH!O91+'GILGIT BALTISTAN'!O91:Q91+'AZAD KHASHMIR'!O91:Q91+'KHYBER PAKHTUNKHWA'!O91:Q91</f>
        <v>0</v>
      </c>
      <c r="P91" s="343"/>
      <c r="Q91" s="342"/>
      <c r="R91" s="341">
        <f>SUM(K91+M91+O91)</f>
        <v>6</v>
      </c>
      <c r="S91" s="343"/>
      <c r="T91" s="342"/>
      <c r="U91" s="341">
        <f>MPR!U91+KARACHI!U91+SINDH!U91+'GILGIT BALTISTAN'!U91:W91+'AZAD KHASHMIR'!U91:W91+'KHYBER PAKHTUNKHWA'!U91:W91</f>
        <v>0</v>
      </c>
      <c r="V91" s="343"/>
      <c r="W91" s="342"/>
      <c r="X91" s="341">
        <f>MPR!X91+KARACHI!X91+SINDH!X91+'GILGIT BALTISTAN'!X91:Y91+'AZAD KHASHMIR'!X91:Y91+'KHYBER PAKHTUNKHWA'!X91:Y91</f>
        <v>0</v>
      </c>
      <c r="Y91" s="342"/>
      <c r="Z91" s="341">
        <f>MPR!Z91+KARACHI!Z91+SINDH!Z91+'GILGIT BALTISTAN'!Z91:AA91+'AZAD KHASHMIR'!Z91:AA91+'KHYBER PAKHTUNKHWA'!Z91:AA91</f>
        <v>0</v>
      </c>
      <c r="AA91" s="342"/>
      <c r="AB91" s="341">
        <f>SUM(K91+M91+O91+U91+X91+Z91)</f>
        <v>6</v>
      </c>
      <c r="AC91" s="342"/>
    </row>
    <row r="92" spans="1:32" ht="24.9" customHeight="1" x14ac:dyDescent="0.25">
      <c r="A92" s="281" t="s">
        <v>42</v>
      </c>
      <c r="B92" s="282"/>
      <c r="C92" s="282"/>
      <c r="D92" s="282"/>
      <c r="E92" s="282"/>
      <c r="F92" s="282"/>
      <c r="G92" s="282"/>
      <c r="H92" s="282"/>
      <c r="I92" s="282"/>
      <c r="J92" s="283"/>
      <c r="K92" s="341">
        <f>SUM(MPR!K92+KARACHI!K92+SINDH!K92+'GILGIT BALTISTAN'!K92+'AZAD KHASHMIR'!K92+'KHYBER PAKHTUNKHWA'!K92)</f>
        <v>921</v>
      </c>
      <c r="L92" s="342"/>
      <c r="M92" s="341">
        <f>SUM(MPR!M92+KARACHI!M92+SINDH!M92+'GILGIT BALTISTAN'!M92+'AZAD KHASHMIR'!M92+'KHYBER PAKHTUNKHWA'!M92)</f>
        <v>10</v>
      </c>
      <c r="N92" s="342"/>
      <c r="O92" s="341">
        <f>MPR!O92+KARACHI!O92+SINDH!O92+'GILGIT BALTISTAN'!O92:Q92+'AZAD KHASHMIR'!O92:Q92+'KHYBER PAKHTUNKHWA'!O92:Q92</f>
        <v>4</v>
      </c>
      <c r="P92" s="343"/>
      <c r="Q92" s="342"/>
      <c r="R92" s="341">
        <f>SUM(K92+M92+O92)</f>
        <v>935</v>
      </c>
      <c r="S92" s="343"/>
      <c r="T92" s="342"/>
      <c r="U92" s="341">
        <f>MPR!U92+KARACHI!U92+SINDH!U92+'GILGIT BALTISTAN'!U92:W92+'AZAD KHASHMIR'!U92:W92+'KHYBER PAKHTUNKHWA'!U92:W92</f>
        <v>0</v>
      </c>
      <c r="V92" s="343"/>
      <c r="W92" s="342"/>
      <c r="X92" s="341">
        <f>MPR!X92+KARACHI!X92+SINDH!X92+'GILGIT BALTISTAN'!X92:Y92+'AZAD KHASHMIR'!X92:Y92+'KHYBER PAKHTUNKHWA'!X92:Y92</f>
        <v>0</v>
      </c>
      <c r="Y92" s="342"/>
      <c r="Z92" s="341">
        <f>MPR!Z92+KARACHI!Z92+SINDH!Z92+'GILGIT BALTISTAN'!Z92:AA92+'AZAD KHASHMIR'!Z92:AA92+'KHYBER PAKHTUNKHWA'!Z92:AA92</f>
        <v>10</v>
      </c>
      <c r="AA92" s="342"/>
      <c r="AB92" s="341">
        <f>SUM(K92+M92+O92+U92+X92+Z92)</f>
        <v>945</v>
      </c>
      <c r="AC92" s="342"/>
    </row>
    <row r="93" spans="1:32" ht="24.9" customHeight="1" x14ac:dyDescent="0.25">
      <c r="A93" s="281" t="s">
        <v>7</v>
      </c>
      <c r="B93" s="282"/>
      <c r="C93" s="282"/>
      <c r="D93" s="282"/>
      <c r="E93" s="282"/>
      <c r="F93" s="282"/>
      <c r="G93" s="282"/>
      <c r="H93" s="282"/>
      <c r="I93" s="282"/>
      <c r="J93" s="283"/>
      <c r="K93" s="341">
        <f>SUM(K89:L92)</f>
        <v>3759</v>
      </c>
      <c r="L93" s="342"/>
      <c r="M93" s="341">
        <f>SUM(M89:N92)</f>
        <v>135</v>
      </c>
      <c r="N93" s="342"/>
      <c r="O93" s="341">
        <f>SUM(O89:Q92)</f>
        <v>5</v>
      </c>
      <c r="P93" s="343"/>
      <c r="Q93" s="342"/>
      <c r="R93" s="341">
        <f>SUM(K93+M93+O93)</f>
        <v>3899</v>
      </c>
      <c r="S93" s="343"/>
      <c r="T93" s="342"/>
      <c r="U93" s="341">
        <f>SUM(U89:W92)</f>
        <v>0</v>
      </c>
      <c r="V93" s="343"/>
      <c r="W93" s="342"/>
      <c r="X93" s="341">
        <f>SUM(X89:Y92)</f>
        <v>5</v>
      </c>
      <c r="Y93" s="342"/>
      <c r="Z93" s="341">
        <f>SUM(Z89:AA92)</f>
        <v>15</v>
      </c>
      <c r="AA93" s="342"/>
      <c r="AB93" s="341">
        <f>SUM(K93+M93+O93+U93+X93+Z93)</f>
        <v>3919</v>
      </c>
      <c r="AC93" s="342"/>
    </row>
    <row r="94" spans="1:32" ht="15.6" x14ac:dyDescent="0.25">
      <c r="A94" s="75" t="s">
        <v>43</v>
      </c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7"/>
      <c r="V94" s="77"/>
      <c r="W94" s="77"/>
      <c r="X94" s="77"/>
      <c r="Y94" s="77"/>
      <c r="Z94" s="77"/>
      <c r="AA94" s="77"/>
      <c r="AB94" s="77"/>
      <c r="AC94" s="78"/>
    </row>
    <row r="95" spans="1:32" ht="21.75" customHeight="1" x14ac:dyDescent="0.25">
      <c r="A95" s="331"/>
      <c r="B95" s="332"/>
      <c r="C95" s="332"/>
      <c r="D95" s="332"/>
      <c r="E95" s="332"/>
      <c r="F95" s="332"/>
      <c r="G95" s="332"/>
      <c r="H95" s="332"/>
      <c r="I95" s="332"/>
      <c r="J95" s="333"/>
      <c r="K95" s="224" t="s">
        <v>0</v>
      </c>
      <c r="L95" s="226"/>
      <c r="M95" s="305" t="s">
        <v>1</v>
      </c>
      <c r="N95" s="306"/>
      <c r="O95" s="301" t="s">
        <v>2</v>
      </c>
      <c r="P95" s="302"/>
      <c r="Q95" s="301" t="s">
        <v>3</v>
      </c>
      <c r="R95" s="302"/>
      <c r="S95" s="301" t="s">
        <v>4</v>
      </c>
      <c r="T95" s="302"/>
      <c r="U95" s="301" t="s">
        <v>5</v>
      </c>
      <c r="V95" s="302"/>
      <c r="W95" s="301" t="s">
        <v>6</v>
      </c>
      <c r="X95" s="302"/>
      <c r="Y95" s="301" t="s">
        <v>44</v>
      </c>
      <c r="Z95" s="302"/>
      <c r="AA95" s="301" t="s">
        <v>7</v>
      </c>
      <c r="AB95" s="302"/>
      <c r="AC95" s="303" t="s">
        <v>86</v>
      </c>
      <c r="AD95" s="5"/>
      <c r="AE95" s="6"/>
      <c r="AF95" s="6"/>
    </row>
    <row r="96" spans="1:32" x14ac:dyDescent="0.25">
      <c r="A96" s="334"/>
      <c r="B96" s="335"/>
      <c r="C96" s="335"/>
      <c r="D96" s="335"/>
      <c r="E96" s="335"/>
      <c r="F96" s="335"/>
      <c r="G96" s="335"/>
      <c r="H96" s="335"/>
      <c r="I96" s="335"/>
      <c r="J96" s="336"/>
      <c r="K96" s="7" t="s">
        <v>9</v>
      </c>
      <c r="L96" s="7" t="s">
        <v>10</v>
      </c>
      <c r="M96" s="7" t="s">
        <v>9</v>
      </c>
      <c r="N96" s="7" t="s">
        <v>10</v>
      </c>
      <c r="O96" s="7" t="s">
        <v>9</v>
      </c>
      <c r="P96" s="7" t="s">
        <v>10</v>
      </c>
      <c r="Q96" s="7" t="s">
        <v>9</v>
      </c>
      <c r="R96" s="7" t="s">
        <v>10</v>
      </c>
      <c r="S96" s="7" t="s">
        <v>9</v>
      </c>
      <c r="T96" s="7" t="s">
        <v>10</v>
      </c>
      <c r="U96" s="7" t="s">
        <v>9</v>
      </c>
      <c r="V96" s="7" t="s">
        <v>10</v>
      </c>
      <c r="W96" s="7" t="s">
        <v>9</v>
      </c>
      <c r="X96" s="7" t="s">
        <v>10</v>
      </c>
      <c r="Y96" s="7" t="s">
        <v>9</v>
      </c>
      <c r="Z96" s="7" t="s">
        <v>10</v>
      </c>
      <c r="AA96" s="7" t="s">
        <v>9</v>
      </c>
      <c r="AB96" s="7" t="s">
        <v>10</v>
      </c>
      <c r="AC96" s="304"/>
    </row>
    <row r="97" spans="1:29" ht="24.9" customHeight="1" x14ac:dyDescent="0.25">
      <c r="A97" s="281" t="s">
        <v>39</v>
      </c>
      <c r="B97" s="282"/>
      <c r="C97" s="282"/>
      <c r="D97" s="282"/>
      <c r="E97" s="282"/>
      <c r="F97" s="282"/>
      <c r="G97" s="282"/>
      <c r="H97" s="282"/>
      <c r="I97" s="282"/>
      <c r="J97" s="283"/>
      <c r="K97" s="71">
        <f>MPR!K97+KARACHI!K97+SINDH!K97+'GILGIT BALTISTAN'!K97+'AZAD KHASHMIR'!K97+'KHYBER PAKHTUNKHWA'!K97</f>
        <v>1</v>
      </c>
      <c r="L97" s="71">
        <f>MPR!L97+KARACHI!L97+SINDH!L97+'GILGIT BALTISTAN'!L97+'AZAD KHASHMIR'!L97+'KHYBER PAKHTUNKHWA'!L97</f>
        <v>5</v>
      </c>
      <c r="M97" s="71">
        <f>MPR!M97+KARACHI!M97+SINDH!M97+'GILGIT BALTISTAN'!M97+'AZAD KHASHMIR'!M97+'KHYBER PAKHTUNKHWA'!M97</f>
        <v>13</v>
      </c>
      <c r="N97" s="71">
        <f>MPR!N97+KARACHI!N97+SINDH!N97+'GILGIT BALTISTAN'!N97+'AZAD KHASHMIR'!N97+'KHYBER PAKHTUNKHWA'!N97</f>
        <v>24</v>
      </c>
      <c r="O97" s="71">
        <f>MPR!O97+KARACHI!O97+SINDH!O97+'GILGIT BALTISTAN'!O97+'AZAD KHASHMIR'!O97+'KHYBER PAKHTUNKHWA'!O97</f>
        <v>98</v>
      </c>
      <c r="P97" s="71">
        <f>MPR!P97+KARACHI!P97+SINDH!P97+'GILGIT BALTISTAN'!P97+'AZAD KHASHMIR'!P97+'KHYBER PAKHTUNKHWA'!P97</f>
        <v>118</v>
      </c>
      <c r="Q97" s="71">
        <f>MPR!Q97+KARACHI!Q97+SINDH!Q97+'GILGIT BALTISTAN'!Q97+'AZAD KHASHMIR'!Q97+'KHYBER PAKHTUNKHWA'!Q97</f>
        <v>98</v>
      </c>
      <c r="R97" s="71">
        <f>MPR!R97+KARACHI!R97+SINDH!R97+'GILGIT BALTISTAN'!R97+'AZAD KHASHMIR'!R97+'KHYBER PAKHTUNKHWA'!R97</f>
        <v>68</v>
      </c>
      <c r="S97" s="71">
        <f>MPR!S97+KARACHI!S97+SINDH!S97+'GILGIT BALTISTAN'!S97+'AZAD KHASHMIR'!S97+'KHYBER PAKHTUNKHWA'!S97</f>
        <v>77</v>
      </c>
      <c r="T97" s="71">
        <f>MPR!T97+KARACHI!T97+SINDH!T97+'GILGIT BALTISTAN'!T97+'AZAD KHASHMIR'!T97+'KHYBER PAKHTUNKHWA'!T97</f>
        <v>63</v>
      </c>
      <c r="U97" s="71">
        <f>MPR!U97+KARACHI!U97+SINDH!U97+'GILGIT BALTISTAN'!U97+'AZAD KHASHMIR'!U97+'KHYBER PAKHTUNKHWA'!U97</f>
        <v>73</v>
      </c>
      <c r="V97" s="71">
        <f>MPR!V97+KARACHI!V97+SINDH!V97+'GILGIT BALTISTAN'!V97+'AZAD KHASHMIR'!V97+'KHYBER PAKHTUNKHWA'!V97</f>
        <v>47</v>
      </c>
      <c r="W97" s="71">
        <f>MPR!W97+KARACHI!W97+SINDH!W97+'GILGIT BALTISTAN'!W97+'AZAD KHASHMIR'!W97+'KHYBER PAKHTUNKHWA'!W97</f>
        <v>78</v>
      </c>
      <c r="X97" s="71">
        <f>MPR!X97+KARACHI!X97+SINDH!X97+'GILGIT BALTISTAN'!X97+'AZAD KHASHMIR'!X97+'KHYBER PAKHTUNKHWA'!X97</f>
        <v>62</v>
      </c>
      <c r="Y97" s="71">
        <f>MPR!Y97+KARACHI!Y97+SINDH!Y97+'GILGIT BALTISTAN'!Y97+'AZAD KHASHMIR'!Y97+'KHYBER PAKHTUNKHWA'!Y97</f>
        <v>124</v>
      </c>
      <c r="Z97" s="71">
        <f>MPR!Z97+KARACHI!Z97+SINDH!Z97+'GILGIT BALTISTAN'!Z97+'AZAD KHASHMIR'!Z97+'KHYBER PAKHTUNKHWA'!Z97</f>
        <v>91</v>
      </c>
      <c r="AA97" s="71">
        <f>SUM(K97+M97+O97+Q97+S97+U97+W97+Y97)</f>
        <v>562</v>
      </c>
      <c r="AB97" s="71">
        <f>SUM(L97+N97+P97+R97+T97+V97+X97+Z97)</f>
        <v>478</v>
      </c>
      <c r="AC97" s="71">
        <f>SUM(AA97:AB97)</f>
        <v>1040</v>
      </c>
    </row>
    <row r="98" spans="1:29" ht="24.9" customHeight="1" x14ac:dyDescent="0.25">
      <c r="A98" s="281" t="s">
        <v>40</v>
      </c>
      <c r="B98" s="282"/>
      <c r="C98" s="282"/>
      <c r="D98" s="282"/>
      <c r="E98" s="282"/>
      <c r="F98" s="282"/>
      <c r="G98" s="282"/>
      <c r="H98" s="282"/>
      <c r="I98" s="282"/>
      <c r="J98" s="283"/>
      <c r="K98" s="71">
        <f>MPR!K98+KARACHI!K98+SINDH!K98+'GILGIT BALTISTAN'!K98+'AZAD KHASHMIR'!K98+'KHYBER PAKHTUNKHWA'!K98</f>
        <v>424</v>
      </c>
      <c r="L98" s="71">
        <f>MPR!L98+KARACHI!L98+SINDH!L98+'GILGIT BALTISTAN'!L98+'AZAD KHASHMIR'!L98+'KHYBER PAKHTUNKHWA'!L98</f>
        <v>372</v>
      </c>
      <c r="M98" s="71">
        <f>MPR!M98+KARACHI!M98+SINDH!M98+'GILGIT BALTISTAN'!M98+'AZAD KHASHMIR'!M98+'KHYBER PAKHTUNKHWA'!M98</f>
        <v>106</v>
      </c>
      <c r="N98" s="71">
        <f>MPR!N98+KARACHI!N98+SINDH!N98+'GILGIT BALTISTAN'!N98+'AZAD KHASHMIR'!N98+'KHYBER PAKHTUNKHWA'!N98</f>
        <v>120</v>
      </c>
      <c r="O98" s="71">
        <f>MPR!O98+KARACHI!O98+SINDH!O98+'GILGIT BALTISTAN'!O98+'AZAD KHASHMIR'!O98+'KHYBER PAKHTUNKHWA'!O98</f>
        <v>83</v>
      </c>
      <c r="P98" s="71">
        <f>MPR!P98+KARACHI!P98+SINDH!P98+'GILGIT BALTISTAN'!P98+'AZAD KHASHMIR'!P98+'KHYBER PAKHTUNKHWA'!P98</f>
        <v>97</v>
      </c>
      <c r="Q98" s="71">
        <f>MPR!Q98+KARACHI!Q98+SINDH!Q98+'GILGIT BALTISTAN'!Q98+'AZAD KHASHMIR'!Q98+'KHYBER PAKHTUNKHWA'!Q98</f>
        <v>63</v>
      </c>
      <c r="R98" s="71">
        <f>MPR!R98+KARACHI!R98+SINDH!R98+'GILGIT BALTISTAN'!R98+'AZAD KHASHMIR'!R98+'KHYBER PAKHTUNKHWA'!R98</f>
        <v>79</v>
      </c>
      <c r="S98" s="71">
        <f>MPR!S98+KARACHI!S98+SINDH!S98+'GILGIT BALTISTAN'!S98+'AZAD KHASHMIR'!S98+'KHYBER PAKHTUNKHWA'!S98</f>
        <v>62</v>
      </c>
      <c r="T98" s="71">
        <f>MPR!T98+KARACHI!T98+SINDH!T98+'GILGIT BALTISTAN'!T98+'AZAD KHASHMIR'!T98+'KHYBER PAKHTUNKHWA'!T98</f>
        <v>52</v>
      </c>
      <c r="U98" s="71">
        <f>MPR!U98+KARACHI!U98+SINDH!U98+'GILGIT BALTISTAN'!U98+'AZAD KHASHMIR'!U98+'KHYBER PAKHTUNKHWA'!U98</f>
        <v>61</v>
      </c>
      <c r="V98" s="71">
        <f>MPR!V98+KARACHI!V98+SINDH!V98+'GILGIT BALTISTAN'!V98+'AZAD KHASHMIR'!V98+'KHYBER PAKHTUNKHWA'!V98</f>
        <v>46</v>
      </c>
      <c r="W98" s="71">
        <f>MPR!W98+KARACHI!W98+SINDH!W98+'GILGIT BALTISTAN'!W98+'AZAD KHASHMIR'!W98+'KHYBER PAKHTUNKHWA'!W98</f>
        <v>77</v>
      </c>
      <c r="X98" s="71">
        <f>MPR!X98+KARACHI!X98+SINDH!X98+'GILGIT BALTISTAN'!X98+'AZAD KHASHMIR'!X98+'KHYBER PAKHTUNKHWA'!X98</f>
        <v>54</v>
      </c>
      <c r="Y98" s="71">
        <f>MPR!Y98+KARACHI!Y98+SINDH!Y98+'GILGIT BALTISTAN'!Y98+'AZAD KHASHMIR'!Y98+'KHYBER PAKHTUNKHWA'!Y98</f>
        <v>117</v>
      </c>
      <c r="Z98" s="71">
        <f>MPR!Z98+KARACHI!Z98+SINDH!Z98+'GILGIT BALTISTAN'!Z98+'AZAD KHASHMIR'!Z98+'KHYBER PAKHTUNKHWA'!Z98</f>
        <v>105</v>
      </c>
      <c r="AA98" s="71">
        <f t="shared" ref="AA98:AA100" si="9">SUM(K98+M98+O98+Q98+S98+U98+W98+Y98)</f>
        <v>993</v>
      </c>
      <c r="AB98" s="71">
        <f t="shared" ref="AB98:AB100" si="10">SUM(L98+N98+P98+R98+T98+V98+X98+Z98)</f>
        <v>925</v>
      </c>
      <c r="AC98" s="71">
        <f t="shared" ref="AC98:AC101" si="11">SUM(AA98:AB98)</f>
        <v>1918</v>
      </c>
    </row>
    <row r="99" spans="1:29" ht="24.9" customHeight="1" x14ac:dyDescent="0.25">
      <c r="A99" s="281" t="s">
        <v>41</v>
      </c>
      <c r="B99" s="282"/>
      <c r="C99" s="282"/>
      <c r="D99" s="282"/>
      <c r="E99" s="282"/>
      <c r="F99" s="282"/>
      <c r="G99" s="282"/>
      <c r="H99" s="282"/>
      <c r="I99" s="282"/>
      <c r="J99" s="283"/>
      <c r="K99" s="71">
        <f>MPR!K99+KARACHI!K99+SINDH!K99+'GILGIT BALTISTAN'!K99+'AZAD KHASHMIR'!K99+'KHYBER PAKHTUNKHWA'!K99</f>
        <v>0</v>
      </c>
      <c r="L99" s="71">
        <f>MPR!L99+KARACHI!L99+SINDH!L99+'GILGIT BALTISTAN'!L99+'AZAD KHASHMIR'!L99+'KHYBER PAKHTUNKHWA'!L99</f>
        <v>0</v>
      </c>
      <c r="M99" s="71">
        <f>MPR!M99+KARACHI!M99+SINDH!M99+'GILGIT BALTISTAN'!M99+'AZAD KHASHMIR'!M99+'KHYBER PAKHTUNKHWA'!M99</f>
        <v>0</v>
      </c>
      <c r="N99" s="71">
        <f>MPR!N99+KARACHI!N99+SINDH!N99+'GILGIT BALTISTAN'!N99+'AZAD KHASHMIR'!N99+'KHYBER PAKHTUNKHWA'!N99</f>
        <v>0</v>
      </c>
      <c r="O99" s="71">
        <f>MPR!O99+KARACHI!O99+SINDH!O99+'GILGIT BALTISTAN'!O99+'AZAD KHASHMIR'!O99+'KHYBER PAKHTUNKHWA'!O99</f>
        <v>0</v>
      </c>
      <c r="P99" s="71">
        <f>MPR!P99+KARACHI!P99+SINDH!P99+'GILGIT BALTISTAN'!P99+'AZAD KHASHMIR'!P99+'KHYBER PAKHTUNKHWA'!P99</f>
        <v>1</v>
      </c>
      <c r="Q99" s="71">
        <f>MPR!Q99+KARACHI!Q99+SINDH!Q99+'GILGIT BALTISTAN'!Q99+'AZAD KHASHMIR'!Q99+'KHYBER PAKHTUNKHWA'!Q99</f>
        <v>3</v>
      </c>
      <c r="R99" s="71">
        <f>MPR!R99+KARACHI!R99+SINDH!R99+'GILGIT BALTISTAN'!R99+'AZAD KHASHMIR'!R99+'KHYBER PAKHTUNKHWA'!R99</f>
        <v>1</v>
      </c>
      <c r="S99" s="71">
        <f>MPR!S99+KARACHI!S99+SINDH!S99+'GILGIT BALTISTAN'!S99+'AZAD KHASHMIR'!S99+'KHYBER PAKHTUNKHWA'!S99</f>
        <v>0</v>
      </c>
      <c r="T99" s="71">
        <f>MPR!T99+KARACHI!T99+SINDH!T99+'GILGIT BALTISTAN'!T99+'AZAD KHASHMIR'!T99+'KHYBER PAKHTUNKHWA'!T99</f>
        <v>0</v>
      </c>
      <c r="U99" s="71">
        <f>MPR!U99+KARACHI!U99+SINDH!U99+'GILGIT BALTISTAN'!U99+'AZAD KHASHMIR'!U99+'KHYBER PAKHTUNKHWA'!U99</f>
        <v>0</v>
      </c>
      <c r="V99" s="71">
        <f>MPR!V99+KARACHI!V99+SINDH!V99+'GILGIT BALTISTAN'!V99+'AZAD KHASHMIR'!V99+'KHYBER PAKHTUNKHWA'!V99</f>
        <v>0</v>
      </c>
      <c r="W99" s="71">
        <f>MPR!W99+KARACHI!W99+SINDH!W99+'GILGIT BALTISTAN'!W99+'AZAD KHASHMIR'!W99+'KHYBER PAKHTUNKHWA'!W99</f>
        <v>1</v>
      </c>
      <c r="X99" s="71">
        <f>MPR!X99+KARACHI!X99+SINDH!X99+'GILGIT BALTISTAN'!X99+'AZAD KHASHMIR'!X99+'KHYBER PAKHTUNKHWA'!X99</f>
        <v>0</v>
      </c>
      <c r="Y99" s="71">
        <f>MPR!Y99+KARACHI!Y99+SINDH!Y99+'GILGIT BALTISTAN'!Y99+'AZAD KHASHMIR'!Y99+'KHYBER PAKHTUNKHWA'!Y99</f>
        <v>0</v>
      </c>
      <c r="Z99" s="71">
        <f>MPR!Z99+KARACHI!Z99+SINDH!Z99+'GILGIT BALTISTAN'!Z99+'AZAD KHASHMIR'!Z99+'KHYBER PAKHTUNKHWA'!Z99</f>
        <v>0</v>
      </c>
      <c r="AA99" s="71">
        <f t="shared" si="9"/>
        <v>4</v>
      </c>
      <c r="AB99" s="71">
        <f t="shared" si="10"/>
        <v>2</v>
      </c>
      <c r="AC99" s="71">
        <f t="shared" si="11"/>
        <v>6</v>
      </c>
    </row>
    <row r="100" spans="1:29" ht="24.9" customHeight="1" x14ac:dyDescent="0.25">
      <c r="A100" s="281" t="s">
        <v>42</v>
      </c>
      <c r="B100" s="282"/>
      <c r="C100" s="282"/>
      <c r="D100" s="282"/>
      <c r="E100" s="282"/>
      <c r="F100" s="282"/>
      <c r="G100" s="282"/>
      <c r="H100" s="282"/>
      <c r="I100" s="282"/>
      <c r="J100" s="283"/>
      <c r="K100" s="71">
        <f>MPR!K100+KARACHI!K100+SINDH!K100+'GILGIT BALTISTAN'!K100+'AZAD KHASHMIR'!K100+'KHYBER PAKHTUNKHWA'!K100</f>
        <v>105</v>
      </c>
      <c r="L100" s="71">
        <f>MPR!L100+KARACHI!L100+SINDH!L100+'GILGIT BALTISTAN'!L100+'AZAD KHASHMIR'!L100+'KHYBER PAKHTUNKHWA'!L100</f>
        <v>64</v>
      </c>
      <c r="M100" s="71">
        <f>MPR!M100+KARACHI!M100+SINDH!M100+'GILGIT BALTISTAN'!M100+'AZAD KHASHMIR'!M100+'KHYBER PAKHTUNKHWA'!M100</f>
        <v>61</v>
      </c>
      <c r="N100" s="71">
        <f>MPR!N100+KARACHI!N100+SINDH!N100+'GILGIT BALTISTAN'!N100+'AZAD KHASHMIR'!N100+'KHYBER PAKHTUNKHWA'!N100</f>
        <v>42</v>
      </c>
      <c r="O100" s="71">
        <f>MPR!O100+KARACHI!O100+SINDH!O100+'GILGIT BALTISTAN'!O100+'AZAD KHASHMIR'!O100+'KHYBER PAKHTUNKHWA'!O100</f>
        <v>99</v>
      </c>
      <c r="P100" s="71">
        <f>MPR!P100+KARACHI!P100+SINDH!P100+'GILGIT BALTISTAN'!P100+'AZAD KHASHMIR'!P100+'KHYBER PAKHTUNKHWA'!P100</f>
        <v>85</v>
      </c>
      <c r="Q100" s="71">
        <f>MPR!Q100+KARACHI!Q100+SINDH!Q100+'GILGIT BALTISTAN'!Q100+'AZAD KHASHMIR'!Q100+'KHYBER PAKHTUNKHWA'!Q100</f>
        <v>67</v>
      </c>
      <c r="R100" s="71">
        <f>MPR!R100+KARACHI!R100+SINDH!R100+'GILGIT BALTISTAN'!R100+'AZAD KHASHMIR'!R100+'KHYBER PAKHTUNKHWA'!R100</f>
        <v>58</v>
      </c>
      <c r="S100" s="71">
        <f>MPR!S100+KARACHI!S100+SINDH!S100+'GILGIT BALTISTAN'!S100+'AZAD KHASHMIR'!S100+'KHYBER PAKHTUNKHWA'!S100</f>
        <v>42</v>
      </c>
      <c r="T100" s="71">
        <f>MPR!T100+KARACHI!T100+SINDH!T100+'GILGIT BALTISTAN'!T100+'AZAD KHASHMIR'!T100+'KHYBER PAKHTUNKHWA'!T100</f>
        <v>61</v>
      </c>
      <c r="U100" s="71">
        <f>MPR!U100+KARACHI!U100+SINDH!U100+'GILGIT BALTISTAN'!U100+'AZAD KHASHMIR'!U100+'KHYBER PAKHTUNKHWA'!U100</f>
        <v>38</v>
      </c>
      <c r="V100" s="71">
        <f>MPR!V100+KARACHI!V100+SINDH!V100+'GILGIT BALTISTAN'!V100+'AZAD KHASHMIR'!V100+'KHYBER PAKHTUNKHWA'!V100</f>
        <v>30</v>
      </c>
      <c r="W100" s="71">
        <f>MPR!W100+KARACHI!W100+SINDH!W100+'GILGIT BALTISTAN'!W100+'AZAD KHASHMIR'!W100+'KHYBER PAKHTUNKHWA'!W100</f>
        <v>42</v>
      </c>
      <c r="X100" s="71">
        <f>MPR!X100+KARACHI!X100+SINDH!X100+'GILGIT BALTISTAN'!X100+'AZAD KHASHMIR'!X100+'KHYBER PAKHTUNKHWA'!X100</f>
        <v>36</v>
      </c>
      <c r="Y100" s="71">
        <f>MPR!Y100+KARACHI!Y100+SINDH!Y100+'GILGIT BALTISTAN'!Y100+'AZAD KHASHMIR'!Y100+'KHYBER PAKHTUNKHWA'!Y100</f>
        <v>69</v>
      </c>
      <c r="Z100" s="71">
        <f>MPR!Z100+KARACHI!Z100+SINDH!Z100+'GILGIT BALTISTAN'!Z100+'AZAD KHASHMIR'!Z100+'KHYBER PAKHTUNKHWA'!Z100</f>
        <v>36</v>
      </c>
      <c r="AA100" s="71">
        <f t="shared" si="9"/>
        <v>523</v>
      </c>
      <c r="AB100" s="71">
        <f t="shared" si="10"/>
        <v>412</v>
      </c>
      <c r="AC100" s="71">
        <f t="shared" si="11"/>
        <v>935</v>
      </c>
    </row>
    <row r="101" spans="1:29" ht="24.9" customHeight="1" x14ac:dyDescent="0.25">
      <c r="A101" s="224" t="s">
        <v>7</v>
      </c>
      <c r="B101" s="225"/>
      <c r="C101" s="225"/>
      <c r="D101" s="225"/>
      <c r="E101" s="225"/>
      <c r="F101" s="225"/>
      <c r="G101" s="225"/>
      <c r="H101" s="225"/>
      <c r="I101" s="225"/>
      <c r="J101" s="226"/>
      <c r="K101" s="71">
        <f>SUM(K97:K100)</f>
        <v>530</v>
      </c>
      <c r="L101" s="71">
        <f t="shared" ref="L101:AB101" si="12">SUM(L97:L100)</f>
        <v>441</v>
      </c>
      <c r="M101" s="71">
        <f t="shared" si="12"/>
        <v>180</v>
      </c>
      <c r="N101" s="71">
        <f t="shared" si="12"/>
        <v>186</v>
      </c>
      <c r="O101" s="71">
        <f t="shared" si="12"/>
        <v>280</v>
      </c>
      <c r="P101" s="71">
        <f t="shared" si="12"/>
        <v>301</v>
      </c>
      <c r="Q101" s="71">
        <f t="shared" si="12"/>
        <v>231</v>
      </c>
      <c r="R101" s="71">
        <f t="shared" si="12"/>
        <v>206</v>
      </c>
      <c r="S101" s="71">
        <f t="shared" si="12"/>
        <v>181</v>
      </c>
      <c r="T101" s="71">
        <f t="shared" si="12"/>
        <v>176</v>
      </c>
      <c r="U101" s="71">
        <f t="shared" si="12"/>
        <v>172</v>
      </c>
      <c r="V101" s="71">
        <f t="shared" si="12"/>
        <v>123</v>
      </c>
      <c r="W101" s="71">
        <f t="shared" si="12"/>
        <v>198</v>
      </c>
      <c r="X101" s="71">
        <f t="shared" si="12"/>
        <v>152</v>
      </c>
      <c r="Y101" s="71">
        <f t="shared" si="12"/>
        <v>310</v>
      </c>
      <c r="Z101" s="71">
        <f t="shared" si="12"/>
        <v>232</v>
      </c>
      <c r="AA101" s="71">
        <f t="shared" si="12"/>
        <v>2082</v>
      </c>
      <c r="AB101" s="71">
        <f t="shared" si="12"/>
        <v>1817</v>
      </c>
      <c r="AC101" s="71">
        <f t="shared" si="11"/>
        <v>3899</v>
      </c>
    </row>
    <row r="102" spans="1:29" ht="6.75" customHeight="1" x14ac:dyDescent="0.25">
      <c r="A102" s="79"/>
      <c r="B102" s="80"/>
      <c r="C102" s="80"/>
      <c r="D102" s="80"/>
      <c r="E102" s="80"/>
      <c r="F102" s="81"/>
      <c r="G102" s="82"/>
      <c r="H102" s="82"/>
      <c r="I102" s="82"/>
      <c r="J102" s="82"/>
      <c r="K102" s="82"/>
      <c r="L102" s="82"/>
      <c r="M102" s="83"/>
      <c r="N102" s="82"/>
      <c r="O102" s="337"/>
      <c r="P102" s="338"/>
      <c r="Q102" s="84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5"/>
    </row>
    <row r="103" spans="1:29" ht="18" customHeight="1" x14ac:dyDescent="0.25">
      <c r="A103" s="86" t="s">
        <v>45</v>
      </c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8"/>
      <c r="M103" s="89"/>
      <c r="N103" s="86" t="s">
        <v>46</v>
      </c>
      <c r="O103" s="87"/>
      <c r="P103" s="87"/>
      <c r="Q103" s="87"/>
      <c r="R103" s="87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1"/>
    </row>
    <row r="104" spans="1:29" ht="42.75" customHeight="1" x14ac:dyDescent="0.25">
      <c r="A104" s="307" t="s">
        <v>47</v>
      </c>
      <c r="B104" s="312" t="s">
        <v>48</v>
      </c>
      <c r="C104" s="313"/>
      <c r="D104" s="314" t="s">
        <v>49</v>
      </c>
      <c r="E104" s="315"/>
      <c r="F104" s="316"/>
      <c r="G104" s="314" t="s">
        <v>50</v>
      </c>
      <c r="H104" s="315"/>
      <c r="I104" s="315"/>
      <c r="J104" s="316"/>
      <c r="K104" s="307" t="s">
        <v>51</v>
      </c>
      <c r="L104" s="307" t="s">
        <v>52</v>
      </c>
      <c r="M104" s="20"/>
      <c r="N104" s="309" t="s">
        <v>53</v>
      </c>
      <c r="O104" s="310"/>
      <c r="P104" s="311"/>
      <c r="Q104" s="309" t="s">
        <v>54</v>
      </c>
      <c r="R104" s="310"/>
      <c r="S104" s="311"/>
      <c r="T104" s="309" t="s">
        <v>55</v>
      </c>
      <c r="U104" s="310"/>
      <c r="V104" s="310"/>
      <c r="W104" s="310"/>
      <c r="X104" s="310"/>
      <c r="Y104" s="310"/>
      <c r="Z104" s="310"/>
      <c r="AA104" s="310"/>
      <c r="AB104" s="310"/>
      <c r="AC104" s="311"/>
    </row>
    <row r="105" spans="1:29" ht="48" customHeight="1" x14ac:dyDescent="0.25">
      <c r="A105" s="308"/>
      <c r="B105" s="21" t="s">
        <v>7</v>
      </c>
      <c r="C105" s="22" t="s">
        <v>87</v>
      </c>
      <c r="D105" s="22" t="s">
        <v>56</v>
      </c>
      <c r="E105" s="22" t="s">
        <v>88</v>
      </c>
      <c r="F105" s="22" t="s">
        <v>89</v>
      </c>
      <c r="G105" s="23" t="s">
        <v>56</v>
      </c>
      <c r="H105" s="22" t="s">
        <v>90</v>
      </c>
      <c r="I105" s="23" t="s">
        <v>57</v>
      </c>
      <c r="J105" s="23" t="s">
        <v>58</v>
      </c>
      <c r="K105" s="308"/>
      <c r="L105" s="308"/>
      <c r="M105" s="20"/>
      <c r="N105" s="309">
        <f>MPR!N105+KARACHI!N105+SINDH!N105+'GILGIT BALTISTAN'!N105:P105+'AZAD KHASHMIR'!N105:P105+'KHYBER PAKHTUNKHWA'!N105:P105</f>
        <v>64</v>
      </c>
      <c r="O105" s="310"/>
      <c r="P105" s="311"/>
      <c r="Q105" s="309">
        <f>MPR!Q105+KARACHI!Q105+SINDH!Q105+'GILGIT BALTISTAN'!Q105:S105+'AZAD KHASHMIR'!Q105:S105+'KHYBER PAKHTUNKHWA'!Q105:S105</f>
        <v>0</v>
      </c>
      <c r="R105" s="310"/>
      <c r="S105" s="311"/>
      <c r="T105" s="309">
        <f>MPR!T105+KARACHI!T105+SINDH!T105+'GILGIT BALTISTAN'!T105:AC105+'AZAD KHASHMIR'!T105:AC105+'KHYBER PAKHTUNKHWA'!T105:AC105</f>
        <v>0</v>
      </c>
      <c r="U105" s="310"/>
      <c r="V105" s="310"/>
      <c r="W105" s="310"/>
      <c r="X105" s="310"/>
      <c r="Y105" s="310"/>
      <c r="Z105" s="310"/>
      <c r="AA105" s="310"/>
      <c r="AB105" s="310"/>
      <c r="AC105" s="311"/>
    </row>
    <row r="106" spans="1:29" ht="38.25" customHeight="1" x14ac:dyDescent="0.25">
      <c r="A106" s="270">
        <f>MPR!A106+KARACHI!A106+SINDH!A106+'GILGIT BALTISTAN'!A106:A110+'AZAD KHASHMIR'!A106:A110+'KHYBER PAKHTUNKHWA'!A106:A110</f>
        <v>599781</v>
      </c>
      <c r="B106" s="270">
        <f>MPR!B106+KARACHI!B106+SINDH!B106+'GILGIT BALTISTAN'!B106:B110+'AZAD KHASHMIR'!B106:B110+'KHYBER PAKHTUNKHWA'!B106:B110</f>
        <v>14594</v>
      </c>
      <c r="C106" s="270">
        <f>MPR!C106+KARACHI!C106+SINDH!C106+'GILGIT BALTISTAN'!C106:C110+'AZAD KHASHMIR'!C106:C110+'KHYBER PAKHTUNKHWA'!C106:C110</f>
        <v>1385</v>
      </c>
      <c r="D106" s="270">
        <f>MPR!D106+KARACHI!D106+SINDH!D106+'GILGIT BALTISTAN'!D106:D110+'AZAD KHASHMIR'!D106:D110+'KHYBER PAKHTUNKHWA'!D106:D110</f>
        <v>5054</v>
      </c>
      <c r="E106" s="270">
        <f>MPR!E106+KARACHI!E106+SINDH!E106+'GILGIT BALTISTAN'!E106:E110+'AZAD KHASHMIR'!E106:E110+'KHYBER PAKHTUNKHWA'!E106:E110</f>
        <v>745</v>
      </c>
      <c r="F106" s="270">
        <f>MPR!F106+KARACHI!F106+SINDH!F106+'GILGIT BALTISTAN'!F106:F110+'AZAD KHASHMIR'!F106:F110+'KHYBER PAKHTUNKHWA'!F106:F110</f>
        <v>8163</v>
      </c>
      <c r="G106" s="270">
        <f>MPR!G106+KARACHI!G106+SINDH!G106+'GILGIT BALTISTAN'!G106:G110+'AZAD KHASHMIR'!G106:G110+'KHYBER PAKHTUNKHWA'!G106:G110</f>
        <v>791</v>
      </c>
      <c r="H106" s="270">
        <f>MPR!H106+KARACHI!H106+SINDH!H106+'GILGIT BALTISTAN'!H106:H110+'AZAD KHASHMIR'!H106:H110+'KHYBER PAKHTUNKHWA'!H106:H110</f>
        <v>126</v>
      </c>
      <c r="I106" s="270">
        <f>MPR!I106+KARACHI!I106+SINDH!I106+'GILGIT BALTISTAN'!I106:I110+'AZAD KHASHMIR'!I106:I110+'KHYBER PAKHTUNKHWA'!I106:I110</f>
        <v>160</v>
      </c>
      <c r="J106" s="440">
        <f>SUM(G106:I110)</f>
        <v>1077</v>
      </c>
      <c r="K106" s="270">
        <f>MPR!K106+KARACHI!K106+SINDH!K106+'GILGIT BALTISTAN'!K106:K110+'AZAD KHASHMIR'!K106:K110+'KHYBER PAKHTUNKHWA'!K106:K110</f>
        <v>1023</v>
      </c>
      <c r="L106" s="270">
        <f>MPR!L106+KARACHI!L106+SINDH!L106+'GILGIT BALTISTAN'!L106:L110+'AZAD KHASHMIR'!L106:L110+'KHYBER PAKHTUNKHWA'!L106:L110</f>
        <v>1735</v>
      </c>
      <c r="M106" s="20"/>
      <c r="N106" s="309" t="s">
        <v>59</v>
      </c>
      <c r="O106" s="310"/>
      <c r="P106" s="311"/>
      <c r="Q106" s="309" t="s">
        <v>60</v>
      </c>
      <c r="R106" s="310"/>
      <c r="S106" s="311"/>
      <c r="T106" s="293" t="s">
        <v>61</v>
      </c>
      <c r="U106" s="294"/>
      <c r="V106" s="294"/>
      <c r="W106" s="295"/>
      <c r="X106" s="293" t="s">
        <v>62</v>
      </c>
      <c r="Y106" s="294"/>
      <c r="Z106" s="294"/>
      <c r="AA106" s="294"/>
      <c r="AB106" s="294"/>
      <c r="AC106" s="295"/>
    </row>
    <row r="107" spans="1:29" ht="19.5" customHeight="1" x14ac:dyDescent="0.25">
      <c r="A107" s="271"/>
      <c r="B107" s="271"/>
      <c r="C107" s="271"/>
      <c r="D107" s="271"/>
      <c r="E107" s="271"/>
      <c r="F107" s="271"/>
      <c r="G107" s="271"/>
      <c r="H107" s="271"/>
      <c r="I107" s="271"/>
      <c r="J107" s="441"/>
      <c r="K107" s="271"/>
      <c r="L107" s="271"/>
      <c r="M107" s="20"/>
      <c r="N107" s="287">
        <f>MPR!N107+KARACHI!N107+SINDH!N107+'GILGIT BALTISTAN'!N107:P110+'AZAD KHASHMIR'!N107:P110+'KHYBER PAKHTUNKHWA'!N107:P110</f>
        <v>1</v>
      </c>
      <c r="O107" s="288"/>
      <c r="P107" s="289"/>
      <c r="Q107" s="287">
        <f>MPR!Q107+KARACHI!Q107+SINDH!Q107+'GILGIT BALTISTAN'!Q107:S110+'AZAD KHASHMIR'!Q107:S110+'KHYBER PAKHTUNKHWA'!Q107:S110</f>
        <v>0</v>
      </c>
      <c r="R107" s="288"/>
      <c r="S107" s="289"/>
      <c r="T107" s="287">
        <f>MPR!T107+KARACHI!T107+SINDH!T107+'GILGIT BALTISTAN'!T107:W110+'AZAD KHASHMIR'!T107:W110+'KHYBER PAKHTUNKHWA'!T107:W110</f>
        <v>0</v>
      </c>
      <c r="U107" s="288"/>
      <c r="V107" s="288"/>
      <c r="W107" s="289"/>
      <c r="X107" s="24"/>
      <c r="Y107" s="309" t="s">
        <v>0</v>
      </c>
      <c r="Z107" s="311"/>
      <c r="AA107" s="25" t="s">
        <v>1</v>
      </c>
      <c r="AB107" s="309" t="s">
        <v>63</v>
      </c>
      <c r="AC107" s="311"/>
    </row>
    <row r="108" spans="1:29" ht="18" customHeight="1" x14ac:dyDescent="0.25">
      <c r="A108" s="271"/>
      <c r="B108" s="271"/>
      <c r="C108" s="271"/>
      <c r="D108" s="271"/>
      <c r="E108" s="271"/>
      <c r="F108" s="271"/>
      <c r="G108" s="271"/>
      <c r="H108" s="271"/>
      <c r="I108" s="271"/>
      <c r="J108" s="441"/>
      <c r="K108" s="271"/>
      <c r="L108" s="271"/>
      <c r="M108" s="20"/>
      <c r="N108" s="290"/>
      <c r="O108" s="291"/>
      <c r="P108" s="292"/>
      <c r="Q108" s="290"/>
      <c r="R108" s="291"/>
      <c r="S108" s="292"/>
      <c r="T108" s="290"/>
      <c r="U108" s="291"/>
      <c r="V108" s="291"/>
      <c r="W108" s="292"/>
      <c r="X108" s="26" t="s">
        <v>64</v>
      </c>
      <c r="Y108" s="317">
        <f>MPR!Y108+KARACHI!Y108+SINDH!Y108+'GILGIT BALTISTAN'!Y108:Z108+'AZAD KHASHMIR'!Y108:Z108+'KHYBER PAKHTUNKHWA'!Y108:Z108</f>
        <v>0</v>
      </c>
      <c r="Z108" s="317"/>
      <c r="AA108" s="101">
        <f>MPR!AA108+KARACHI!AA108+SINDH!AA108+'GILGIT BALTISTAN'!AA108+'AZAD KHASHMIR'!AA108+'KHYBER PAKHTUNKHWA'!AA108</f>
        <v>0</v>
      </c>
      <c r="AB108" s="446">
        <f>MPR!AB108+KARACHI!AB108+SINDH!AB108+'GILGIT BALTISTAN'!AB108:AC108+'AZAD KHASHMIR'!AB108:AC108+'KHYBER PAKHTUNKHWA'!AB108:AC108</f>
        <v>0</v>
      </c>
      <c r="AC108" s="317"/>
    </row>
    <row r="109" spans="1:29" ht="18" customHeight="1" x14ac:dyDescent="0.25">
      <c r="A109" s="271"/>
      <c r="B109" s="271"/>
      <c r="C109" s="271"/>
      <c r="D109" s="271"/>
      <c r="E109" s="271"/>
      <c r="F109" s="271"/>
      <c r="G109" s="271"/>
      <c r="H109" s="271"/>
      <c r="I109" s="271"/>
      <c r="J109" s="441"/>
      <c r="K109" s="271"/>
      <c r="L109" s="271"/>
      <c r="M109" s="20"/>
      <c r="N109" s="290"/>
      <c r="O109" s="291"/>
      <c r="P109" s="292"/>
      <c r="Q109" s="290"/>
      <c r="R109" s="291"/>
      <c r="S109" s="292"/>
      <c r="T109" s="290"/>
      <c r="U109" s="291"/>
      <c r="V109" s="291"/>
      <c r="W109" s="292"/>
      <c r="X109" s="26" t="s">
        <v>65</v>
      </c>
      <c r="Y109" s="317">
        <f>MPR!Y109+KARACHI!Y109+SINDH!Y109+'GILGIT BALTISTAN'!Y109:Z109+'AZAD KHASHMIR'!Y109:Z109+'KHYBER PAKHTUNKHWA'!Y109:Z109</f>
        <v>0</v>
      </c>
      <c r="Z109" s="317"/>
      <c r="AA109" s="101">
        <f>MPR!AA109+KARACHI!AA109+SINDH!AA109+'GILGIT BALTISTAN'!AA109+'AZAD KHASHMIR'!AA109+'KHYBER PAKHTUNKHWA'!AA109</f>
        <v>0</v>
      </c>
      <c r="AB109" s="446">
        <f>MPR!AB109+KARACHI!AB109+SINDH!AB109+'GILGIT BALTISTAN'!AB109:AC109+'AZAD KHASHMIR'!AB109:AC109+'KHYBER PAKHTUNKHWA'!AB109:AC109</f>
        <v>0</v>
      </c>
      <c r="AC109" s="317"/>
    </row>
    <row r="110" spans="1:29" ht="18" customHeight="1" x14ac:dyDescent="0.25">
      <c r="A110" s="272"/>
      <c r="B110" s="272"/>
      <c r="C110" s="272"/>
      <c r="D110" s="272"/>
      <c r="E110" s="272"/>
      <c r="F110" s="272"/>
      <c r="G110" s="272"/>
      <c r="H110" s="272"/>
      <c r="I110" s="272"/>
      <c r="J110" s="442"/>
      <c r="K110" s="272"/>
      <c r="L110" s="272"/>
      <c r="M110" s="20"/>
      <c r="N110" s="293"/>
      <c r="O110" s="294"/>
      <c r="P110" s="295"/>
      <c r="Q110" s="293"/>
      <c r="R110" s="294"/>
      <c r="S110" s="295"/>
      <c r="T110" s="293"/>
      <c r="U110" s="294"/>
      <c r="V110" s="294"/>
      <c r="W110" s="295"/>
      <c r="X110" s="26" t="s">
        <v>66</v>
      </c>
      <c r="Y110" s="317">
        <f>MPR!Y110+KARACHI!Y110+SINDH!Y110+'GILGIT BALTISTAN'!Y110:Z110+'AZAD KHASHMIR'!Y110:Z110+'KHYBER PAKHTUNKHWA'!Y110:Z110</f>
        <v>0</v>
      </c>
      <c r="Z110" s="317"/>
      <c r="AA110" s="101">
        <f>MPR!AA110+KARACHI!AA110+SINDH!AA110+'GILGIT BALTISTAN'!AA110+'AZAD KHASHMIR'!AA110+'KHYBER PAKHTUNKHWA'!AA110</f>
        <v>0</v>
      </c>
      <c r="AB110" s="446">
        <f>MPR!AB110+KARACHI!AB110+SINDH!AB110+'GILGIT BALTISTAN'!AB110:AC110+'AZAD KHASHMIR'!AB110:AC110+'KHYBER PAKHTUNKHWA'!AB110:AC110</f>
        <v>0</v>
      </c>
      <c r="AC110" s="317"/>
    </row>
    <row r="111" spans="1:29" ht="8.25" customHeight="1" x14ac:dyDescent="0.25">
      <c r="A111" s="27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92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78"/>
    </row>
    <row r="112" spans="1:29" ht="18" customHeight="1" x14ac:dyDescent="0.25">
      <c r="A112" s="86" t="s">
        <v>67</v>
      </c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8"/>
      <c r="M112" s="93"/>
      <c r="N112" s="86" t="s">
        <v>68</v>
      </c>
      <c r="O112" s="88"/>
      <c r="P112" s="87"/>
      <c r="Q112" s="94"/>
      <c r="R112" s="87"/>
      <c r="S112" s="87"/>
      <c r="T112" s="87"/>
      <c r="U112" s="87"/>
      <c r="V112" s="87"/>
      <c r="W112" s="87"/>
      <c r="X112" s="87"/>
      <c r="Y112" s="87"/>
      <c r="Z112" s="87"/>
      <c r="AA112" s="90"/>
      <c r="AB112" s="90"/>
      <c r="AC112" s="95"/>
    </row>
    <row r="113" spans="1:29" ht="57" customHeight="1" x14ac:dyDescent="0.25">
      <c r="A113" s="331"/>
      <c r="B113" s="332"/>
      <c r="C113" s="332"/>
      <c r="D113" s="332"/>
      <c r="E113" s="332"/>
      <c r="F113" s="333"/>
      <c r="G113" s="224" t="s">
        <v>11</v>
      </c>
      <c r="H113" s="226"/>
      <c r="I113" s="224" t="s">
        <v>12</v>
      </c>
      <c r="J113" s="226"/>
      <c r="K113" s="33" t="s">
        <v>69</v>
      </c>
      <c r="L113" s="34"/>
      <c r="M113" s="96"/>
      <c r="N113" s="314" t="s">
        <v>70</v>
      </c>
      <c r="O113" s="315"/>
      <c r="P113" s="316"/>
      <c r="Q113" s="314" t="s">
        <v>71</v>
      </c>
      <c r="R113" s="315"/>
      <c r="S113" s="316"/>
      <c r="T113" s="314" t="s">
        <v>72</v>
      </c>
      <c r="U113" s="315"/>
      <c r="V113" s="316"/>
      <c r="W113" s="314" t="s">
        <v>73</v>
      </c>
      <c r="X113" s="315"/>
      <c r="Y113" s="315"/>
      <c r="Z113" s="316"/>
      <c r="AA113" s="314" t="s">
        <v>74</v>
      </c>
      <c r="AB113" s="315"/>
      <c r="AC113" s="316"/>
    </row>
    <row r="114" spans="1:29" ht="15" customHeight="1" x14ac:dyDescent="0.25">
      <c r="A114" s="334"/>
      <c r="B114" s="335"/>
      <c r="C114" s="335"/>
      <c r="D114" s="335"/>
      <c r="E114" s="335"/>
      <c r="F114" s="336"/>
      <c r="G114" s="7" t="s">
        <v>75</v>
      </c>
      <c r="H114" s="7" t="s">
        <v>13</v>
      </c>
      <c r="I114" s="7" t="s">
        <v>75</v>
      </c>
      <c r="J114" s="7" t="s">
        <v>13</v>
      </c>
      <c r="K114" s="7" t="s">
        <v>75</v>
      </c>
      <c r="L114" s="7" t="s">
        <v>13</v>
      </c>
      <c r="M114" s="97"/>
      <c r="N114" s="37" t="s">
        <v>0</v>
      </c>
      <c r="O114" s="98" t="s">
        <v>1</v>
      </c>
      <c r="P114" s="98" t="s">
        <v>91</v>
      </c>
      <c r="Q114" s="37" t="s">
        <v>0</v>
      </c>
      <c r="R114" s="98" t="s">
        <v>1</v>
      </c>
      <c r="S114" s="98" t="s">
        <v>91</v>
      </c>
      <c r="T114" s="37" t="s">
        <v>0</v>
      </c>
      <c r="U114" s="98" t="s">
        <v>1</v>
      </c>
      <c r="V114" s="98" t="s">
        <v>91</v>
      </c>
      <c r="W114" s="37"/>
      <c r="X114" s="37" t="s">
        <v>0</v>
      </c>
      <c r="Y114" s="99" t="s">
        <v>1</v>
      </c>
      <c r="Z114" s="39" t="s">
        <v>76</v>
      </c>
      <c r="AA114" s="37" t="s">
        <v>0</v>
      </c>
      <c r="AB114" s="99" t="s">
        <v>1</v>
      </c>
      <c r="AC114" s="39" t="s">
        <v>76</v>
      </c>
    </row>
    <row r="115" spans="1:29" ht="24.9" customHeight="1" x14ac:dyDescent="0.25">
      <c r="A115" s="224" t="s">
        <v>77</v>
      </c>
      <c r="B115" s="225"/>
      <c r="C115" s="225"/>
      <c r="D115" s="225"/>
      <c r="E115" s="225"/>
      <c r="F115" s="226"/>
      <c r="G115" s="71">
        <f>MPR!G115+KARACHI!G115+SINDH!G115+'GILGIT BALTISTAN'!G115+'AZAD KHASHMIR'!G115+'KHYBER PAKHTUNKHWA'!G115</f>
        <v>931</v>
      </c>
      <c r="H115" s="71">
        <f>MPR!H115+KARACHI!H115+SINDH!H115+'GILGIT BALTISTAN'!H115+'AZAD KHASHMIR'!H115+'KHYBER PAKHTUNKHWA'!H115</f>
        <v>2</v>
      </c>
      <c r="I115" s="71">
        <f>MPR!I115+KARACHI!I115+SINDH!I115+'GILGIT BALTISTAN'!I115+'AZAD KHASHMIR'!I115+'KHYBER PAKHTUNKHWA'!I115</f>
        <v>0</v>
      </c>
      <c r="J115" s="71">
        <f>MPR!J115+KARACHI!J115+SINDH!J115+'GILGIT BALTISTAN'!J115+'AZAD KHASHMIR'!J115+'KHYBER PAKHTUNKHWA'!J115</f>
        <v>0</v>
      </c>
      <c r="K115" s="71">
        <f>MPR!K115+KARACHI!K115+SINDH!K115+'GILGIT BALTISTAN'!K115+'AZAD KHASHMIR'!K115+'KHYBER PAKHTUNKHWA'!K115</f>
        <v>0</v>
      </c>
      <c r="L115" s="71">
        <f>MPR!L115+KARACHI!L115+SINDH!L115+'GILGIT BALTISTAN'!L115+'AZAD KHASHMIR'!L115+'KHYBER PAKHTUNKHWA'!L115</f>
        <v>0</v>
      </c>
      <c r="M115" s="97"/>
      <c r="N115" s="344">
        <f>MPR!N115+KARACHI!N115+SINDH!N115+'GILGIT BALTISTAN'!N115:N118+'AZAD KHASHMIR'!N115:N118+'KHYBER PAKHTUNKHWA'!N115:N118</f>
        <v>84</v>
      </c>
      <c r="O115" s="344">
        <f>MPR!O115+KARACHI!O115+SINDH!O115+'GILGIT BALTISTAN'!O115:O118+'AZAD KHASHMIR'!O115:O118+'KHYBER PAKHTUNKHWA'!O115:O118</f>
        <v>1090</v>
      </c>
      <c r="P115" s="344">
        <f>MPR!P115+KARACHI!P115+SINDH!P115+'GILGIT BALTISTAN'!P115:P118+'AZAD KHASHMIR'!P115:P118+'KHYBER PAKHTUNKHWA'!P115:P118</f>
        <v>5019</v>
      </c>
      <c r="Q115" s="344">
        <f>MPR!Q115+KARACHI!Q115+SINDH!Q115+'GILGIT BALTISTAN'!Q115:Q118+'AZAD KHASHMIR'!Q115:Q118+'KHYBER PAKHTUNKHWA'!Q115:Q118</f>
        <v>43</v>
      </c>
      <c r="R115" s="344">
        <f>MPR!R115+KARACHI!R115+SINDH!R115+'GILGIT BALTISTAN'!R115:R118+'AZAD KHASHMIR'!R115:R118+'KHYBER PAKHTUNKHWA'!R115:R118</f>
        <v>862</v>
      </c>
      <c r="S115" s="344">
        <f>MPR!S115+KARACHI!S115+SINDH!S115+'GILGIT BALTISTAN'!S115:S118+'AZAD KHASHMIR'!S115:S118+'KHYBER PAKHTUNKHWA'!S115:S118</f>
        <v>4200</v>
      </c>
      <c r="T115" s="344">
        <f>MPR!T115+KARACHI!T115+SINDH!T115+'GILGIT BALTISTAN'!T115:T118+'AZAD KHASHMIR'!T115:T118+'KHYBER PAKHTUNKHWA'!T115:T118</f>
        <v>0</v>
      </c>
      <c r="U115" s="344">
        <f>MPR!U115+KARACHI!U115+SINDH!U115+'GILGIT BALTISTAN'!U115:U118+'AZAD KHASHMIR'!U115:U118+'KHYBER PAKHTUNKHWA'!U115:U118</f>
        <v>5</v>
      </c>
      <c r="V115" s="344">
        <f>MPR!V115+KARACHI!V115+SINDH!V115+'GILGIT BALTISTAN'!V115:V118+'AZAD KHASHMIR'!V115:V118+'KHYBER PAKHTUNKHWA'!V115:V118</f>
        <v>174</v>
      </c>
      <c r="W115" s="40" t="s">
        <v>64</v>
      </c>
      <c r="X115" s="71">
        <f>MPR!X115+KARACHI!X115+SINDH!X115+'GILGIT BALTISTAN'!X115+'AZAD KHASHMIR'!X115+'KHYBER PAKHTUNKHWA'!X115</f>
        <v>10</v>
      </c>
      <c r="Y115" s="71">
        <f>MPR!Y115+KARACHI!Y115+SINDH!Y115+'GILGIT BALTISTAN'!Y115+'AZAD KHASHMIR'!Y115+'KHYBER PAKHTUNKHWA'!Y115</f>
        <v>0</v>
      </c>
      <c r="Z115" s="71">
        <f>MPR!Z115+KARACHI!Z115+SINDH!Z115+'GILGIT BALTISTAN'!Z115+'AZAD KHASHMIR'!Z115+'KHYBER PAKHTUNKHWA'!Z115</f>
        <v>0</v>
      </c>
      <c r="AA115" s="71">
        <f>MPR!AA115+KARACHI!AA115+SINDH!AA115+'GILGIT BALTISTAN'!AA115+'AZAD KHASHMIR'!AA115+'KHYBER PAKHTUNKHWA'!AA115</f>
        <v>0</v>
      </c>
      <c r="AB115" s="71">
        <f>MPR!AB115+KARACHI!AB115+SINDH!AB115+'GILGIT BALTISTAN'!AB115+'AZAD KHASHMIR'!AB115+'KHYBER PAKHTUNKHWA'!AB115</f>
        <v>0</v>
      </c>
      <c r="AC115" s="71">
        <f>MPR!AC115+KARACHI!AC115+SINDH!AC115+'GILGIT BALTISTAN'!AC115+'AZAD KHASHMIR'!AC115+'KHYBER PAKHTUNKHWA'!AC115</f>
        <v>0</v>
      </c>
    </row>
    <row r="116" spans="1:29" ht="24.9" customHeight="1" x14ac:dyDescent="0.25">
      <c r="A116" s="224" t="s">
        <v>8</v>
      </c>
      <c r="B116" s="225"/>
      <c r="C116" s="225"/>
      <c r="D116" s="225"/>
      <c r="E116" s="225"/>
      <c r="F116" s="226"/>
      <c r="G116" s="71">
        <f>MPR!G116+KARACHI!G116+SINDH!G116+'GILGIT BALTISTAN'!G116+'AZAD KHASHMIR'!G116+'KHYBER PAKHTUNKHWA'!G116</f>
        <v>18</v>
      </c>
      <c r="H116" s="71">
        <f>MPR!H116+KARACHI!H116+SINDH!H116+'GILGIT BALTISTAN'!H116+'AZAD KHASHMIR'!H116+'KHYBER PAKHTUNKHWA'!H116</f>
        <v>0</v>
      </c>
      <c r="I116" s="71">
        <f>MPR!I116+KARACHI!I116+SINDH!I116+'GILGIT BALTISTAN'!I116+'AZAD KHASHMIR'!I116+'KHYBER PAKHTUNKHWA'!I116</f>
        <v>0</v>
      </c>
      <c r="J116" s="71">
        <f>MPR!J116+KARACHI!J116+SINDH!J116+'GILGIT BALTISTAN'!J116+'AZAD KHASHMIR'!J116+'KHYBER PAKHTUNKHWA'!J116</f>
        <v>0</v>
      </c>
      <c r="K116" s="71">
        <f>MPR!K116+KARACHI!K116+SINDH!K116+'GILGIT BALTISTAN'!K116+'AZAD KHASHMIR'!K116+'KHYBER PAKHTUNKHWA'!K116</f>
        <v>0</v>
      </c>
      <c r="L116" s="71">
        <f>MPR!L116+KARACHI!L116+SINDH!L116+'GILGIT BALTISTAN'!L116+'AZAD KHASHMIR'!L116+'KHYBER PAKHTUNKHWA'!L116</f>
        <v>0</v>
      </c>
      <c r="M116" s="97"/>
      <c r="N116" s="322"/>
      <c r="O116" s="322"/>
      <c r="P116" s="322"/>
      <c r="Q116" s="322"/>
      <c r="R116" s="322"/>
      <c r="S116" s="322"/>
      <c r="T116" s="322"/>
      <c r="U116" s="322"/>
      <c r="V116" s="322"/>
      <c r="W116" s="40" t="s">
        <v>65</v>
      </c>
      <c r="X116" s="71">
        <f>MPR!X116+KARACHI!X116+SINDH!X116+'GILGIT BALTISTAN'!X116+'AZAD KHASHMIR'!X116+'KHYBER PAKHTUNKHWA'!X116</f>
        <v>0</v>
      </c>
      <c r="Y116" s="71">
        <f>MPR!Y116+KARACHI!Y116+SINDH!Y116+'GILGIT BALTISTAN'!Y116+'AZAD KHASHMIR'!Y116+'KHYBER PAKHTUNKHWA'!Y116</f>
        <v>5</v>
      </c>
      <c r="Z116" s="71">
        <f>MPR!Z116+KARACHI!Z116+SINDH!Z116+'GILGIT BALTISTAN'!Z116+'AZAD KHASHMIR'!Z116+'KHYBER PAKHTUNKHWA'!Z116</f>
        <v>12</v>
      </c>
      <c r="AA116" s="71">
        <f>MPR!AA116+KARACHI!AA116+SINDH!AA116+'GILGIT BALTISTAN'!AA116+'AZAD KHASHMIR'!AA116+'KHYBER PAKHTUNKHWA'!AA116</f>
        <v>0</v>
      </c>
      <c r="AB116" s="71">
        <f>MPR!AB116+KARACHI!AB116+SINDH!AB116+'GILGIT BALTISTAN'!AB116+'AZAD KHASHMIR'!AB116+'KHYBER PAKHTUNKHWA'!AB116</f>
        <v>0</v>
      </c>
      <c r="AC116" s="71">
        <f>MPR!AC116+KARACHI!AC116+SINDH!AC116+'GILGIT BALTISTAN'!AC116+'AZAD KHASHMIR'!AC116+'KHYBER PAKHTUNKHWA'!AC116</f>
        <v>0</v>
      </c>
    </row>
    <row r="117" spans="1:29" ht="24.9" customHeight="1" x14ac:dyDescent="0.25">
      <c r="A117" s="309" t="s">
        <v>78</v>
      </c>
      <c r="B117" s="310"/>
      <c r="C117" s="310"/>
      <c r="D117" s="310"/>
      <c r="E117" s="310"/>
      <c r="F117" s="311"/>
      <c r="G117" s="71">
        <f>MPR!G117+KARACHI!G117+SINDH!G117+'GILGIT BALTISTAN'!G117+'AZAD KHASHMIR'!G117+'KHYBER PAKHTUNKHWA'!G117</f>
        <v>1</v>
      </c>
      <c r="H117" s="71">
        <f>MPR!H117+KARACHI!H117+SINDH!H117+'GILGIT BALTISTAN'!H117+'AZAD KHASHMIR'!H117+'KHYBER PAKHTUNKHWA'!H117</f>
        <v>0</v>
      </c>
      <c r="I117" s="71">
        <f>MPR!I117+KARACHI!I117+SINDH!I117+'GILGIT BALTISTAN'!I117+'AZAD KHASHMIR'!I117+'KHYBER PAKHTUNKHWA'!I117</f>
        <v>0</v>
      </c>
      <c r="J117" s="71">
        <f>MPR!J117+KARACHI!J117+SINDH!J117+'GILGIT BALTISTAN'!J117+'AZAD KHASHMIR'!J117+'KHYBER PAKHTUNKHWA'!J117</f>
        <v>0</v>
      </c>
      <c r="K117" s="71">
        <f>MPR!K117+KARACHI!K117+SINDH!K117+'GILGIT BALTISTAN'!K117+'AZAD KHASHMIR'!K117+'KHYBER PAKHTUNKHWA'!K117</f>
        <v>0</v>
      </c>
      <c r="L117" s="71">
        <f>MPR!L117+KARACHI!L117+SINDH!L117+'GILGIT BALTISTAN'!L117+'AZAD KHASHMIR'!L117+'KHYBER PAKHTUNKHWA'!L117</f>
        <v>0</v>
      </c>
      <c r="M117" s="97"/>
      <c r="N117" s="322"/>
      <c r="O117" s="322"/>
      <c r="P117" s="322"/>
      <c r="Q117" s="322"/>
      <c r="R117" s="322"/>
      <c r="S117" s="322"/>
      <c r="T117" s="322"/>
      <c r="U117" s="322"/>
      <c r="V117" s="322"/>
      <c r="W117" s="319" t="s">
        <v>66</v>
      </c>
      <c r="X117" s="321">
        <f>MPR!X117+KARACHI!X117+SINDH!X117+'GILGIT BALTISTAN'!X117:X118+'AZAD KHASHMIR'!X117:X118+'KHYBER PAKHTUNKHWA'!X117:X118</f>
        <v>14</v>
      </c>
      <c r="Y117" s="321">
        <f>MPR!Y117+KARACHI!Y117+SINDH!Y117+'GILGIT BALTISTAN'!Y117:Y118+'AZAD KHASHMIR'!Y117:Y118+'KHYBER PAKHTUNKHWA'!Y117:Y118</f>
        <v>45</v>
      </c>
      <c r="Z117" s="321">
        <f>MPR!Z117+KARACHI!Z117+SINDH!Z117+'GILGIT BALTISTAN'!Z117:Z118+'AZAD KHASHMIR'!Z117:Z118+'KHYBER PAKHTUNKHWA'!Z117:Z118</f>
        <v>43</v>
      </c>
      <c r="AA117" s="321">
        <f>MPR!AA117+KARACHI!AA117+SINDH!AA117+'GILGIT BALTISTAN'!AA117:AA118+'AZAD KHASHMIR'!AA117:AA118+'KHYBER PAKHTUNKHWA'!AA117:AA118</f>
        <v>0</v>
      </c>
      <c r="AB117" s="321">
        <f>MPR!AB117+KARACHI!AB117+SINDH!AB117+'GILGIT BALTISTAN'!AB117:AB118+'AZAD KHASHMIR'!AB117:AB118+'KHYBER PAKHTUNKHWA'!AB117:AB118</f>
        <v>0</v>
      </c>
      <c r="AC117" s="321">
        <f>MPR!AC117+KARACHI!AC117+SINDH!AC117+'GILGIT BALTISTAN'!AC117:AC118+'AZAD KHASHMIR'!AC117:AC118+'KHYBER PAKHTUNKHWA'!AC117:AC118</f>
        <v>0</v>
      </c>
    </row>
    <row r="118" spans="1:29" ht="24.9" customHeight="1" x14ac:dyDescent="0.25">
      <c r="A118" s="224" t="s">
        <v>7</v>
      </c>
      <c r="B118" s="225"/>
      <c r="C118" s="225"/>
      <c r="D118" s="225"/>
      <c r="E118" s="225"/>
      <c r="F118" s="226"/>
      <c r="G118" s="7">
        <f>SUM(G115:G117)</f>
        <v>950</v>
      </c>
      <c r="H118" s="7">
        <f t="shared" ref="H118:L118" si="13">SUM(H115:H117)</f>
        <v>2</v>
      </c>
      <c r="I118" s="7">
        <f t="shared" si="13"/>
        <v>0</v>
      </c>
      <c r="J118" s="7">
        <f t="shared" si="13"/>
        <v>0</v>
      </c>
      <c r="K118" s="7">
        <f t="shared" si="13"/>
        <v>0</v>
      </c>
      <c r="L118" s="7">
        <f t="shared" si="13"/>
        <v>0</v>
      </c>
      <c r="M118" s="97"/>
      <c r="N118" s="323"/>
      <c r="O118" s="323"/>
      <c r="P118" s="323"/>
      <c r="Q118" s="323"/>
      <c r="R118" s="323"/>
      <c r="S118" s="323"/>
      <c r="T118" s="323"/>
      <c r="U118" s="323"/>
      <c r="V118" s="323"/>
      <c r="W118" s="320"/>
      <c r="X118" s="323"/>
      <c r="Y118" s="323"/>
      <c r="Z118" s="323"/>
      <c r="AA118" s="323"/>
      <c r="AB118" s="323"/>
      <c r="AC118" s="323"/>
    </row>
    <row r="119" spans="1:29" ht="23.4" x14ac:dyDescent="0.25">
      <c r="A119" s="159" t="s">
        <v>15</v>
      </c>
      <c r="B119" s="159"/>
      <c r="C119" s="159"/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  <c r="AB119" s="159"/>
      <c r="AC119" s="159"/>
    </row>
    <row r="120" spans="1:29" ht="23.4" x14ac:dyDescent="0.25">
      <c r="A120" s="159" t="s">
        <v>16</v>
      </c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2"/>
      <c r="Y120" s="160" t="s">
        <v>17</v>
      </c>
      <c r="Z120" s="160"/>
      <c r="AA120" s="2"/>
      <c r="AB120" s="2"/>
      <c r="AC120" s="2"/>
    </row>
    <row r="121" spans="1:29" ht="30.9" customHeight="1" x14ac:dyDescent="0.25">
      <c r="A121" s="326" t="s">
        <v>18</v>
      </c>
      <c r="B121" s="326"/>
      <c r="C121" s="326"/>
      <c r="D121" s="326"/>
      <c r="E121" s="444" t="str">
        <f>E4</f>
        <v>All Project Total</v>
      </c>
      <c r="F121" s="444"/>
      <c r="G121" s="444"/>
      <c r="H121" s="444"/>
      <c r="I121" s="328" t="s">
        <v>20</v>
      </c>
      <c r="J121" s="328"/>
      <c r="K121" s="329" t="s">
        <v>85</v>
      </c>
      <c r="L121" s="329"/>
      <c r="M121" s="328" t="s">
        <v>21</v>
      </c>
      <c r="N121" s="328"/>
      <c r="O121" s="445" t="s">
        <v>14</v>
      </c>
      <c r="P121" s="445"/>
      <c r="Q121" s="445"/>
      <c r="R121" s="445"/>
      <c r="S121" s="43"/>
      <c r="T121" s="166" t="s">
        <v>22</v>
      </c>
      <c r="U121" s="166"/>
      <c r="V121" s="166"/>
      <c r="W121" s="166"/>
      <c r="X121" s="166"/>
      <c r="Y121" s="152" t="s">
        <v>81</v>
      </c>
      <c r="Z121" s="152"/>
      <c r="AA121" s="152"/>
      <c r="AB121" s="443" t="str">
        <f>AB82</f>
        <v>of Year 2024</v>
      </c>
      <c r="AC121" s="443"/>
    </row>
    <row r="122" spans="1:29" ht="15" customHeight="1" x14ac:dyDescent="0.25">
      <c r="T122" s="166"/>
      <c r="U122" s="166"/>
      <c r="V122" s="166"/>
      <c r="W122" s="166"/>
      <c r="X122" s="166"/>
      <c r="Y122" s="152"/>
      <c r="Z122" s="152"/>
      <c r="AA122" s="152"/>
      <c r="AB122" s="443"/>
      <c r="AC122" s="443"/>
    </row>
    <row r="123" spans="1:29" ht="15.6" x14ac:dyDescent="0.25">
      <c r="A123" s="324" t="s">
        <v>24</v>
      </c>
      <c r="B123" s="324"/>
      <c r="C123" s="324"/>
      <c r="D123" s="324"/>
      <c r="E123" s="324"/>
      <c r="F123" s="324"/>
      <c r="G123" s="324"/>
      <c r="H123" s="325" t="s">
        <v>25</v>
      </c>
      <c r="I123" s="325"/>
      <c r="J123" s="325"/>
      <c r="K123" s="325"/>
      <c r="L123" s="325"/>
      <c r="M123" s="325"/>
      <c r="N123" s="325"/>
      <c r="O123" s="73"/>
      <c r="P123" s="73"/>
      <c r="T123" s="156" t="s">
        <v>26</v>
      </c>
      <c r="U123" s="156"/>
      <c r="V123" s="156"/>
      <c r="W123" s="156"/>
      <c r="X123" s="156"/>
      <c r="Y123" s="156"/>
      <c r="Z123" s="265" t="s">
        <v>27</v>
      </c>
      <c r="AA123" s="265"/>
      <c r="AB123" s="265"/>
      <c r="AC123" s="265"/>
    </row>
    <row r="124" spans="1:29" x14ac:dyDescent="0.25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</row>
    <row r="125" spans="1:29" ht="15" customHeight="1" x14ac:dyDescent="0.25">
      <c r="A125" s="284" t="s">
        <v>29</v>
      </c>
      <c r="B125" s="285"/>
      <c r="C125" s="285"/>
      <c r="D125" s="285"/>
      <c r="E125" s="285"/>
      <c r="F125" s="285"/>
      <c r="G125" s="285"/>
      <c r="H125" s="285"/>
      <c r="I125" s="285"/>
      <c r="J125" s="286"/>
      <c r="K125" s="273" t="s">
        <v>30</v>
      </c>
      <c r="L125" s="274"/>
      <c r="M125" s="273" t="s">
        <v>31</v>
      </c>
      <c r="N125" s="274"/>
      <c r="O125" s="287" t="s">
        <v>32</v>
      </c>
      <c r="P125" s="288"/>
      <c r="Q125" s="289"/>
      <c r="R125" s="273" t="s">
        <v>33</v>
      </c>
      <c r="S125" s="296"/>
      <c r="T125" s="274"/>
      <c r="U125" s="224" t="s">
        <v>34</v>
      </c>
      <c r="V125" s="225"/>
      <c r="W125" s="225"/>
      <c r="X125" s="225"/>
      <c r="Y125" s="225"/>
      <c r="Z125" s="225"/>
      <c r="AA125" s="226"/>
      <c r="AB125" s="273" t="s">
        <v>7</v>
      </c>
      <c r="AC125" s="274"/>
    </row>
    <row r="126" spans="1:29" ht="23.25" customHeight="1" x14ac:dyDescent="0.25">
      <c r="A126" s="169" t="s">
        <v>35</v>
      </c>
      <c r="B126" s="173"/>
      <c r="C126" s="173"/>
      <c r="D126" s="173"/>
      <c r="E126" s="173"/>
      <c r="F126" s="173"/>
      <c r="G126" s="173"/>
      <c r="H126" s="173"/>
      <c r="I126" s="173"/>
      <c r="J126" s="170"/>
      <c r="K126" s="275"/>
      <c r="L126" s="276"/>
      <c r="M126" s="275"/>
      <c r="N126" s="276"/>
      <c r="O126" s="290"/>
      <c r="P126" s="291"/>
      <c r="Q126" s="292"/>
      <c r="R126" s="275"/>
      <c r="S126" s="297"/>
      <c r="T126" s="276"/>
      <c r="U126" s="279" t="s">
        <v>36</v>
      </c>
      <c r="V126" s="279"/>
      <c r="W126" s="279"/>
      <c r="X126" s="279" t="s">
        <v>37</v>
      </c>
      <c r="Y126" s="279"/>
      <c r="Z126" s="279" t="s">
        <v>38</v>
      </c>
      <c r="AA126" s="279"/>
      <c r="AB126" s="275"/>
      <c r="AC126" s="276"/>
    </row>
    <row r="127" spans="1:29" x14ac:dyDescent="0.25">
      <c r="A127" s="171"/>
      <c r="B127" s="174"/>
      <c r="C127" s="174"/>
      <c r="D127" s="174"/>
      <c r="E127" s="174"/>
      <c r="F127" s="174"/>
      <c r="G127" s="174"/>
      <c r="H127" s="174"/>
      <c r="I127" s="174"/>
      <c r="J127" s="172"/>
      <c r="K127" s="277"/>
      <c r="L127" s="278"/>
      <c r="M127" s="277"/>
      <c r="N127" s="278"/>
      <c r="O127" s="293"/>
      <c r="P127" s="294"/>
      <c r="Q127" s="295"/>
      <c r="R127" s="277"/>
      <c r="S127" s="298"/>
      <c r="T127" s="278"/>
      <c r="U127" s="280"/>
      <c r="V127" s="280"/>
      <c r="W127" s="280"/>
      <c r="X127" s="280"/>
      <c r="Y127" s="280"/>
      <c r="Z127" s="280"/>
      <c r="AA127" s="280"/>
      <c r="AB127" s="277"/>
      <c r="AC127" s="278"/>
    </row>
    <row r="128" spans="1:29" ht="24.9" customHeight="1" x14ac:dyDescent="0.25">
      <c r="A128" s="281" t="s">
        <v>39</v>
      </c>
      <c r="B128" s="282"/>
      <c r="C128" s="282"/>
      <c r="D128" s="282"/>
      <c r="E128" s="282"/>
      <c r="F128" s="282"/>
      <c r="G128" s="282"/>
      <c r="H128" s="282"/>
      <c r="I128" s="282"/>
      <c r="J128" s="283"/>
      <c r="K128" s="341">
        <f>SUM(MPR!K128+KARACHI!K128+SINDH!K128+'GILGIT BALTISTAN'!K128+'AZAD KHASHMIR'!K128+'KHYBER PAKHTUNKHWA'!K128)</f>
        <v>894</v>
      </c>
      <c r="L128" s="342"/>
      <c r="M128" s="341">
        <f>SUM(MPR!M128+KARACHI!M128+SINDH!M128+'GILGIT BALTISTAN'!M128+'AZAD KHASHMIR'!M128+'KHYBER PAKHTUNKHWA'!M128)</f>
        <v>90</v>
      </c>
      <c r="N128" s="342"/>
      <c r="O128" s="341">
        <f>MPR!O128+KARACHI!O128+SINDH!O128+'GILGIT BALTISTAN'!O128:Q128+'AZAD KHASHMIR'!O128:Q128+'KHYBER PAKHTUNKHWA'!O128:Q128</f>
        <v>0</v>
      </c>
      <c r="P128" s="343"/>
      <c r="Q128" s="342"/>
      <c r="R128" s="341">
        <f>SUM(K128+M128+O128)</f>
        <v>984</v>
      </c>
      <c r="S128" s="343"/>
      <c r="T128" s="342"/>
      <c r="U128" s="341">
        <f>MPR!U128+KARACHI!U128+SINDH!U128+'GILGIT BALTISTAN'!U128:W128+'AZAD KHASHMIR'!U128:W128+'KHYBER PAKHTUNKHWA'!U128:W128</f>
        <v>2</v>
      </c>
      <c r="V128" s="343"/>
      <c r="W128" s="342"/>
      <c r="X128" s="341">
        <f>MPR!X128+KARACHI!X128+SINDH!X128+'GILGIT BALTISTAN'!X128:Y128+'AZAD KHASHMIR'!X128:Y128+'KHYBER PAKHTUNKHWA'!X128:Y128</f>
        <v>1</v>
      </c>
      <c r="Y128" s="342"/>
      <c r="Z128" s="341">
        <f>MPR!Z128+KARACHI!Z128+SINDH!Z128+'GILGIT BALTISTAN'!Z128:AA128+'AZAD KHASHMIR'!Z128:AA128+'KHYBER PAKHTUNKHWA'!Z128:AA128</f>
        <v>1</v>
      </c>
      <c r="AA128" s="342"/>
      <c r="AB128" s="341">
        <f>SUM(K128+M128+O128+U128+X128+Z128)</f>
        <v>988</v>
      </c>
      <c r="AC128" s="342"/>
    </row>
    <row r="129" spans="1:32" ht="24.9" customHeight="1" x14ac:dyDescent="0.25">
      <c r="A129" s="281" t="s">
        <v>40</v>
      </c>
      <c r="B129" s="282"/>
      <c r="C129" s="282"/>
      <c r="D129" s="282"/>
      <c r="E129" s="282"/>
      <c r="F129" s="282"/>
      <c r="G129" s="282"/>
      <c r="H129" s="282"/>
      <c r="I129" s="282"/>
      <c r="J129" s="283"/>
      <c r="K129" s="341">
        <f>SUM(MPR!K129+KARACHI!K129+SINDH!K129+'GILGIT BALTISTAN'!K129+'AZAD KHASHMIR'!K129+'KHYBER PAKHTUNKHWA'!K129)</f>
        <v>1413</v>
      </c>
      <c r="L129" s="342"/>
      <c r="M129" s="341">
        <f>SUM(MPR!M129+KARACHI!M129+SINDH!M129+'GILGIT BALTISTAN'!M129+'AZAD KHASHMIR'!M129+'KHYBER PAKHTUNKHWA'!M129)</f>
        <v>54</v>
      </c>
      <c r="N129" s="342"/>
      <c r="O129" s="341">
        <f>MPR!O129+KARACHI!O129+SINDH!O129+'GILGIT BALTISTAN'!O129:Q129+'AZAD KHASHMIR'!O129:Q129+'KHYBER PAKHTUNKHWA'!O129:Q129</f>
        <v>0</v>
      </c>
      <c r="P129" s="343"/>
      <c r="Q129" s="342"/>
      <c r="R129" s="341">
        <f>SUM(K129+M129+O129)</f>
        <v>1467</v>
      </c>
      <c r="S129" s="343"/>
      <c r="T129" s="342"/>
      <c r="U129" s="341">
        <f>MPR!U129+KARACHI!U129+SINDH!U129+'GILGIT BALTISTAN'!U129:W129+'AZAD KHASHMIR'!U129:W129+'KHYBER PAKHTUNKHWA'!U129:W129</f>
        <v>0</v>
      </c>
      <c r="V129" s="343"/>
      <c r="W129" s="342"/>
      <c r="X129" s="341">
        <f>MPR!X129+KARACHI!X129+SINDH!X129+'GILGIT BALTISTAN'!X129:Y129+'AZAD KHASHMIR'!X129:Y129+'KHYBER PAKHTUNKHWA'!X129:Y129</f>
        <v>7</v>
      </c>
      <c r="Y129" s="342"/>
      <c r="Z129" s="341">
        <f>MPR!Z129+KARACHI!Z129+SINDH!Z129+'GILGIT BALTISTAN'!Z129:AA129+'AZAD KHASHMIR'!Z129:AA129+'KHYBER PAKHTUNKHWA'!Z129:AA129</f>
        <v>5</v>
      </c>
      <c r="AA129" s="342"/>
      <c r="AB129" s="341">
        <f>SUM(K129+M129+O129+U129+X129+Z129)</f>
        <v>1479</v>
      </c>
      <c r="AC129" s="342"/>
    </row>
    <row r="130" spans="1:32" ht="24.9" customHeight="1" x14ac:dyDescent="0.25">
      <c r="A130" s="281" t="s">
        <v>41</v>
      </c>
      <c r="B130" s="282"/>
      <c r="C130" s="282"/>
      <c r="D130" s="282"/>
      <c r="E130" s="282"/>
      <c r="F130" s="282"/>
      <c r="G130" s="282"/>
      <c r="H130" s="282"/>
      <c r="I130" s="282"/>
      <c r="J130" s="283"/>
      <c r="K130" s="341">
        <f>SUM(MPR!K130+KARACHI!K130+SINDH!K130+'GILGIT BALTISTAN'!K130+'AZAD KHASHMIR'!K130+'KHYBER PAKHTUNKHWA'!K130)</f>
        <v>24</v>
      </c>
      <c r="L130" s="342"/>
      <c r="M130" s="341">
        <f>SUM(MPR!M130+KARACHI!M130+SINDH!M130+'GILGIT BALTISTAN'!M130+'AZAD KHASHMIR'!M130+'KHYBER PAKHTUNKHWA'!M130)</f>
        <v>0</v>
      </c>
      <c r="N130" s="342"/>
      <c r="O130" s="341">
        <f>MPR!O130+KARACHI!O130+SINDH!O130+'GILGIT BALTISTAN'!O130:Q130+'AZAD KHASHMIR'!O130:Q130+'KHYBER PAKHTUNKHWA'!O130:Q130</f>
        <v>0</v>
      </c>
      <c r="P130" s="343"/>
      <c r="Q130" s="342"/>
      <c r="R130" s="341">
        <f>SUM(K130+M130+O130)</f>
        <v>24</v>
      </c>
      <c r="S130" s="343"/>
      <c r="T130" s="342"/>
      <c r="U130" s="341">
        <f>MPR!U130+KARACHI!U130+SINDH!U130+'GILGIT BALTISTAN'!U130:W130+'AZAD KHASHMIR'!U130:W130+'KHYBER PAKHTUNKHWA'!U130:W130</f>
        <v>0</v>
      </c>
      <c r="V130" s="343"/>
      <c r="W130" s="342"/>
      <c r="X130" s="341">
        <f>MPR!X130+KARACHI!X130+SINDH!X130+'GILGIT BALTISTAN'!X130:Y130+'AZAD KHASHMIR'!X130:Y130+'KHYBER PAKHTUNKHWA'!X130:Y130</f>
        <v>0</v>
      </c>
      <c r="Y130" s="342"/>
      <c r="Z130" s="341">
        <f>MPR!Z130+KARACHI!Z130+SINDH!Z130+'GILGIT BALTISTAN'!Z130:AA130+'AZAD KHASHMIR'!Z130:AA130+'KHYBER PAKHTUNKHWA'!Z130:AA130</f>
        <v>0</v>
      </c>
      <c r="AA130" s="342"/>
      <c r="AB130" s="341">
        <f>SUM(K130+M130+O130+U130+X130+Z130)</f>
        <v>24</v>
      </c>
      <c r="AC130" s="342"/>
    </row>
    <row r="131" spans="1:32" ht="24.9" customHeight="1" x14ac:dyDescent="0.25">
      <c r="A131" s="281" t="s">
        <v>42</v>
      </c>
      <c r="B131" s="282"/>
      <c r="C131" s="282"/>
      <c r="D131" s="282"/>
      <c r="E131" s="282"/>
      <c r="F131" s="282"/>
      <c r="G131" s="282"/>
      <c r="H131" s="282"/>
      <c r="I131" s="282"/>
      <c r="J131" s="283"/>
      <c r="K131" s="341">
        <f>SUM(MPR!K131+KARACHI!K131+SINDH!K131+'GILGIT BALTISTAN'!K131+'AZAD KHASHMIR'!K131+'KHYBER PAKHTUNKHWA'!K131)</f>
        <v>777</v>
      </c>
      <c r="L131" s="342"/>
      <c r="M131" s="341">
        <f>SUM(MPR!M131+KARACHI!M131+SINDH!M131+'GILGIT BALTISTAN'!M131+'AZAD KHASHMIR'!M131+'KHYBER PAKHTUNKHWA'!M131)</f>
        <v>12</v>
      </c>
      <c r="N131" s="342"/>
      <c r="O131" s="341">
        <f>MPR!O131+KARACHI!O131+SINDH!O131+'GILGIT BALTISTAN'!O131:Q131+'AZAD KHASHMIR'!O131:Q131+'KHYBER PAKHTUNKHWA'!O131:Q131</f>
        <v>3</v>
      </c>
      <c r="P131" s="343"/>
      <c r="Q131" s="342"/>
      <c r="R131" s="341">
        <f>SUM(K131+M131+O131)</f>
        <v>792</v>
      </c>
      <c r="S131" s="343"/>
      <c r="T131" s="342"/>
      <c r="U131" s="341">
        <f>MPR!U131+KARACHI!U131+SINDH!U131+'GILGIT BALTISTAN'!U131:W131+'AZAD KHASHMIR'!U131:W131+'KHYBER PAKHTUNKHWA'!U131:W131</f>
        <v>0</v>
      </c>
      <c r="V131" s="343"/>
      <c r="W131" s="342"/>
      <c r="X131" s="341">
        <f>MPR!X131+KARACHI!X131+SINDH!X131+'GILGIT BALTISTAN'!X131:Y131+'AZAD KHASHMIR'!X131:Y131+'KHYBER PAKHTUNKHWA'!X131:Y131</f>
        <v>0</v>
      </c>
      <c r="Y131" s="342"/>
      <c r="Z131" s="341">
        <f>MPR!Z131+KARACHI!Z131+SINDH!Z131+'GILGIT BALTISTAN'!Z131:AA131+'AZAD KHASHMIR'!Z131:AA131+'KHYBER PAKHTUNKHWA'!Z131:AA131</f>
        <v>5</v>
      </c>
      <c r="AA131" s="342"/>
      <c r="AB131" s="341">
        <f>SUM(K131+M131+O131+U131+X131+Z131)</f>
        <v>797</v>
      </c>
      <c r="AC131" s="342"/>
    </row>
    <row r="132" spans="1:32" ht="24.9" customHeight="1" x14ac:dyDescent="0.25">
      <c r="A132" s="281" t="s">
        <v>7</v>
      </c>
      <c r="B132" s="282"/>
      <c r="C132" s="282"/>
      <c r="D132" s="282"/>
      <c r="E132" s="282"/>
      <c r="F132" s="282"/>
      <c r="G132" s="282"/>
      <c r="H132" s="282"/>
      <c r="I132" s="282"/>
      <c r="J132" s="283"/>
      <c r="K132" s="341">
        <f>SUM(K128:L131)</f>
        <v>3108</v>
      </c>
      <c r="L132" s="342"/>
      <c r="M132" s="341">
        <f>SUM(M128:N131)</f>
        <v>156</v>
      </c>
      <c r="N132" s="342"/>
      <c r="O132" s="341">
        <f>SUM(O128:Q131)</f>
        <v>3</v>
      </c>
      <c r="P132" s="343"/>
      <c r="Q132" s="342"/>
      <c r="R132" s="341">
        <f>SUM(K132+M132+O132)</f>
        <v>3267</v>
      </c>
      <c r="S132" s="343"/>
      <c r="T132" s="342"/>
      <c r="U132" s="341">
        <f>SUM(U128:W131)</f>
        <v>2</v>
      </c>
      <c r="V132" s="343"/>
      <c r="W132" s="342"/>
      <c r="X132" s="341">
        <f>SUM(X128:Y131)</f>
        <v>8</v>
      </c>
      <c r="Y132" s="342"/>
      <c r="Z132" s="341">
        <f>SUM(Z128:AA131)</f>
        <v>11</v>
      </c>
      <c r="AA132" s="342"/>
      <c r="AB132" s="341">
        <f>SUM(K132+M132+O132+U132+X132+Z132)</f>
        <v>3288</v>
      </c>
      <c r="AC132" s="342"/>
    </row>
    <row r="133" spans="1:32" ht="15.6" x14ac:dyDescent="0.25">
      <c r="A133" s="75" t="s">
        <v>43</v>
      </c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7"/>
      <c r="V133" s="77"/>
      <c r="W133" s="77"/>
      <c r="X133" s="77"/>
      <c r="Y133" s="77"/>
      <c r="Z133" s="77"/>
      <c r="AA133" s="77"/>
      <c r="AB133" s="77"/>
      <c r="AC133" s="78"/>
    </row>
    <row r="134" spans="1:32" ht="21.75" customHeight="1" x14ac:dyDescent="0.25">
      <c r="A134" s="331"/>
      <c r="B134" s="332"/>
      <c r="C134" s="332"/>
      <c r="D134" s="332"/>
      <c r="E134" s="332"/>
      <c r="F134" s="332"/>
      <c r="G134" s="332"/>
      <c r="H134" s="332"/>
      <c r="I134" s="332"/>
      <c r="J134" s="333"/>
      <c r="K134" s="224" t="s">
        <v>0</v>
      </c>
      <c r="L134" s="226"/>
      <c r="M134" s="305" t="s">
        <v>1</v>
      </c>
      <c r="N134" s="306"/>
      <c r="O134" s="301" t="s">
        <v>2</v>
      </c>
      <c r="P134" s="302"/>
      <c r="Q134" s="301" t="s">
        <v>3</v>
      </c>
      <c r="R134" s="302"/>
      <c r="S134" s="301" t="s">
        <v>4</v>
      </c>
      <c r="T134" s="302"/>
      <c r="U134" s="301" t="s">
        <v>5</v>
      </c>
      <c r="V134" s="302"/>
      <c r="W134" s="301" t="s">
        <v>6</v>
      </c>
      <c r="X134" s="302"/>
      <c r="Y134" s="301" t="s">
        <v>44</v>
      </c>
      <c r="Z134" s="302"/>
      <c r="AA134" s="301" t="s">
        <v>7</v>
      </c>
      <c r="AB134" s="302"/>
      <c r="AC134" s="303" t="s">
        <v>86</v>
      </c>
      <c r="AD134" s="5"/>
      <c r="AE134" s="6"/>
      <c r="AF134" s="6"/>
    </row>
    <row r="135" spans="1:32" x14ac:dyDescent="0.25">
      <c r="A135" s="334"/>
      <c r="B135" s="335"/>
      <c r="C135" s="335"/>
      <c r="D135" s="335"/>
      <c r="E135" s="335"/>
      <c r="F135" s="335"/>
      <c r="G135" s="335"/>
      <c r="H135" s="335"/>
      <c r="I135" s="335"/>
      <c r="J135" s="336"/>
      <c r="K135" s="7" t="s">
        <v>9</v>
      </c>
      <c r="L135" s="7" t="s">
        <v>10</v>
      </c>
      <c r="M135" s="7" t="s">
        <v>9</v>
      </c>
      <c r="N135" s="7" t="s">
        <v>10</v>
      </c>
      <c r="O135" s="7" t="s">
        <v>9</v>
      </c>
      <c r="P135" s="7" t="s">
        <v>10</v>
      </c>
      <c r="Q135" s="7" t="s">
        <v>9</v>
      </c>
      <c r="R135" s="7" t="s">
        <v>10</v>
      </c>
      <c r="S135" s="7" t="s">
        <v>9</v>
      </c>
      <c r="T135" s="7" t="s">
        <v>10</v>
      </c>
      <c r="U135" s="7" t="s">
        <v>9</v>
      </c>
      <c r="V135" s="7" t="s">
        <v>10</v>
      </c>
      <c r="W135" s="7" t="s">
        <v>9</v>
      </c>
      <c r="X135" s="7" t="s">
        <v>10</v>
      </c>
      <c r="Y135" s="7" t="s">
        <v>9</v>
      </c>
      <c r="Z135" s="7" t="s">
        <v>10</v>
      </c>
      <c r="AA135" s="7" t="s">
        <v>9</v>
      </c>
      <c r="AB135" s="7" t="s">
        <v>10</v>
      </c>
      <c r="AC135" s="304"/>
    </row>
    <row r="136" spans="1:32" ht="24.9" customHeight="1" x14ac:dyDescent="0.25">
      <c r="A136" s="281" t="s">
        <v>39</v>
      </c>
      <c r="B136" s="282"/>
      <c r="C136" s="282"/>
      <c r="D136" s="282"/>
      <c r="E136" s="282"/>
      <c r="F136" s="282"/>
      <c r="G136" s="282"/>
      <c r="H136" s="282"/>
      <c r="I136" s="282"/>
      <c r="J136" s="283"/>
      <c r="K136" s="71">
        <f>MPR!K136+KARACHI!K136+SINDH!K136+'GILGIT BALTISTAN'!K136+'AZAD KHASHMIR'!K136+'KHYBER PAKHTUNKHWA'!K136</f>
        <v>5</v>
      </c>
      <c r="L136" s="71">
        <f>MPR!L136+KARACHI!L136+SINDH!L136+'GILGIT BALTISTAN'!L136+'AZAD KHASHMIR'!L136+'KHYBER PAKHTUNKHWA'!L136</f>
        <v>0</v>
      </c>
      <c r="M136" s="71">
        <f>MPR!M136+KARACHI!M136+SINDH!M136+'GILGIT BALTISTAN'!M136+'AZAD KHASHMIR'!M136+'KHYBER PAKHTUNKHWA'!M136</f>
        <v>12</v>
      </c>
      <c r="N136" s="71">
        <f>MPR!N136+KARACHI!N136+SINDH!N136+'GILGIT BALTISTAN'!N136+'AZAD KHASHMIR'!N136+'KHYBER PAKHTUNKHWA'!N136</f>
        <v>21</v>
      </c>
      <c r="O136" s="71">
        <f>MPR!O136+KARACHI!O136+SINDH!O136+'GILGIT BALTISTAN'!O136+'AZAD KHASHMIR'!O136+'KHYBER PAKHTUNKHWA'!O136</f>
        <v>88</v>
      </c>
      <c r="P136" s="71">
        <f>MPR!P136+KARACHI!P136+SINDH!P136+'GILGIT BALTISTAN'!P136+'AZAD KHASHMIR'!P136+'KHYBER PAKHTUNKHWA'!P136</f>
        <v>95</v>
      </c>
      <c r="Q136" s="71">
        <f>MPR!Q136+KARACHI!Q136+SINDH!Q136+'GILGIT BALTISTAN'!Q136+'AZAD KHASHMIR'!Q136+'KHYBER PAKHTUNKHWA'!Q136</f>
        <v>76</v>
      </c>
      <c r="R136" s="71">
        <f>MPR!R136+KARACHI!R136+SINDH!R136+'GILGIT BALTISTAN'!R136+'AZAD KHASHMIR'!R136+'KHYBER PAKHTUNKHWA'!R136</f>
        <v>70</v>
      </c>
      <c r="S136" s="71">
        <f>MPR!S136+KARACHI!S136+SINDH!S136+'GILGIT BALTISTAN'!S136+'AZAD KHASHMIR'!S136+'KHYBER PAKHTUNKHWA'!S136</f>
        <v>81</v>
      </c>
      <c r="T136" s="71">
        <f>MPR!T136+KARACHI!T136+SINDH!T136+'GILGIT BALTISTAN'!T136+'AZAD KHASHMIR'!T136+'KHYBER PAKHTUNKHWA'!T136</f>
        <v>66</v>
      </c>
      <c r="U136" s="71">
        <f>MPR!U136+KARACHI!U136+SINDH!U136+'GILGIT BALTISTAN'!U136+'AZAD KHASHMIR'!U136+'KHYBER PAKHTUNKHWA'!U136</f>
        <v>62</v>
      </c>
      <c r="V136" s="71">
        <f>MPR!V136+KARACHI!V136+SINDH!V136+'GILGIT BALTISTAN'!V136+'AZAD KHASHMIR'!V136+'KHYBER PAKHTUNKHWA'!V136</f>
        <v>52</v>
      </c>
      <c r="W136" s="71">
        <f>MPR!W136+KARACHI!W136+SINDH!W136+'GILGIT BALTISTAN'!W136+'AZAD KHASHMIR'!W136+'KHYBER PAKHTUNKHWA'!W136</f>
        <v>80</v>
      </c>
      <c r="X136" s="71">
        <f>MPR!X136+KARACHI!X136+SINDH!X136+'GILGIT BALTISTAN'!X136+'AZAD KHASHMIR'!X136+'KHYBER PAKHTUNKHWA'!X136</f>
        <v>73</v>
      </c>
      <c r="Y136" s="71">
        <f>MPR!Y136+KARACHI!Y136+SINDH!Y136+'GILGIT BALTISTAN'!Y136+'AZAD KHASHMIR'!Y136+'KHYBER PAKHTUNKHWA'!Y136</f>
        <v>115</v>
      </c>
      <c r="Z136" s="71">
        <f>MPR!Z136+KARACHI!Z136+SINDH!Z136+'GILGIT BALTISTAN'!Z136+'AZAD KHASHMIR'!Z136+'KHYBER PAKHTUNKHWA'!Z136</f>
        <v>88</v>
      </c>
      <c r="AA136" s="71">
        <f>SUM(K136+M136+O136+Q136+S136+U136+W136+Y136)</f>
        <v>519</v>
      </c>
      <c r="AB136" s="71">
        <f>SUM(L136+N136+P136+R136+T136+V136+X136+Z136)</f>
        <v>465</v>
      </c>
      <c r="AC136" s="71">
        <f>SUM(AA136:AB136)</f>
        <v>984</v>
      </c>
    </row>
    <row r="137" spans="1:32" ht="24.9" customHeight="1" x14ac:dyDescent="0.25">
      <c r="A137" s="281" t="s">
        <v>40</v>
      </c>
      <c r="B137" s="282"/>
      <c r="C137" s="282"/>
      <c r="D137" s="282"/>
      <c r="E137" s="282"/>
      <c r="F137" s="282"/>
      <c r="G137" s="282"/>
      <c r="H137" s="282"/>
      <c r="I137" s="282"/>
      <c r="J137" s="283"/>
      <c r="K137" s="71">
        <f>MPR!K137+KARACHI!K137+SINDH!K137+'GILGIT BALTISTAN'!K137+'AZAD KHASHMIR'!K137+'KHYBER PAKHTUNKHWA'!K137</f>
        <v>310</v>
      </c>
      <c r="L137" s="71">
        <f>MPR!L137+KARACHI!L137+SINDH!L137+'GILGIT BALTISTAN'!L137+'AZAD KHASHMIR'!L137+'KHYBER PAKHTUNKHWA'!L137</f>
        <v>252</v>
      </c>
      <c r="M137" s="71">
        <f>MPR!M137+KARACHI!M137+SINDH!M137+'GILGIT BALTISTAN'!M137+'AZAD KHASHMIR'!M137+'KHYBER PAKHTUNKHWA'!M137</f>
        <v>103</v>
      </c>
      <c r="N137" s="71">
        <f>MPR!N137+KARACHI!N137+SINDH!N137+'GILGIT BALTISTAN'!N137+'AZAD KHASHMIR'!N137+'KHYBER PAKHTUNKHWA'!N137</f>
        <v>94</v>
      </c>
      <c r="O137" s="71">
        <f>MPR!O137+KARACHI!O137+SINDH!O137+'GILGIT BALTISTAN'!O137+'AZAD KHASHMIR'!O137+'KHYBER PAKHTUNKHWA'!O137</f>
        <v>65</v>
      </c>
      <c r="P137" s="71">
        <f>MPR!P137+KARACHI!P137+SINDH!P137+'GILGIT BALTISTAN'!P137+'AZAD KHASHMIR'!P137+'KHYBER PAKHTUNKHWA'!P137</f>
        <v>66</v>
      </c>
      <c r="Q137" s="71">
        <f>MPR!Q137+KARACHI!Q137+SINDH!Q137+'GILGIT BALTISTAN'!Q137+'AZAD KHASHMIR'!Q137+'KHYBER PAKHTUNKHWA'!Q137</f>
        <v>63</v>
      </c>
      <c r="R137" s="71">
        <f>MPR!R137+KARACHI!R137+SINDH!R137+'GILGIT BALTISTAN'!R137+'AZAD KHASHMIR'!R137+'KHYBER PAKHTUNKHWA'!R137</f>
        <v>68</v>
      </c>
      <c r="S137" s="71">
        <f>MPR!S137+KARACHI!S137+SINDH!S137+'GILGIT BALTISTAN'!S137+'AZAD KHASHMIR'!S137+'KHYBER PAKHTUNKHWA'!S137</f>
        <v>52</v>
      </c>
      <c r="T137" s="71">
        <f>MPR!T137+KARACHI!T137+SINDH!T137+'GILGIT BALTISTAN'!T137+'AZAD KHASHMIR'!T137+'KHYBER PAKHTUNKHWA'!T137</f>
        <v>55</v>
      </c>
      <c r="U137" s="71">
        <f>MPR!U137+KARACHI!U137+SINDH!U137+'GILGIT BALTISTAN'!U137+'AZAD KHASHMIR'!U137+'KHYBER PAKHTUNKHWA'!U137</f>
        <v>49</v>
      </c>
      <c r="V137" s="71">
        <f>MPR!V137+KARACHI!V137+SINDH!V137+'GILGIT BALTISTAN'!V137+'AZAD KHASHMIR'!V137+'KHYBER PAKHTUNKHWA'!V137</f>
        <v>36</v>
      </c>
      <c r="W137" s="71">
        <f>MPR!W137+KARACHI!W137+SINDH!W137+'GILGIT BALTISTAN'!W137+'AZAD KHASHMIR'!W137+'KHYBER PAKHTUNKHWA'!W137</f>
        <v>60</v>
      </c>
      <c r="X137" s="71">
        <f>MPR!X137+KARACHI!X137+SINDH!X137+'GILGIT BALTISTAN'!X137+'AZAD KHASHMIR'!X137+'KHYBER PAKHTUNKHWA'!X137</f>
        <v>49</v>
      </c>
      <c r="Y137" s="71">
        <f>MPR!Y137+KARACHI!Y137+SINDH!Y137+'GILGIT BALTISTAN'!Y137+'AZAD KHASHMIR'!Y137+'KHYBER PAKHTUNKHWA'!Y137</f>
        <v>85</v>
      </c>
      <c r="Z137" s="71">
        <f>MPR!Z137+KARACHI!Z137+SINDH!Z137+'GILGIT BALTISTAN'!Z137+'AZAD KHASHMIR'!Z137+'KHYBER PAKHTUNKHWA'!Z137</f>
        <v>60</v>
      </c>
      <c r="AA137" s="71">
        <f t="shared" ref="AA137:AA139" si="14">SUM(K137+M137+O137+Q137+S137+U137+W137+Y137)</f>
        <v>787</v>
      </c>
      <c r="AB137" s="71">
        <f t="shared" ref="AB137:AB139" si="15">SUM(L137+N137+P137+R137+T137+V137+X137+Z137)</f>
        <v>680</v>
      </c>
      <c r="AC137" s="71">
        <f t="shared" ref="AC137:AC140" si="16">SUM(AA137:AB137)</f>
        <v>1467</v>
      </c>
    </row>
    <row r="138" spans="1:32" ht="24.9" customHeight="1" x14ac:dyDescent="0.25">
      <c r="A138" s="281" t="s">
        <v>41</v>
      </c>
      <c r="B138" s="282"/>
      <c r="C138" s="282"/>
      <c r="D138" s="282"/>
      <c r="E138" s="282"/>
      <c r="F138" s="282"/>
      <c r="G138" s="282"/>
      <c r="H138" s="282"/>
      <c r="I138" s="282"/>
      <c r="J138" s="283"/>
      <c r="K138" s="71">
        <f>MPR!K138+KARACHI!K138+SINDH!K138+'GILGIT BALTISTAN'!K138+'AZAD KHASHMIR'!K138+'KHYBER PAKHTUNKHWA'!K138</f>
        <v>0</v>
      </c>
      <c r="L138" s="71">
        <f>MPR!L138+KARACHI!L138+SINDH!L138+'GILGIT BALTISTAN'!L138+'AZAD KHASHMIR'!L138+'KHYBER PAKHTUNKHWA'!L138</f>
        <v>0</v>
      </c>
      <c r="M138" s="71">
        <f>MPR!M138+KARACHI!M138+SINDH!M138+'GILGIT BALTISTAN'!M138+'AZAD KHASHMIR'!M138+'KHYBER PAKHTUNKHWA'!M138</f>
        <v>0</v>
      </c>
      <c r="N138" s="71">
        <f>MPR!N138+KARACHI!N138+SINDH!N138+'GILGIT BALTISTAN'!N138+'AZAD KHASHMIR'!N138+'KHYBER PAKHTUNKHWA'!N138</f>
        <v>0</v>
      </c>
      <c r="O138" s="71">
        <f>MPR!O138+KARACHI!O138+SINDH!O138+'GILGIT BALTISTAN'!O138+'AZAD KHASHMIR'!O138+'KHYBER PAKHTUNKHWA'!O138</f>
        <v>1</v>
      </c>
      <c r="P138" s="71">
        <f>MPR!P138+KARACHI!P138+SINDH!P138+'GILGIT BALTISTAN'!P138+'AZAD KHASHMIR'!P138+'KHYBER PAKHTUNKHWA'!P138</f>
        <v>0</v>
      </c>
      <c r="Q138" s="71">
        <f>MPR!Q138+KARACHI!Q138+SINDH!Q138+'GILGIT BALTISTAN'!Q138+'AZAD KHASHMIR'!Q138+'KHYBER PAKHTUNKHWA'!Q138</f>
        <v>1</v>
      </c>
      <c r="R138" s="71">
        <f>MPR!R138+KARACHI!R138+SINDH!R138+'GILGIT BALTISTAN'!R138+'AZAD KHASHMIR'!R138+'KHYBER PAKHTUNKHWA'!R138</f>
        <v>0</v>
      </c>
      <c r="S138" s="71">
        <f>MPR!S138+KARACHI!S138+SINDH!S138+'GILGIT BALTISTAN'!S138+'AZAD KHASHMIR'!S138+'KHYBER PAKHTUNKHWA'!S138</f>
        <v>0</v>
      </c>
      <c r="T138" s="71">
        <f>MPR!T138+KARACHI!T138+SINDH!T138+'GILGIT BALTISTAN'!T138+'AZAD KHASHMIR'!T138+'KHYBER PAKHTUNKHWA'!T138</f>
        <v>2</v>
      </c>
      <c r="U138" s="71">
        <f>MPR!U138+KARACHI!U138+SINDH!U138+'GILGIT BALTISTAN'!U138+'AZAD KHASHMIR'!U138+'KHYBER PAKHTUNKHWA'!U138</f>
        <v>0</v>
      </c>
      <c r="V138" s="71">
        <f>MPR!V138+KARACHI!V138+SINDH!V138+'GILGIT BALTISTAN'!V138+'AZAD KHASHMIR'!V138+'KHYBER PAKHTUNKHWA'!V138</f>
        <v>0</v>
      </c>
      <c r="W138" s="71">
        <f>MPR!W138+KARACHI!W138+SINDH!W138+'GILGIT BALTISTAN'!W138+'AZAD KHASHMIR'!W138+'KHYBER PAKHTUNKHWA'!W138</f>
        <v>0</v>
      </c>
      <c r="X138" s="71">
        <f>MPR!X138+KARACHI!X138+SINDH!X138+'GILGIT BALTISTAN'!X138+'AZAD KHASHMIR'!X138+'KHYBER PAKHTUNKHWA'!X138</f>
        <v>0</v>
      </c>
      <c r="Y138" s="71">
        <f>MPR!Y138+KARACHI!Y138+SINDH!Y138+'GILGIT BALTISTAN'!Y138+'AZAD KHASHMIR'!Y138+'KHYBER PAKHTUNKHWA'!Y138</f>
        <v>1</v>
      </c>
      <c r="Z138" s="71">
        <f>MPR!Z138+KARACHI!Z138+SINDH!Z138+'GILGIT BALTISTAN'!Z138+'AZAD KHASHMIR'!Z138+'KHYBER PAKHTUNKHWA'!Z138</f>
        <v>0</v>
      </c>
      <c r="AA138" s="71">
        <f t="shared" si="14"/>
        <v>3</v>
      </c>
      <c r="AB138" s="71">
        <f t="shared" si="15"/>
        <v>2</v>
      </c>
      <c r="AC138" s="71">
        <f t="shared" si="16"/>
        <v>5</v>
      </c>
    </row>
    <row r="139" spans="1:32" ht="24.9" customHeight="1" x14ac:dyDescent="0.25">
      <c r="A139" s="281" t="s">
        <v>42</v>
      </c>
      <c r="B139" s="282"/>
      <c r="C139" s="282"/>
      <c r="D139" s="282"/>
      <c r="E139" s="282"/>
      <c r="F139" s="282"/>
      <c r="G139" s="282"/>
      <c r="H139" s="282"/>
      <c r="I139" s="282"/>
      <c r="J139" s="283"/>
      <c r="K139" s="71">
        <f>MPR!K139+KARACHI!K139+SINDH!K139+'GILGIT BALTISTAN'!K139+'AZAD KHASHMIR'!K139+'KHYBER PAKHTUNKHWA'!K139</f>
        <v>65</v>
      </c>
      <c r="L139" s="71">
        <f>MPR!L139+KARACHI!L139+SINDH!L139+'GILGIT BALTISTAN'!L139+'AZAD KHASHMIR'!L139+'KHYBER PAKHTUNKHWA'!L139</f>
        <v>50</v>
      </c>
      <c r="M139" s="71">
        <f>MPR!M139+KARACHI!M139+SINDH!M139+'GILGIT BALTISTAN'!M139+'AZAD KHASHMIR'!M139+'KHYBER PAKHTUNKHWA'!M139</f>
        <v>41</v>
      </c>
      <c r="N139" s="71">
        <f>MPR!N139+KARACHI!N139+SINDH!N139+'GILGIT BALTISTAN'!N139+'AZAD KHASHMIR'!N139+'KHYBER PAKHTUNKHWA'!N139</f>
        <v>39</v>
      </c>
      <c r="O139" s="71">
        <f>MPR!O139+KARACHI!O139+SINDH!O139+'GILGIT BALTISTAN'!O139+'AZAD KHASHMIR'!O139+'KHYBER PAKHTUNKHWA'!O139</f>
        <v>96</v>
      </c>
      <c r="P139" s="71">
        <f>MPR!P139+KARACHI!P139+SINDH!P139+'GILGIT BALTISTAN'!P139+'AZAD KHASHMIR'!P139+'KHYBER PAKHTUNKHWA'!P139</f>
        <v>69</v>
      </c>
      <c r="Q139" s="71">
        <f>MPR!Q139+KARACHI!Q139+SINDH!Q139+'GILGIT BALTISTAN'!Q139+'AZAD KHASHMIR'!Q139+'KHYBER PAKHTUNKHWA'!Q139</f>
        <v>55</v>
      </c>
      <c r="R139" s="71">
        <f>MPR!R139+KARACHI!R139+SINDH!R139+'GILGIT BALTISTAN'!R139+'AZAD KHASHMIR'!R139+'KHYBER PAKHTUNKHWA'!R139</f>
        <v>56</v>
      </c>
      <c r="S139" s="71">
        <f>MPR!S139+KARACHI!S139+SINDH!S139+'GILGIT BALTISTAN'!S139+'AZAD KHASHMIR'!S139+'KHYBER PAKHTUNKHWA'!S139</f>
        <v>50</v>
      </c>
      <c r="T139" s="71">
        <f>MPR!T139+KARACHI!T139+SINDH!T139+'GILGIT BALTISTAN'!T139+'AZAD KHASHMIR'!T139+'KHYBER PAKHTUNKHWA'!T139</f>
        <v>47</v>
      </c>
      <c r="U139" s="71">
        <f>MPR!U139+KARACHI!U139+SINDH!U139+'GILGIT BALTISTAN'!U139+'AZAD KHASHMIR'!U139+'KHYBER PAKHTUNKHWA'!U139</f>
        <v>43</v>
      </c>
      <c r="V139" s="71">
        <f>MPR!V139+KARACHI!V139+SINDH!V139+'GILGIT BALTISTAN'!V139+'AZAD KHASHMIR'!V139+'KHYBER PAKHTUNKHWA'!V139</f>
        <v>30</v>
      </c>
      <c r="W139" s="71">
        <f>MPR!W139+KARACHI!W139+SINDH!W139+'GILGIT BALTISTAN'!W139+'AZAD KHASHMIR'!W139+'KHYBER PAKHTUNKHWA'!W139</f>
        <v>44</v>
      </c>
      <c r="X139" s="71">
        <f>MPR!X139+KARACHI!X139+SINDH!X139+'GILGIT BALTISTAN'!X139+'AZAD KHASHMIR'!X139+'KHYBER PAKHTUNKHWA'!X139</f>
        <v>31</v>
      </c>
      <c r="Y139" s="71">
        <f>MPR!Y139+KARACHI!Y139+SINDH!Y139+'GILGIT BALTISTAN'!Y139+'AZAD KHASHMIR'!Y139+'KHYBER PAKHTUNKHWA'!Y139</f>
        <v>50</v>
      </c>
      <c r="Z139" s="71">
        <f>MPR!Z139+KARACHI!Z139+SINDH!Z139+'GILGIT BALTISTAN'!Z139+'AZAD KHASHMIR'!Z139+'KHYBER PAKHTUNKHWA'!Z139</f>
        <v>45</v>
      </c>
      <c r="AA139" s="71">
        <f t="shared" si="14"/>
        <v>444</v>
      </c>
      <c r="AB139" s="71">
        <f t="shared" si="15"/>
        <v>367</v>
      </c>
      <c r="AC139" s="71">
        <f t="shared" si="16"/>
        <v>811</v>
      </c>
    </row>
    <row r="140" spans="1:32" ht="24.9" customHeight="1" x14ac:dyDescent="0.25">
      <c r="A140" s="224" t="s">
        <v>7</v>
      </c>
      <c r="B140" s="225"/>
      <c r="C140" s="225"/>
      <c r="D140" s="225"/>
      <c r="E140" s="225"/>
      <c r="F140" s="225"/>
      <c r="G140" s="225"/>
      <c r="H140" s="225"/>
      <c r="I140" s="225"/>
      <c r="J140" s="226"/>
      <c r="K140" s="71">
        <f>SUM(K136:K139)</f>
        <v>380</v>
      </c>
      <c r="L140" s="71">
        <f t="shared" ref="L140:AB140" si="17">SUM(L136:L139)</f>
        <v>302</v>
      </c>
      <c r="M140" s="71">
        <f t="shared" si="17"/>
        <v>156</v>
      </c>
      <c r="N140" s="71">
        <f t="shared" si="17"/>
        <v>154</v>
      </c>
      <c r="O140" s="71">
        <f t="shared" si="17"/>
        <v>250</v>
      </c>
      <c r="P140" s="71">
        <f t="shared" si="17"/>
        <v>230</v>
      </c>
      <c r="Q140" s="71">
        <f t="shared" si="17"/>
        <v>195</v>
      </c>
      <c r="R140" s="71">
        <f t="shared" si="17"/>
        <v>194</v>
      </c>
      <c r="S140" s="71">
        <f t="shared" si="17"/>
        <v>183</v>
      </c>
      <c r="T140" s="71">
        <f t="shared" si="17"/>
        <v>170</v>
      </c>
      <c r="U140" s="71">
        <f t="shared" si="17"/>
        <v>154</v>
      </c>
      <c r="V140" s="71">
        <f t="shared" si="17"/>
        <v>118</v>
      </c>
      <c r="W140" s="71">
        <f t="shared" si="17"/>
        <v>184</v>
      </c>
      <c r="X140" s="71">
        <f t="shared" si="17"/>
        <v>153</v>
      </c>
      <c r="Y140" s="71">
        <f t="shared" si="17"/>
        <v>251</v>
      </c>
      <c r="Z140" s="71">
        <f t="shared" si="17"/>
        <v>193</v>
      </c>
      <c r="AA140" s="71">
        <f t="shared" si="17"/>
        <v>1753</v>
      </c>
      <c r="AB140" s="71">
        <f t="shared" si="17"/>
        <v>1514</v>
      </c>
      <c r="AC140" s="71">
        <f t="shared" si="16"/>
        <v>3267</v>
      </c>
    </row>
    <row r="141" spans="1:32" ht="6.75" customHeight="1" x14ac:dyDescent="0.25">
      <c r="A141" s="79"/>
      <c r="B141" s="80"/>
      <c r="C141" s="80"/>
      <c r="D141" s="80"/>
      <c r="E141" s="80"/>
      <c r="F141" s="81"/>
      <c r="G141" s="82"/>
      <c r="H141" s="82"/>
      <c r="I141" s="82"/>
      <c r="J141" s="82"/>
      <c r="K141" s="82"/>
      <c r="L141" s="82"/>
      <c r="M141" s="83"/>
      <c r="N141" s="82"/>
      <c r="O141" s="337"/>
      <c r="P141" s="338"/>
      <c r="Q141" s="84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5"/>
    </row>
    <row r="142" spans="1:32" ht="18" customHeight="1" x14ac:dyDescent="0.25">
      <c r="A142" s="86" t="s">
        <v>45</v>
      </c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8"/>
      <c r="M142" s="89"/>
      <c r="N142" s="86" t="s">
        <v>46</v>
      </c>
      <c r="O142" s="87"/>
      <c r="P142" s="87"/>
      <c r="Q142" s="87"/>
      <c r="R142" s="87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1"/>
    </row>
    <row r="143" spans="1:32" ht="42.75" customHeight="1" x14ac:dyDescent="0.25">
      <c r="A143" s="307" t="s">
        <v>47</v>
      </c>
      <c r="B143" s="312" t="s">
        <v>48</v>
      </c>
      <c r="C143" s="313"/>
      <c r="D143" s="314" t="s">
        <v>49</v>
      </c>
      <c r="E143" s="315"/>
      <c r="F143" s="316"/>
      <c r="G143" s="314" t="s">
        <v>50</v>
      </c>
      <c r="H143" s="315"/>
      <c r="I143" s="315"/>
      <c r="J143" s="316"/>
      <c r="K143" s="307" t="s">
        <v>51</v>
      </c>
      <c r="L143" s="307" t="s">
        <v>52</v>
      </c>
      <c r="M143" s="20"/>
      <c r="N143" s="309" t="s">
        <v>53</v>
      </c>
      <c r="O143" s="310"/>
      <c r="P143" s="311"/>
      <c r="Q143" s="309" t="s">
        <v>54</v>
      </c>
      <c r="R143" s="310"/>
      <c r="S143" s="311"/>
      <c r="T143" s="309" t="s">
        <v>55</v>
      </c>
      <c r="U143" s="310"/>
      <c r="V143" s="310"/>
      <c r="W143" s="310"/>
      <c r="X143" s="310"/>
      <c r="Y143" s="310"/>
      <c r="Z143" s="310"/>
      <c r="AA143" s="310"/>
      <c r="AB143" s="310"/>
      <c r="AC143" s="311"/>
    </row>
    <row r="144" spans="1:32" ht="48" customHeight="1" x14ac:dyDescent="0.25">
      <c r="A144" s="308"/>
      <c r="B144" s="21" t="s">
        <v>7</v>
      </c>
      <c r="C144" s="22" t="s">
        <v>87</v>
      </c>
      <c r="D144" s="22" t="s">
        <v>56</v>
      </c>
      <c r="E144" s="22" t="s">
        <v>88</v>
      </c>
      <c r="F144" s="22" t="s">
        <v>89</v>
      </c>
      <c r="G144" s="23" t="s">
        <v>56</v>
      </c>
      <c r="H144" s="22" t="s">
        <v>90</v>
      </c>
      <c r="I144" s="23" t="s">
        <v>57</v>
      </c>
      <c r="J144" s="23" t="s">
        <v>58</v>
      </c>
      <c r="K144" s="308"/>
      <c r="L144" s="308"/>
      <c r="M144" s="20"/>
      <c r="N144" s="309">
        <f>MPR!N144+KARACHI!N144+SINDH!N144+'GILGIT BALTISTAN'!N144:P144+'AZAD KHASHMIR'!N144:P144+'KHYBER PAKHTUNKHWA'!N144:P144</f>
        <v>220</v>
      </c>
      <c r="O144" s="310"/>
      <c r="P144" s="311"/>
      <c r="Q144" s="309">
        <f>MPR!Q144+KARACHI!Q144+SINDH!Q144+'GILGIT BALTISTAN'!Q144:S144+'AZAD KHASHMIR'!Q144:S144+'KHYBER PAKHTUNKHWA'!Q144:S144</f>
        <v>1</v>
      </c>
      <c r="R144" s="310"/>
      <c r="S144" s="311"/>
      <c r="T144" s="309">
        <f>MPR!T144+KARACHI!T144+SINDH!T144+'GILGIT BALTISTAN'!T144:AC144+'AZAD KHASHMIR'!T144:AC144+'KHYBER PAKHTUNKHWA'!T144:AC144</f>
        <v>1</v>
      </c>
      <c r="U144" s="310"/>
      <c r="V144" s="310"/>
      <c r="W144" s="310"/>
      <c r="X144" s="310"/>
      <c r="Y144" s="310"/>
      <c r="Z144" s="310"/>
      <c r="AA144" s="310"/>
      <c r="AB144" s="310"/>
      <c r="AC144" s="311"/>
    </row>
    <row r="145" spans="1:29" ht="38.25" customHeight="1" x14ac:dyDescent="0.25">
      <c r="A145" s="270">
        <f>MPR!A145+KARACHI!A145+SINDH!A145+'GILGIT BALTISTAN'!A145:A149+'AZAD KHASHMIR'!A145:A149+'KHYBER PAKHTUNKHWA'!A145:A149</f>
        <v>586116</v>
      </c>
      <c r="B145" s="270">
        <f>MPR!B145+KARACHI!B145+SINDH!B145+'GILGIT BALTISTAN'!B145:B149+'AZAD KHASHMIR'!B145:B149+'KHYBER PAKHTUNKHWA'!B145:B149</f>
        <v>13903</v>
      </c>
      <c r="C145" s="270">
        <f>MPR!C145+KARACHI!C145+SINDH!C145+'GILGIT BALTISTAN'!C145:C149+'AZAD KHASHMIR'!C145:C149+'KHYBER PAKHTUNKHWA'!C145:C149</f>
        <v>1140</v>
      </c>
      <c r="D145" s="270">
        <f>MPR!D145+KARACHI!D145+SINDH!D145+'GILGIT BALTISTAN'!D145:D149+'AZAD KHASHMIR'!D145:D149+'KHYBER PAKHTUNKHWA'!D145:D149</f>
        <v>4394</v>
      </c>
      <c r="E145" s="270">
        <f>MPR!E145+KARACHI!E145+SINDH!E145+'GILGIT BALTISTAN'!E145:E149+'AZAD KHASHMIR'!E145:E149+'KHYBER PAKHTUNKHWA'!E145:E149</f>
        <v>488</v>
      </c>
      <c r="F145" s="270">
        <f>MPR!F145+KARACHI!F145+SINDH!F145+'GILGIT BALTISTAN'!F145:F149+'AZAD KHASHMIR'!F145:F149+'KHYBER PAKHTUNKHWA'!F145:F149</f>
        <v>7646</v>
      </c>
      <c r="G145" s="270">
        <f>MPR!G145+KARACHI!G145+SINDH!G145+'GILGIT BALTISTAN'!G145:G149+'AZAD KHASHMIR'!G145:G149+'KHYBER PAKHTUNKHWA'!G145:G149</f>
        <v>772</v>
      </c>
      <c r="H145" s="270">
        <f>MPR!H145+KARACHI!H145+SINDH!H145+'GILGIT BALTISTAN'!H145:H149+'AZAD KHASHMIR'!H145:H149+'KHYBER PAKHTUNKHWA'!H145:H149</f>
        <v>100</v>
      </c>
      <c r="I145" s="270">
        <f>MPR!I145+KARACHI!I145+SINDH!I145+'GILGIT BALTISTAN'!I145:I149+'AZAD KHASHMIR'!I145:I149+'KHYBER PAKHTUNKHWA'!I145:I149</f>
        <v>252</v>
      </c>
      <c r="J145" s="440">
        <f>SUM(G145:I149)</f>
        <v>1124</v>
      </c>
      <c r="K145" s="270">
        <f>MPR!K145+KARACHI!K145+SINDH!K145+'GILGIT BALTISTAN'!K145:K149+'AZAD KHASHMIR'!K145:K149+'KHYBER PAKHTUNKHWA'!K145:K149</f>
        <v>932</v>
      </c>
      <c r="L145" s="270">
        <f>MPR!L145+KARACHI!L145+SINDH!L145+'GILGIT BALTISTAN'!L145:L149+'AZAD KHASHMIR'!L145:L149+'KHYBER PAKHTUNKHWA'!L145:L149</f>
        <v>1807</v>
      </c>
      <c r="M145" s="20"/>
      <c r="N145" s="309" t="s">
        <v>59</v>
      </c>
      <c r="O145" s="310"/>
      <c r="P145" s="311"/>
      <c r="Q145" s="309" t="s">
        <v>60</v>
      </c>
      <c r="R145" s="310"/>
      <c r="S145" s="311"/>
      <c r="T145" s="293" t="s">
        <v>61</v>
      </c>
      <c r="U145" s="294"/>
      <c r="V145" s="294"/>
      <c r="W145" s="295"/>
      <c r="X145" s="293" t="s">
        <v>62</v>
      </c>
      <c r="Y145" s="294"/>
      <c r="Z145" s="294"/>
      <c r="AA145" s="294"/>
      <c r="AB145" s="294"/>
      <c r="AC145" s="295"/>
    </row>
    <row r="146" spans="1:29" ht="19.5" customHeight="1" x14ac:dyDescent="0.25">
      <c r="A146" s="271"/>
      <c r="B146" s="271"/>
      <c r="C146" s="271"/>
      <c r="D146" s="271"/>
      <c r="E146" s="271"/>
      <c r="F146" s="271"/>
      <c r="G146" s="271"/>
      <c r="H146" s="271"/>
      <c r="I146" s="271"/>
      <c r="J146" s="441"/>
      <c r="K146" s="271"/>
      <c r="L146" s="271"/>
      <c r="M146" s="20"/>
      <c r="N146" s="287">
        <f>MPR!N146+KARACHI!N146+SINDH!N146+'GILGIT BALTISTAN'!N146:P149+'AZAD KHASHMIR'!N146:P149+'KHYBER PAKHTUNKHWA'!N146:P149</f>
        <v>60</v>
      </c>
      <c r="O146" s="288"/>
      <c r="P146" s="289"/>
      <c r="Q146" s="287">
        <f>MPR!Q146+KARACHI!Q146+SINDH!Q146+'GILGIT BALTISTAN'!Q146:S149+'AZAD KHASHMIR'!Q146:S149+'KHYBER PAKHTUNKHWA'!Q146:S149</f>
        <v>0</v>
      </c>
      <c r="R146" s="288"/>
      <c r="S146" s="289"/>
      <c r="T146" s="287">
        <f>MPR!T146+KARACHI!T146+SINDH!T146+'GILGIT BALTISTAN'!T146:W149+'AZAD KHASHMIR'!T146:W149+'KHYBER PAKHTUNKHWA'!T146:W149</f>
        <v>0</v>
      </c>
      <c r="U146" s="288"/>
      <c r="V146" s="288"/>
      <c r="W146" s="289"/>
      <c r="X146" s="24"/>
      <c r="Y146" s="309" t="s">
        <v>0</v>
      </c>
      <c r="Z146" s="311"/>
      <c r="AA146" s="25" t="s">
        <v>1</v>
      </c>
      <c r="AB146" s="309" t="s">
        <v>63</v>
      </c>
      <c r="AC146" s="311"/>
    </row>
    <row r="147" spans="1:29" ht="18" customHeight="1" x14ac:dyDescent="0.25">
      <c r="A147" s="271"/>
      <c r="B147" s="271"/>
      <c r="C147" s="271"/>
      <c r="D147" s="271"/>
      <c r="E147" s="271"/>
      <c r="F147" s="271"/>
      <c r="G147" s="271"/>
      <c r="H147" s="271"/>
      <c r="I147" s="271"/>
      <c r="J147" s="441"/>
      <c r="K147" s="271"/>
      <c r="L147" s="271"/>
      <c r="M147" s="20"/>
      <c r="N147" s="290"/>
      <c r="O147" s="291"/>
      <c r="P147" s="292"/>
      <c r="Q147" s="290"/>
      <c r="R147" s="291"/>
      <c r="S147" s="292"/>
      <c r="T147" s="290"/>
      <c r="U147" s="291"/>
      <c r="V147" s="291"/>
      <c r="W147" s="292"/>
      <c r="X147" s="26" t="s">
        <v>64</v>
      </c>
      <c r="Y147" s="317">
        <f>MPR!Y147+KARACHI!Y147+SINDH!Y147+'GILGIT BALTISTAN'!Y147:Z147+'AZAD KHASHMIR'!Y147:Z147+'KHYBER PAKHTUNKHWA'!Y147:Z147</f>
        <v>0</v>
      </c>
      <c r="Z147" s="317"/>
      <c r="AA147" s="101">
        <f>MPR!AA147+KARACHI!AA147+SINDH!AA147+'GILGIT BALTISTAN'!AA147+'AZAD KHASHMIR'!AA147+'KHYBER PAKHTUNKHWA'!AA147</f>
        <v>0</v>
      </c>
      <c r="AB147" s="446">
        <f>MPR!AB147+KARACHI!AB147+SINDH!AB147+'GILGIT BALTISTAN'!AB147:AC147+'AZAD KHASHMIR'!AB147:AC147+'KHYBER PAKHTUNKHWA'!AB147:AC147</f>
        <v>0</v>
      </c>
      <c r="AC147" s="317"/>
    </row>
    <row r="148" spans="1:29" ht="18" customHeight="1" x14ac:dyDescent="0.25">
      <c r="A148" s="271"/>
      <c r="B148" s="271"/>
      <c r="C148" s="271"/>
      <c r="D148" s="271"/>
      <c r="E148" s="271"/>
      <c r="F148" s="271"/>
      <c r="G148" s="271"/>
      <c r="H148" s="271"/>
      <c r="I148" s="271"/>
      <c r="J148" s="441"/>
      <c r="K148" s="271"/>
      <c r="L148" s="271"/>
      <c r="M148" s="20"/>
      <c r="N148" s="290"/>
      <c r="O148" s="291"/>
      <c r="P148" s="292"/>
      <c r="Q148" s="290"/>
      <c r="R148" s="291"/>
      <c r="S148" s="292"/>
      <c r="T148" s="290"/>
      <c r="U148" s="291"/>
      <c r="V148" s="291"/>
      <c r="W148" s="292"/>
      <c r="X148" s="26" t="s">
        <v>65</v>
      </c>
      <c r="Y148" s="317">
        <f>MPR!Y148+KARACHI!Y148+SINDH!Y148+'GILGIT BALTISTAN'!Y148:Z148+'AZAD KHASHMIR'!Y148:Z148+'KHYBER PAKHTUNKHWA'!Y148:Z148</f>
        <v>0</v>
      </c>
      <c r="Z148" s="317"/>
      <c r="AA148" s="101">
        <f>MPR!AA148+KARACHI!AA148+SINDH!AA148+'GILGIT BALTISTAN'!AA148+'AZAD KHASHMIR'!AA148+'KHYBER PAKHTUNKHWA'!AA148</f>
        <v>0</v>
      </c>
      <c r="AB148" s="446">
        <f>MPR!AB148+KARACHI!AB148+SINDH!AB148+'GILGIT BALTISTAN'!AB148:AC148+'AZAD KHASHMIR'!AB148:AC148+'KHYBER PAKHTUNKHWA'!AB148:AC148</f>
        <v>18</v>
      </c>
      <c r="AC148" s="317"/>
    </row>
    <row r="149" spans="1:29" ht="18" customHeight="1" x14ac:dyDescent="0.25">
      <c r="A149" s="272"/>
      <c r="B149" s="272"/>
      <c r="C149" s="272"/>
      <c r="D149" s="272"/>
      <c r="E149" s="272"/>
      <c r="F149" s="272"/>
      <c r="G149" s="272"/>
      <c r="H149" s="272"/>
      <c r="I149" s="272"/>
      <c r="J149" s="442"/>
      <c r="K149" s="272"/>
      <c r="L149" s="272"/>
      <c r="M149" s="20"/>
      <c r="N149" s="293"/>
      <c r="O149" s="294"/>
      <c r="P149" s="295"/>
      <c r="Q149" s="293"/>
      <c r="R149" s="294"/>
      <c r="S149" s="295"/>
      <c r="T149" s="293"/>
      <c r="U149" s="294"/>
      <c r="V149" s="294"/>
      <c r="W149" s="295"/>
      <c r="X149" s="26" t="s">
        <v>66</v>
      </c>
      <c r="Y149" s="317">
        <f>MPR!Y149+KARACHI!Y149+SINDH!Y149+'GILGIT BALTISTAN'!Y149:Z149+'AZAD KHASHMIR'!Y149:Z149+'KHYBER PAKHTUNKHWA'!Y149:Z149</f>
        <v>0</v>
      </c>
      <c r="Z149" s="317"/>
      <c r="AA149" s="101">
        <f>MPR!AA149+KARACHI!AA149+SINDH!AA149+'GILGIT BALTISTAN'!AA149+'AZAD KHASHMIR'!AA149+'KHYBER PAKHTUNKHWA'!AA149</f>
        <v>0</v>
      </c>
      <c r="AB149" s="446">
        <f>MPR!AB149+KARACHI!AB149+SINDH!AB149+'GILGIT BALTISTAN'!AB149:AC149+'AZAD KHASHMIR'!AB149:AC149+'KHYBER PAKHTUNKHWA'!AB149:AC149</f>
        <v>0</v>
      </c>
      <c r="AC149" s="317"/>
    </row>
    <row r="150" spans="1:29" ht="8.25" customHeight="1" x14ac:dyDescent="0.25">
      <c r="A150" s="27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92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78"/>
    </row>
    <row r="151" spans="1:29" ht="18" customHeight="1" x14ac:dyDescent="0.25">
      <c r="A151" s="86" t="s">
        <v>67</v>
      </c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8"/>
      <c r="M151" s="93"/>
      <c r="N151" s="86" t="s">
        <v>68</v>
      </c>
      <c r="O151" s="88"/>
      <c r="P151" s="87"/>
      <c r="Q151" s="94"/>
      <c r="R151" s="87"/>
      <c r="S151" s="87"/>
      <c r="T151" s="87"/>
      <c r="U151" s="87"/>
      <c r="V151" s="87"/>
      <c r="W151" s="87"/>
      <c r="X151" s="87"/>
      <c r="Y151" s="87"/>
      <c r="Z151" s="87"/>
      <c r="AA151" s="90"/>
      <c r="AB151" s="90"/>
      <c r="AC151" s="95"/>
    </row>
    <row r="152" spans="1:29" ht="57" customHeight="1" x14ac:dyDescent="0.25">
      <c r="A152" s="331"/>
      <c r="B152" s="332"/>
      <c r="C152" s="332"/>
      <c r="D152" s="332"/>
      <c r="E152" s="332"/>
      <c r="F152" s="333"/>
      <c r="G152" s="224" t="s">
        <v>11</v>
      </c>
      <c r="H152" s="226"/>
      <c r="I152" s="224" t="s">
        <v>12</v>
      </c>
      <c r="J152" s="226"/>
      <c r="K152" s="33" t="s">
        <v>69</v>
      </c>
      <c r="L152" s="34"/>
      <c r="M152" s="96"/>
      <c r="N152" s="314" t="s">
        <v>70</v>
      </c>
      <c r="O152" s="315"/>
      <c r="P152" s="316"/>
      <c r="Q152" s="314" t="s">
        <v>71</v>
      </c>
      <c r="R152" s="315"/>
      <c r="S152" s="316"/>
      <c r="T152" s="314" t="s">
        <v>72</v>
      </c>
      <c r="U152" s="315"/>
      <c r="V152" s="316"/>
      <c r="W152" s="314" t="s">
        <v>73</v>
      </c>
      <c r="X152" s="315"/>
      <c r="Y152" s="315"/>
      <c r="Z152" s="316"/>
      <c r="AA152" s="314" t="s">
        <v>74</v>
      </c>
      <c r="AB152" s="315"/>
      <c r="AC152" s="316"/>
    </row>
    <row r="153" spans="1:29" ht="13.5" customHeight="1" x14ac:dyDescent="0.25">
      <c r="A153" s="334"/>
      <c r="B153" s="335"/>
      <c r="C153" s="335"/>
      <c r="D153" s="335"/>
      <c r="E153" s="335"/>
      <c r="F153" s="336"/>
      <c r="G153" s="7" t="s">
        <v>75</v>
      </c>
      <c r="H153" s="7" t="s">
        <v>13</v>
      </c>
      <c r="I153" s="7" t="s">
        <v>75</v>
      </c>
      <c r="J153" s="7" t="s">
        <v>13</v>
      </c>
      <c r="K153" s="7" t="s">
        <v>75</v>
      </c>
      <c r="L153" s="7" t="s">
        <v>13</v>
      </c>
      <c r="M153" s="97"/>
      <c r="N153" s="37" t="s">
        <v>0</v>
      </c>
      <c r="O153" s="98" t="s">
        <v>1</v>
      </c>
      <c r="P153" s="98" t="s">
        <v>91</v>
      </c>
      <c r="Q153" s="37" t="s">
        <v>0</v>
      </c>
      <c r="R153" s="98" t="s">
        <v>1</v>
      </c>
      <c r="S153" s="98" t="s">
        <v>91</v>
      </c>
      <c r="T153" s="37" t="s">
        <v>0</v>
      </c>
      <c r="U153" s="98" t="s">
        <v>1</v>
      </c>
      <c r="V153" s="98" t="s">
        <v>91</v>
      </c>
      <c r="W153" s="37"/>
      <c r="X153" s="37" t="s">
        <v>0</v>
      </c>
      <c r="Y153" s="99" t="s">
        <v>1</v>
      </c>
      <c r="Z153" s="39" t="s">
        <v>76</v>
      </c>
      <c r="AA153" s="37" t="s">
        <v>0</v>
      </c>
      <c r="AB153" s="99" t="s">
        <v>1</v>
      </c>
      <c r="AC153" s="39" t="s">
        <v>76</v>
      </c>
    </row>
    <row r="154" spans="1:29" ht="24.9" customHeight="1" x14ac:dyDescent="0.25">
      <c r="A154" s="224" t="s">
        <v>77</v>
      </c>
      <c r="B154" s="225"/>
      <c r="C154" s="225"/>
      <c r="D154" s="225"/>
      <c r="E154" s="225"/>
      <c r="F154" s="226"/>
      <c r="G154" s="71">
        <f>MPR!G154+KARACHI!G154+SINDH!G154+'GILGIT BALTISTAN'!G154+'AZAD KHASHMIR'!G154+'KHYBER PAKHTUNKHWA'!G154</f>
        <v>840</v>
      </c>
      <c r="H154" s="71">
        <f>MPR!H154+KARACHI!H154+SINDH!H154+'GILGIT BALTISTAN'!H154+'AZAD KHASHMIR'!H154+'KHYBER PAKHTUNKHWA'!H154</f>
        <v>1</v>
      </c>
      <c r="I154" s="71">
        <f>MPR!I154+KARACHI!I154+SINDH!I154+'GILGIT BALTISTAN'!I154+'AZAD KHASHMIR'!I154+'KHYBER PAKHTUNKHWA'!I154</f>
        <v>16</v>
      </c>
      <c r="J154" s="71">
        <f>MPR!J154+KARACHI!J154+SINDH!J154+'GILGIT BALTISTAN'!J154+'AZAD KHASHMIR'!J154+'KHYBER PAKHTUNKHWA'!J154</f>
        <v>0</v>
      </c>
      <c r="K154" s="71">
        <f>MPR!K154+KARACHI!K154+SINDH!K154+'GILGIT BALTISTAN'!K154+'AZAD KHASHMIR'!K154+'KHYBER PAKHTUNKHWA'!K154</f>
        <v>0</v>
      </c>
      <c r="L154" s="71">
        <f>MPR!L154+KARACHI!L154+SINDH!L154+'GILGIT BALTISTAN'!L154+'AZAD KHASHMIR'!L154+'KHYBER PAKHTUNKHWA'!L154</f>
        <v>0</v>
      </c>
      <c r="M154" s="97"/>
      <c r="N154" s="344">
        <f>MPR!N154+KARACHI!N154+SINDH!N154+'GILGIT BALTISTAN'!N154:N157+'AZAD KHASHMIR'!N154:N157+'KHYBER PAKHTUNKHWA'!N154:N157</f>
        <v>145</v>
      </c>
      <c r="O154" s="344">
        <f>MPR!O154+KARACHI!O154+SINDH!O154+'GILGIT BALTISTAN'!O154:O157+'AZAD KHASHMIR'!O154:O157+'KHYBER PAKHTUNKHWA'!O154:O157</f>
        <v>1098</v>
      </c>
      <c r="P154" s="344">
        <f>MPR!P154+KARACHI!P154+SINDH!P154+'GILGIT BALTISTAN'!P154:P157+'AZAD KHASHMIR'!P154:P157+'KHYBER PAKHTUNKHWA'!P154:P157</f>
        <v>4983</v>
      </c>
      <c r="Q154" s="344">
        <f>MPR!Q154+KARACHI!Q154+SINDH!Q154+'GILGIT BALTISTAN'!Q154:Q157+'AZAD KHASHMIR'!Q154:Q157+'KHYBER PAKHTUNKHWA'!Q154:Q157</f>
        <v>73</v>
      </c>
      <c r="R154" s="344">
        <f>MPR!R154+KARACHI!R154+SINDH!R154+'GILGIT BALTISTAN'!R154:R157+'AZAD KHASHMIR'!R154:R157+'KHYBER PAKHTUNKHWA'!R154:R157</f>
        <v>787</v>
      </c>
      <c r="S154" s="344">
        <f>MPR!S154+KARACHI!S154+SINDH!S154+'GILGIT BALTISTAN'!S154:S157+'AZAD KHASHMIR'!S154:S157+'KHYBER PAKHTUNKHWA'!S154:S157</f>
        <v>3990</v>
      </c>
      <c r="T154" s="344">
        <f>MPR!T154+KARACHI!T154+SINDH!T154+'GILGIT BALTISTAN'!T154:T157+'AZAD KHASHMIR'!T154:T157+'KHYBER PAKHTUNKHWA'!T154:T157</f>
        <v>0</v>
      </c>
      <c r="U154" s="344">
        <f>MPR!U154+KARACHI!U154+SINDH!U154+'GILGIT BALTISTAN'!U154:U157+'AZAD KHASHMIR'!U154:U157+'KHYBER PAKHTUNKHWA'!U154:U157</f>
        <v>16</v>
      </c>
      <c r="V154" s="344">
        <f>MPR!V154+KARACHI!V154+SINDH!V154+'GILGIT BALTISTAN'!V154:V157+'AZAD KHASHMIR'!V154:V157+'KHYBER PAKHTUNKHWA'!V154:V157</f>
        <v>134</v>
      </c>
      <c r="W154" s="40" t="s">
        <v>64</v>
      </c>
      <c r="X154" s="71">
        <f>MPR!X154+KARACHI!X154+SINDH!X154+'GILGIT BALTISTAN'!X154+'AZAD KHASHMIR'!X154+'KHYBER PAKHTUNKHWA'!X154</f>
        <v>20</v>
      </c>
      <c r="Y154" s="71">
        <f>MPR!Y154+KARACHI!Y154+SINDH!Y154+'GILGIT BALTISTAN'!Y154+'AZAD KHASHMIR'!Y154+'KHYBER PAKHTUNKHWA'!Y154</f>
        <v>64</v>
      </c>
      <c r="Z154" s="71">
        <f>MPR!Z154+KARACHI!Z154+SINDH!Z154+'GILGIT BALTISTAN'!Z154+'AZAD KHASHMIR'!Z154+'KHYBER PAKHTUNKHWA'!Z154</f>
        <v>0</v>
      </c>
      <c r="AA154" s="71">
        <f>MPR!AA154+KARACHI!AA154+SINDH!AA154+'GILGIT BALTISTAN'!AA154+'AZAD KHASHMIR'!AA154+'KHYBER PAKHTUNKHWA'!AA154</f>
        <v>0</v>
      </c>
      <c r="AB154" s="71">
        <f>MPR!AB154+KARACHI!AB154+SINDH!AB154+'GILGIT BALTISTAN'!AB154+'AZAD KHASHMIR'!AB154+'KHYBER PAKHTUNKHWA'!AB154</f>
        <v>0</v>
      </c>
      <c r="AC154" s="71">
        <f>MPR!AC154+KARACHI!AC154+SINDH!AC154+'GILGIT BALTISTAN'!AC154+'AZAD KHASHMIR'!AC154+'KHYBER PAKHTUNKHWA'!AC154</f>
        <v>0</v>
      </c>
    </row>
    <row r="155" spans="1:29" ht="24.9" customHeight="1" x14ac:dyDescent="0.25">
      <c r="A155" s="224" t="s">
        <v>8</v>
      </c>
      <c r="B155" s="225"/>
      <c r="C155" s="225"/>
      <c r="D155" s="225"/>
      <c r="E155" s="225"/>
      <c r="F155" s="226"/>
      <c r="G155" s="71">
        <f>MPR!G155+KARACHI!G155+SINDH!G155+'GILGIT BALTISTAN'!G155+'AZAD KHASHMIR'!G155+'KHYBER PAKHTUNKHWA'!G155</f>
        <v>36</v>
      </c>
      <c r="H155" s="71">
        <f>MPR!H155+KARACHI!H155+SINDH!H155+'GILGIT BALTISTAN'!H155+'AZAD KHASHMIR'!H155+'KHYBER PAKHTUNKHWA'!H155</f>
        <v>3</v>
      </c>
      <c r="I155" s="71">
        <f>MPR!I155+KARACHI!I155+SINDH!I155+'GILGIT BALTISTAN'!I155+'AZAD KHASHMIR'!I155+'KHYBER PAKHTUNKHWA'!I155</f>
        <v>5</v>
      </c>
      <c r="J155" s="71">
        <f>MPR!J155+KARACHI!J155+SINDH!J155+'GILGIT BALTISTAN'!J155+'AZAD KHASHMIR'!J155+'KHYBER PAKHTUNKHWA'!J155</f>
        <v>0</v>
      </c>
      <c r="K155" s="71">
        <f>MPR!K155+KARACHI!K155+SINDH!K155+'GILGIT BALTISTAN'!K155+'AZAD KHASHMIR'!K155+'KHYBER PAKHTUNKHWA'!K155</f>
        <v>0</v>
      </c>
      <c r="L155" s="71">
        <f>MPR!L155+KARACHI!L155+SINDH!L155+'GILGIT BALTISTAN'!L155+'AZAD KHASHMIR'!L155+'KHYBER PAKHTUNKHWA'!L155</f>
        <v>0</v>
      </c>
      <c r="M155" s="97"/>
      <c r="N155" s="322"/>
      <c r="O155" s="322"/>
      <c r="P155" s="322"/>
      <c r="Q155" s="322"/>
      <c r="R155" s="322"/>
      <c r="S155" s="322"/>
      <c r="T155" s="322"/>
      <c r="U155" s="322"/>
      <c r="V155" s="322"/>
      <c r="W155" s="40" t="s">
        <v>65</v>
      </c>
      <c r="X155" s="71">
        <f>MPR!X155+KARACHI!X155+SINDH!X155+'GILGIT BALTISTAN'!X155+'AZAD KHASHMIR'!X155+'KHYBER PAKHTUNKHWA'!X155</f>
        <v>0</v>
      </c>
      <c r="Y155" s="71">
        <f>MPR!Y155+KARACHI!Y155+SINDH!Y155+'GILGIT BALTISTAN'!Y155+'AZAD KHASHMIR'!Y155+'KHYBER PAKHTUNKHWA'!Y155</f>
        <v>0</v>
      </c>
      <c r="Z155" s="71">
        <f>MPR!Z155+KARACHI!Z155+SINDH!Z155+'GILGIT BALTISTAN'!Z155+'AZAD KHASHMIR'!Z155+'KHYBER PAKHTUNKHWA'!Z155</f>
        <v>100</v>
      </c>
      <c r="AA155" s="71">
        <f>MPR!AA155+KARACHI!AA155+SINDH!AA155+'GILGIT BALTISTAN'!AA155+'AZAD KHASHMIR'!AA155+'KHYBER PAKHTUNKHWA'!AA155</f>
        <v>0</v>
      </c>
      <c r="AB155" s="71">
        <f>MPR!AB155+KARACHI!AB155+SINDH!AB155+'GILGIT BALTISTAN'!AB155+'AZAD KHASHMIR'!AB155+'KHYBER PAKHTUNKHWA'!AB155</f>
        <v>0</v>
      </c>
      <c r="AC155" s="71">
        <f>MPR!AC155+KARACHI!AC155+SINDH!AC155+'GILGIT BALTISTAN'!AC155+'AZAD KHASHMIR'!AC155+'KHYBER PAKHTUNKHWA'!AC155</f>
        <v>0</v>
      </c>
    </row>
    <row r="156" spans="1:29" ht="24.9" customHeight="1" x14ac:dyDescent="0.25">
      <c r="A156" s="309" t="s">
        <v>78</v>
      </c>
      <c r="B156" s="310"/>
      <c r="C156" s="310"/>
      <c r="D156" s="310"/>
      <c r="E156" s="310"/>
      <c r="F156" s="311"/>
      <c r="G156" s="71">
        <f>MPR!G156+KARACHI!G156+SINDH!G156+'GILGIT BALTISTAN'!G156+'AZAD KHASHMIR'!G156+'KHYBER PAKHTUNKHWA'!G156</f>
        <v>1</v>
      </c>
      <c r="H156" s="71">
        <f>MPR!H156+KARACHI!H156+SINDH!H156+'GILGIT BALTISTAN'!H156+'AZAD KHASHMIR'!H156+'KHYBER PAKHTUNKHWA'!H156</f>
        <v>0</v>
      </c>
      <c r="I156" s="71">
        <f>MPR!I156+KARACHI!I156+SINDH!I156+'GILGIT BALTISTAN'!I156+'AZAD KHASHMIR'!I156+'KHYBER PAKHTUNKHWA'!I156</f>
        <v>0</v>
      </c>
      <c r="J156" s="71">
        <f>MPR!J156+KARACHI!J156+SINDH!J156+'GILGIT BALTISTAN'!J156+'AZAD KHASHMIR'!J156+'KHYBER PAKHTUNKHWA'!J156</f>
        <v>0</v>
      </c>
      <c r="K156" s="71">
        <f>MPR!K156+KARACHI!K156+SINDH!K156+'GILGIT BALTISTAN'!K156+'AZAD KHASHMIR'!K156+'KHYBER PAKHTUNKHWA'!K156</f>
        <v>0</v>
      </c>
      <c r="L156" s="71">
        <f>MPR!L156+KARACHI!L156+SINDH!L156+'GILGIT BALTISTAN'!L156+'AZAD KHASHMIR'!L156+'KHYBER PAKHTUNKHWA'!L156</f>
        <v>0</v>
      </c>
      <c r="M156" s="97"/>
      <c r="N156" s="322"/>
      <c r="O156" s="322"/>
      <c r="P156" s="322"/>
      <c r="Q156" s="322"/>
      <c r="R156" s="322"/>
      <c r="S156" s="322"/>
      <c r="T156" s="322"/>
      <c r="U156" s="322"/>
      <c r="V156" s="322"/>
      <c r="W156" s="319" t="s">
        <v>66</v>
      </c>
      <c r="X156" s="321">
        <f>MPR!X156+KARACHI!X156+SINDH!X156+'GILGIT BALTISTAN'!X156:X157+'AZAD KHASHMIR'!X156:X157+'KHYBER PAKHTUNKHWA'!X156:X157</f>
        <v>8</v>
      </c>
      <c r="Y156" s="321">
        <f>MPR!Y156+KARACHI!Y156+SINDH!Y156+'GILGIT BALTISTAN'!Y156:Y157+'AZAD KHASHMIR'!Y156:Y157+'KHYBER PAKHTUNKHWA'!Y156:Y157</f>
        <v>59</v>
      </c>
      <c r="Z156" s="321">
        <f>MPR!Z156+KARACHI!Z156+SINDH!Z156+'GILGIT BALTISTAN'!Z156:Z157+'AZAD KHASHMIR'!Z156:Z157+'KHYBER PAKHTUNKHWA'!Z156:Z157</f>
        <v>37</v>
      </c>
      <c r="AA156" s="321">
        <f>MPR!AA156+KARACHI!AA156+SINDH!AA156+'GILGIT BALTISTAN'!AA156:AA157+'AZAD KHASHMIR'!AA156:AA157+'KHYBER PAKHTUNKHWA'!AA156:AA157</f>
        <v>0</v>
      </c>
      <c r="AB156" s="321">
        <f>MPR!AB156+KARACHI!AB156+SINDH!AB156+'GILGIT BALTISTAN'!AB156:AB157+'AZAD KHASHMIR'!AB156:AB157+'KHYBER PAKHTUNKHWA'!AB156:AB157</f>
        <v>0</v>
      </c>
      <c r="AC156" s="321">
        <f>MPR!AC156+KARACHI!AC156+SINDH!AC156+'GILGIT BALTISTAN'!AC156:AC157+'AZAD KHASHMIR'!AC156:AC157+'KHYBER PAKHTUNKHWA'!AC156:AC157</f>
        <v>0</v>
      </c>
    </row>
    <row r="157" spans="1:29" ht="24.9" customHeight="1" x14ac:dyDescent="0.25">
      <c r="A157" s="224" t="s">
        <v>7</v>
      </c>
      <c r="B157" s="225"/>
      <c r="C157" s="225"/>
      <c r="D157" s="225"/>
      <c r="E157" s="225"/>
      <c r="F157" s="226"/>
      <c r="G157" s="7">
        <f>SUM(G154:G156)</f>
        <v>877</v>
      </c>
      <c r="H157" s="7">
        <f t="shared" ref="H157:L157" si="18">SUM(H154:H156)</f>
        <v>4</v>
      </c>
      <c r="I157" s="7">
        <f t="shared" si="18"/>
        <v>21</v>
      </c>
      <c r="J157" s="7">
        <f t="shared" si="18"/>
        <v>0</v>
      </c>
      <c r="K157" s="7">
        <f t="shared" si="18"/>
        <v>0</v>
      </c>
      <c r="L157" s="7">
        <f t="shared" si="18"/>
        <v>0</v>
      </c>
      <c r="M157" s="97"/>
      <c r="N157" s="323"/>
      <c r="O157" s="323"/>
      <c r="P157" s="323"/>
      <c r="Q157" s="323"/>
      <c r="R157" s="323"/>
      <c r="S157" s="323"/>
      <c r="T157" s="323"/>
      <c r="U157" s="323"/>
      <c r="V157" s="323"/>
      <c r="W157" s="320"/>
      <c r="X157" s="323"/>
      <c r="Y157" s="323"/>
      <c r="Z157" s="323"/>
      <c r="AA157" s="323"/>
      <c r="AB157" s="323"/>
      <c r="AC157" s="323"/>
    </row>
    <row r="158" spans="1:29" ht="23.4" x14ac:dyDescent="0.25">
      <c r="A158" s="159" t="s">
        <v>15</v>
      </c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  <c r="AA158" s="159"/>
      <c r="AB158" s="159"/>
      <c r="AC158" s="159"/>
    </row>
    <row r="159" spans="1:29" ht="23.4" x14ac:dyDescent="0.25">
      <c r="A159" s="159" t="s">
        <v>16</v>
      </c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2"/>
      <c r="Y159" s="160" t="s">
        <v>17</v>
      </c>
      <c r="Z159" s="160"/>
      <c r="AA159" s="2"/>
      <c r="AB159" s="2"/>
      <c r="AC159" s="2"/>
    </row>
    <row r="160" spans="1:29" ht="30.9" customHeight="1" x14ac:dyDescent="0.25">
      <c r="A160" s="326" t="s">
        <v>18</v>
      </c>
      <c r="B160" s="326"/>
      <c r="C160" s="326"/>
      <c r="D160" s="326"/>
      <c r="E160" s="444" t="str">
        <f>E4</f>
        <v>All Project Total</v>
      </c>
      <c r="F160" s="444"/>
      <c r="G160" s="444"/>
      <c r="H160" s="444"/>
      <c r="I160" s="328" t="s">
        <v>20</v>
      </c>
      <c r="J160" s="328"/>
      <c r="K160" s="329" t="s">
        <v>85</v>
      </c>
      <c r="L160" s="329"/>
      <c r="M160" s="328" t="s">
        <v>21</v>
      </c>
      <c r="N160" s="328"/>
      <c r="O160" s="445" t="s">
        <v>14</v>
      </c>
      <c r="P160" s="445"/>
      <c r="Q160" s="445"/>
      <c r="R160" s="445"/>
      <c r="S160" s="43"/>
      <c r="T160" s="166" t="s">
        <v>22</v>
      </c>
      <c r="U160" s="166"/>
      <c r="V160" s="166"/>
      <c r="W160" s="166"/>
      <c r="X160" s="166"/>
      <c r="Y160" s="152" t="s">
        <v>14</v>
      </c>
      <c r="Z160" s="152"/>
      <c r="AA160" s="152"/>
      <c r="AB160" s="443" t="str">
        <f>AB121</f>
        <v>of Year 2024</v>
      </c>
      <c r="AC160" s="443"/>
    </row>
    <row r="161" spans="1:32" ht="15" customHeight="1" x14ac:dyDescent="0.25">
      <c r="T161" s="166"/>
      <c r="U161" s="166"/>
      <c r="V161" s="166"/>
      <c r="W161" s="166"/>
      <c r="X161" s="166"/>
      <c r="Y161" s="152"/>
      <c r="Z161" s="152"/>
      <c r="AA161" s="152"/>
      <c r="AB161" s="443"/>
      <c r="AC161" s="443"/>
    </row>
    <row r="162" spans="1:32" ht="15.6" x14ac:dyDescent="0.25">
      <c r="A162" s="324" t="s">
        <v>24</v>
      </c>
      <c r="B162" s="324"/>
      <c r="C162" s="324"/>
      <c r="D162" s="324"/>
      <c r="E162" s="324"/>
      <c r="F162" s="324"/>
      <c r="G162" s="324"/>
      <c r="H162" s="325" t="s">
        <v>25</v>
      </c>
      <c r="I162" s="325"/>
      <c r="J162" s="325"/>
      <c r="K162" s="325"/>
      <c r="L162" s="325"/>
      <c r="M162" s="325"/>
      <c r="N162" s="325"/>
      <c r="O162" s="73"/>
      <c r="P162" s="73"/>
      <c r="T162" s="156" t="s">
        <v>26</v>
      </c>
      <c r="U162" s="156"/>
      <c r="V162" s="156"/>
      <c r="W162" s="156"/>
      <c r="X162" s="156"/>
      <c r="Y162" s="156"/>
      <c r="Z162" s="265" t="s">
        <v>27</v>
      </c>
      <c r="AA162" s="265"/>
      <c r="AB162" s="265"/>
      <c r="AC162" s="265"/>
    </row>
    <row r="163" spans="1:32" x14ac:dyDescent="0.25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</row>
    <row r="164" spans="1:32" ht="15" customHeight="1" x14ac:dyDescent="0.25">
      <c r="A164" s="284" t="s">
        <v>29</v>
      </c>
      <c r="B164" s="285"/>
      <c r="C164" s="285"/>
      <c r="D164" s="285"/>
      <c r="E164" s="285"/>
      <c r="F164" s="285"/>
      <c r="G164" s="285"/>
      <c r="H164" s="285"/>
      <c r="I164" s="285"/>
      <c r="J164" s="286"/>
      <c r="K164" s="273" t="s">
        <v>30</v>
      </c>
      <c r="L164" s="274"/>
      <c r="M164" s="273" t="s">
        <v>31</v>
      </c>
      <c r="N164" s="274"/>
      <c r="O164" s="287" t="s">
        <v>32</v>
      </c>
      <c r="P164" s="288"/>
      <c r="Q164" s="289"/>
      <c r="R164" s="273" t="s">
        <v>33</v>
      </c>
      <c r="S164" s="296"/>
      <c r="T164" s="274"/>
      <c r="U164" s="224" t="s">
        <v>34</v>
      </c>
      <c r="V164" s="225"/>
      <c r="W164" s="225"/>
      <c r="X164" s="225"/>
      <c r="Y164" s="225"/>
      <c r="Z164" s="225"/>
      <c r="AA164" s="226"/>
      <c r="AB164" s="273" t="s">
        <v>7</v>
      </c>
      <c r="AC164" s="274"/>
    </row>
    <row r="165" spans="1:32" ht="23.25" customHeight="1" x14ac:dyDescent="0.25">
      <c r="A165" s="169" t="s">
        <v>35</v>
      </c>
      <c r="B165" s="173"/>
      <c r="C165" s="173"/>
      <c r="D165" s="173"/>
      <c r="E165" s="173"/>
      <c r="F165" s="173"/>
      <c r="G165" s="173"/>
      <c r="H165" s="173"/>
      <c r="I165" s="173"/>
      <c r="J165" s="170"/>
      <c r="K165" s="275"/>
      <c r="L165" s="276"/>
      <c r="M165" s="275"/>
      <c r="N165" s="276"/>
      <c r="O165" s="290"/>
      <c r="P165" s="291"/>
      <c r="Q165" s="292"/>
      <c r="R165" s="275"/>
      <c r="S165" s="297"/>
      <c r="T165" s="276"/>
      <c r="U165" s="279" t="s">
        <v>36</v>
      </c>
      <c r="V165" s="279"/>
      <c r="W165" s="279"/>
      <c r="X165" s="279" t="s">
        <v>37</v>
      </c>
      <c r="Y165" s="279"/>
      <c r="Z165" s="279" t="s">
        <v>38</v>
      </c>
      <c r="AA165" s="279"/>
      <c r="AB165" s="275"/>
      <c r="AC165" s="276"/>
    </row>
    <row r="166" spans="1:32" x14ac:dyDescent="0.25">
      <c r="A166" s="171"/>
      <c r="B166" s="174"/>
      <c r="C166" s="174"/>
      <c r="D166" s="174"/>
      <c r="E166" s="174"/>
      <c r="F166" s="174"/>
      <c r="G166" s="174"/>
      <c r="H166" s="174"/>
      <c r="I166" s="174"/>
      <c r="J166" s="172"/>
      <c r="K166" s="277"/>
      <c r="L166" s="278"/>
      <c r="M166" s="277"/>
      <c r="N166" s="278"/>
      <c r="O166" s="293"/>
      <c r="P166" s="294"/>
      <c r="Q166" s="295"/>
      <c r="R166" s="277"/>
      <c r="S166" s="298"/>
      <c r="T166" s="278"/>
      <c r="U166" s="280"/>
      <c r="V166" s="280"/>
      <c r="W166" s="280"/>
      <c r="X166" s="280"/>
      <c r="Y166" s="280"/>
      <c r="Z166" s="280"/>
      <c r="AA166" s="280"/>
      <c r="AB166" s="277"/>
      <c r="AC166" s="278"/>
    </row>
    <row r="167" spans="1:32" ht="24.9" customHeight="1" x14ac:dyDescent="0.25">
      <c r="A167" s="281" t="s">
        <v>39</v>
      </c>
      <c r="B167" s="282"/>
      <c r="C167" s="282"/>
      <c r="D167" s="282"/>
      <c r="E167" s="282"/>
      <c r="F167" s="282"/>
      <c r="G167" s="282"/>
      <c r="H167" s="282"/>
      <c r="I167" s="282"/>
      <c r="J167" s="283"/>
      <c r="K167" s="341">
        <f>SUM(K11+K50+K89+K128)</f>
        <v>3818</v>
      </c>
      <c r="L167" s="342"/>
      <c r="M167" s="341">
        <f>SUM(M11+M50+M89+M128)</f>
        <v>318</v>
      </c>
      <c r="N167" s="342"/>
      <c r="O167" s="341">
        <f>SUM(O11+O50+O89+O128)</f>
        <v>9</v>
      </c>
      <c r="P167" s="343"/>
      <c r="Q167" s="342"/>
      <c r="R167" s="341">
        <f>SUM(K167+M167+O167)</f>
        <v>4145</v>
      </c>
      <c r="S167" s="343"/>
      <c r="T167" s="342"/>
      <c r="U167" s="341">
        <f>SUM(U11+U50+U89+U128)</f>
        <v>4</v>
      </c>
      <c r="V167" s="343"/>
      <c r="W167" s="342"/>
      <c r="X167" s="341">
        <f>SUM(X11+X50+X89+X128)</f>
        <v>10</v>
      </c>
      <c r="Y167" s="342"/>
      <c r="Z167" s="341">
        <f>SUM(Z11+Z50+Z89+Z128)</f>
        <v>10</v>
      </c>
      <c r="AA167" s="342"/>
      <c r="AB167" s="341">
        <f>SUM(K167+M167+O167+U167+X167+Z167)</f>
        <v>4169</v>
      </c>
      <c r="AC167" s="342"/>
    </row>
    <row r="168" spans="1:32" ht="24.9" customHeight="1" x14ac:dyDescent="0.25">
      <c r="A168" s="281" t="s">
        <v>40</v>
      </c>
      <c r="B168" s="282"/>
      <c r="C168" s="282"/>
      <c r="D168" s="282"/>
      <c r="E168" s="282"/>
      <c r="F168" s="282"/>
      <c r="G168" s="282"/>
      <c r="H168" s="282"/>
      <c r="I168" s="282"/>
      <c r="J168" s="283"/>
      <c r="K168" s="341">
        <f>SUM(K12+K51+K90+K129)</f>
        <v>5795</v>
      </c>
      <c r="L168" s="342"/>
      <c r="M168" s="341">
        <f>SUM(M12+M51+M90+M129)</f>
        <v>187</v>
      </c>
      <c r="N168" s="342"/>
      <c r="O168" s="341">
        <f>SUM(O12+O51+O90+O129)</f>
        <v>7</v>
      </c>
      <c r="P168" s="343"/>
      <c r="Q168" s="342"/>
      <c r="R168" s="341">
        <f>SUM(K168+M168+O168)</f>
        <v>5989</v>
      </c>
      <c r="S168" s="343"/>
      <c r="T168" s="342"/>
      <c r="U168" s="341">
        <f>SUM(U12+U51+U90+U129)</f>
        <v>0</v>
      </c>
      <c r="V168" s="343"/>
      <c r="W168" s="342"/>
      <c r="X168" s="341">
        <f>SUM(X12+X51+X90+X129)</f>
        <v>15</v>
      </c>
      <c r="Y168" s="342"/>
      <c r="Z168" s="341">
        <f>SUM(Z12+Z51+Z90+Z129)</f>
        <v>23</v>
      </c>
      <c r="AA168" s="342"/>
      <c r="AB168" s="341">
        <f>SUM(K168+M168+O168+U168+X168+Z168)</f>
        <v>6027</v>
      </c>
      <c r="AC168" s="342"/>
    </row>
    <row r="169" spans="1:32" ht="24.9" customHeight="1" x14ac:dyDescent="0.25">
      <c r="A169" s="281" t="s">
        <v>41</v>
      </c>
      <c r="B169" s="282"/>
      <c r="C169" s="282"/>
      <c r="D169" s="282"/>
      <c r="E169" s="282"/>
      <c r="F169" s="282"/>
      <c r="G169" s="282"/>
      <c r="H169" s="282"/>
      <c r="I169" s="282"/>
      <c r="J169" s="283"/>
      <c r="K169" s="341">
        <f>SUM(K13+K52+K91+K130)</f>
        <v>39</v>
      </c>
      <c r="L169" s="342"/>
      <c r="M169" s="341">
        <f>SUM(M13+M52+M91+M130)</f>
        <v>1</v>
      </c>
      <c r="N169" s="342"/>
      <c r="O169" s="341">
        <f>SUM(O13+O52+O91+O130)</f>
        <v>0</v>
      </c>
      <c r="P169" s="343"/>
      <c r="Q169" s="342"/>
      <c r="R169" s="341">
        <f>SUM(K169+M169+O169)</f>
        <v>40</v>
      </c>
      <c r="S169" s="343"/>
      <c r="T169" s="342"/>
      <c r="U169" s="341">
        <f>SUM(U13+U52+U91+U130)</f>
        <v>0</v>
      </c>
      <c r="V169" s="343"/>
      <c r="W169" s="342"/>
      <c r="X169" s="341">
        <f>SUM(X13+X52+X91+X130)</f>
        <v>0</v>
      </c>
      <c r="Y169" s="342"/>
      <c r="Z169" s="341">
        <f>SUM(Z13+Z52+Z91+Z130)</f>
        <v>0</v>
      </c>
      <c r="AA169" s="342"/>
      <c r="AB169" s="341">
        <f>SUM(K169+M169+O169+U169+X169+Z169)</f>
        <v>40</v>
      </c>
      <c r="AC169" s="342"/>
    </row>
    <row r="170" spans="1:32" ht="24.9" customHeight="1" x14ac:dyDescent="0.25">
      <c r="A170" s="281" t="s">
        <v>42</v>
      </c>
      <c r="B170" s="282"/>
      <c r="C170" s="282"/>
      <c r="D170" s="282"/>
      <c r="E170" s="282"/>
      <c r="F170" s="282"/>
      <c r="G170" s="282"/>
      <c r="H170" s="282"/>
      <c r="I170" s="282"/>
      <c r="J170" s="283"/>
      <c r="K170" s="341">
        <f>SUM(K14+K53+K92+K131)</f>
        <v>3021</v>
      </c>
      <c r="L170" s="342"/>
      <c r="M170" s="341">
        <f>SUM(M14+M53+M92+M131)</f>
        <v>39</v>
      </c>
      <c r="N170" s="342"/>
      <c r="O170" s="341">
        <f>SUM(O14+O53+O92+O131)</f>
        <v>8</v>
      </c>
      <c r="P170" s="343"/>
      <c r="Q170" s="342"/>
      <c r="R170" s="341">
        <f>SUM(K170+M170+O170)</f>
        <v>3068</v>
      </c>
      <c r="S170" s="343"/>
      <c r="T170" s="342"/>
      <c r="U170" s="341">
        <f>SUM(U14+U53+U92+U131)</f>
        <v>0</v>
      </c>
      <c r="V170" s="343"/>
      <c r="W170" s="342"/>
      <c r="X170" s="341">
        <f>SUM(X14+X53+X92+X131)</f>
        <v>1</v>
      </c>
      <c r="Y170" s="342"/>
      <c r="Z170" s="341">
        <f>SUM(Z14+Z53+Z92+Z131)</f>
        <v>35</v>
      </c>
      <c r="AA170" s="342"/>
      <c r="AB170" s="341">
        <f>SUM(K170+M170+O170+U170+X170+Z170)</f>
        <v>3104</v>
      </c>
      <c r="AC170" s="342"/>
    </row>
    <row r="171" spans="1:32" ht="24.9" customHeight="1" x14ac:dyDescent="0.25">
      <c r="A171" s="281" t="s">
        <v>7</v>
      </c>
      <c r="B171" s="282"/>
      <c r="C171" s="282"/>
      <c r="D171" s="282"/>
      <c r="E171" s="282"/>
      <c r="F171" s="282"/>
      <c r="G171" s="282"/>
      <c r="H171" s="282"/>
      <c r="I171" s="282"/>
      <c r="J171" s="283"/>
      <c r="K171" s="341">
        <f>SUM(K167:L170)</f>
        <v>12673</v>
      </c>
      <c r="L171" s="342"/>
      <c r="M171" s="341">
        <f>SUM(M167:N170)</f>
        <v>545</v>
      </c>
      <c r="N171" s="342"/>
      <c r="O171" s="341">
        <f>SUM(O167:Q170)</f>
        <v>24</v>
      </c>
      <c r="P171" s="343"/>
      <c r="Q171" s="342"/>
      <c r="R171" s="341">
        <f>SUM(K171+M171+O171)</f>
        <v>13242</v>
      </c>
      <c r="S171" s="343"/>
      <c r="T171" s="342"/>
      <c r="U171" s="341">
        <f>SUM(U167:W170)</f>
        <v>4</v>
      </c>
      <c r="V171" s="343"/>
      <c r="W171" s="342"/>
      <c r="X171" s="341">
        <f>SUM(X167:Y170)</f>
        <v>26</v>
      </c>
      <c r="Y171" s="342"/>
      <c r="Z171" s="341">
        <f>SUM(Z167:AA170)</f>
        <v>68</v>
      </c>
      <c r="AA171" s="342"/>
      <c r="AB171" s="447">
        <f>SUM(K171+M171+O171+U171+X171+Z171)</f>
        <v>13340</v>
      </c>
      <c r="AC171" s="448"/>
    </row>
    <row r="172" spans="1:32" ht="15.6" x14ac:dyDescent="0.25">
      <c r="A172" s="75" t="s">
        <v>43</v>
      </c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7"/>
      <c r="V172" s="77"/>
      <c r="W172" s="77"/>
      <c r="X172" s="77"/>
      <c r="Y172" s="77"/>
      <c r="Z172" s="77"/>
      <c r="AA172" s="77"/>
      <c r="AB172" s="77"/>
      <c r="AC172" s="78"/>
      <c r="AE172" s="72">
        <f>13340-98</f>
        <v>13242</v>
      </c>
    </row>
    <row r="173" spans="1:32" ht="21.75" customHeight="1" x14ac:dyDescent="0.25">
      <c r="A173" s="331"/>
      <c r="B173" s="332"/>
      <c r="C173" s="332"/>
      <c r="D173" s="332"/>
      <c r="E173" s="332"/>
      <c r="F173" s="332"/>
      <c r="G173" s="332"/>
      <c r="H173" s="332"/>
      <c r="I173" s="332"/>
      <c r="J173" s="333"/>
      <c r="K173" s="224" t="s">
        <v>0</v>
      </c>
      <c r="L173" s="226"/>
      <c r="M173" s="305" t="s">
        <v>1</v>
      </c>
      <c r="N173" s="306"/>
      <c r="O173" s="301" t="s">
        <v>2</v>
      </c>
      <c r="P173" s="302"/>
      <c r="Q173" s="301" t="s">
        <v>3</v>
      </c>
      <c r="R173" s="302"/>
      <c r="S173" s="301" t="s">
        <v>4</v>
      </c>
      <c r="T173" s="302"/>
      <c r="U173" s="301" t="s">
        <v>5</v>
      </c>
      <c r="V173" s="302"/>
      <c r="W173" s="301" t="s">
        <v>6</v>
      </c>
      <c r="X173" s="302"/>
      <c r="Y173" s="301" t="s">
        <v>44</v>
      </c>
      <c r="Z173" s="302"/>
      <c r="AA173" s="301" t="s">
        <v>7</v>
      </c>
      <c r="AB173" s="302"/>
      <c r="AC173" s="303" t="s">
        <v>86</v>
      </c>
      <c r="AD173" s="5"/>
      <c r="AE173" s="6"/>
      <c r="AF173" s="6"/>
    </row>
    <row r="174" spans="1:32" x14ac:dyDescent="0.25">
      <c r="A174" s="334"/>
      <c r="B174" s="335"/>
      <c r="C174" s="335"/>
      <c r="D174" s="335"/>
      <c r="E174" s="335"/>
      <c r="F174" s="335"/>
      <c r="G174" s="335"/>
      <c r="H174" s="335"/>
      <c r="I174" s="335"/>
      <c r="J174" s="336"/>
      <c r="K174" s="7" t="s">
        <v>9</v>
      </c>
      <c r="L174" s="7" t="s">
        <v>10</v>
      </c>
      <c r="M174" s="7" t="s">
        <v>9</v>
      </c>
      <c r="N174" s="7" t="s">
        <v>10</v>
      </c>
      <c r="O174" s="7" t="s">
        <v>9</v>
      </c>
      <c r="P174" s="7" t="s">
        <v>10</v>
      </c>
      <c r="Q174" s="7" t="s">
        <v>9</v>
      </c>
      <c r="R174" s="7" t="s">
        <v>10</v>
      </c>
      <c r="S174" s="7" t="s">
        <v>9</v>
      </c>
      <c r="T174" s="7" t="s">
        <v>10</v>
      </c>
      <c r="U174" s="7" t="s">
        <v>9</v>
      </c>
      <c r="V174" s="7" t="s">
        <v>10</v>
      </c>
      <c r="W174" s="7" t="s">
        <v>9</v>
      </c>
      <c r="X174" s="7" t="s">
        <v>10</v>
      </c>
      <c r="Y174" s="7" t="s">
        <v>9</v>
      </c>
      <c r="Z174" s="7" t="s">
        <v>10</v>
      </c>
      <c r="AA174" s="7" t="s">
        <v>9</v>
      </c>
      <c r="AB174" s="7" t="s">
        <v>10</v>
      </c>
      <c r="AC174" s="304"/>
    </row>
    <row r="175" spans="1:32" ht="18" customHeight="1" x14ac:dyDescent="0.25">
      <c r="A175" s="281" t="s">
        <v>39</v>
      </c>
      <c r="B175" s="282"/>
      <c r="C175" s="282"/>
      <c r="D175" s="282"/>
      <c r="E175" s="282"/>
      <c r="F175" s="282"/>
      <c r="G175" s="282"/>
      <c r="H175" s="282"/>
      <c r="I175" s="282"/>
      <c r="J175" s="283"/>
      <c r="K175" s="71">
        <f>SUM(K19+K58+K97+K136)</f>
        <v>14</v>
      </c>
      <c r="L175" s="71">
        <f t="shared" ref="L175:Z175" si="19">SUM(L19+L58+L97+L136)</f>
        <v>8</v>
      </c>
      <c r="M175" s="71">
        <f t="shared" si="19"/>
        <v>48</v>
      </c>
      <c r="N175" s="71">
        <f t="shared" si="19"/>
        <v>101</v>
      </c>
      <c r="O175" s="71">
        <f t="shared" si="19"/>
        <v>368</v>
      </c>
      <c r="P175" s="71">
        <f t="shared" si="19"/>
        <v>476</v>
      </c>
      <c r="Q175" s="71">
        <f t="shared" si="19"/>
        <v>346</v>
      </c>
      <c r="R175" s="71">
        <f t="shared" si="19"/>
        <v>279</v>
      </c>
      <c r="S175" s="71">
        <f t="shared" si="19"/>
        <v>301</v>
      </c>
      <c r="T175" s="71">
        <f t="shared" si="19"/>
        <v>242</v>
      </c>
      <c r="U175" s="71">
        <f t="shared" si="19"/>
        <v>274</v>
      </c>
      <c r="V175" s="71">
        <f t="shared" si="19"/>
        <v>229</v>
      </c>
      <c r="W175" s="71">
        <f t="shared" si="19"/>
        <v>314</v>
      </c>
      <c r="X175" s="71">
        <f t="shared" si="19"/>
        <v>278</v>
      </c>
      <c r="Y175" s="71">
        <f t="shared" si="19"/>
        <v>486</v>
      </c>
      <c r="Z175" s="71">
        <f t="shared" si="19"/>
        <v>381</v>
      </c>
      <c r="AA175" s="71">
        <f>SUM(K175+M175+O175+Q175+S175+U175+W175+Y175)</f>
        <v>2151</v>
      </c>
      <c r="AB175" s="71">
        <f>SUM(L175+N175+P175+R175+T175+V175+X175+Z175)</f>
        <v>1994</v>
      </c>
      <c r="AC175" s="71">
        <f>SUM(AA175:AB175)</f>
        <v>4145</v>
      </c>
    </row>
    <row r="176" spans="1:32" ht="18" customHeight="1" x14ac:dyDescent="0.25">
      <c r="A176" s="281" t="s">
        <v>40</v>
      </c>
      <c r="B176" s="282"/>
      <c r="C176" s="282"/>
      <c r="D176" s="282"/>
      <c r="E176" s="282"/>
      <c r="F176" s="282"/>
      <c r="G176" s="282"/>
      <c r="H176" s="282"/>
      <c r="I176" s="282"/>
      <c r="J176" s="283"/>
      <c r="K176" s="71">
        <f t="shared" ref="K176:Z178" si="20">SUM(K20+K59+K98+K137)</f>
        <v>1151</v>
      </c>
      <c r="L176" s="71">
        <f t="shared" si="20"/>
        <v>917</v>
      </c>
      <c r="M176" s="71">
        <f t="shared" si="20"/>
        <v>344</v>
      </c>
      <c r="N176" s="71">
        <f t="shared" si="20"/>
        <v>356</v>
      </c>
      <c r="O176" s="71">
        <f t="shared" si="20"/>
        <v>302</v>
      </c>
      <c r="P176" s="71">
        <f t="shared" si="20"/>
        <v>347</v>
      </c>
      <c r="Q176" s="71">
        <f t="shared" si="20"/>
        <v>263</v>
      </c>
      <c r="R176" s="71">
        <f t="shared" si="20"/>
        <v>312</v>
      </c>
      <c r="S176" s="71">
        <f t="shared" si="20"/>
        <v>230</v>
      </c>
      <c r="T176" s="71">
        <f t="shared" si="20"/>
        <v>206</v>
      </c>
      <c r="U176" s="71">
        <f t="shared" si="20"/>
        <v>206</v>
      </c>
      <c r="V176" s="71">
        <f t="shared" si="20"/>
        <v>174</v>
      </c>
      <c r="W176" s="71">
        <f t="shared" si="20"/>
        <v>253</v>
      </c>
      <c r="X176" s="71">
        <f t="shared" si="20"/>
        <v>216</v>
      </c>
      <c r="Y176" s="71">
        <f t="shared" si="20"/>
        <v>400</v>
      </c>
      <c r="Z176" s="71">
        <f t="shared" si="20"/>
        <v>312</v>
      </c>
      <c r="AA176" s="71">
        <f t="shared" ref="AA176:AB178" si="21">SUM(K176+M176+O176+Q176+S176+U176+W176+Y176)</f>
        <v>3149</v>
      </c>
      <c r="AB176" s="71">
        <f t="shared" si="21"/>
        <v>2840</v>
      </c>
      <c r="AC176" s="71">
        <f t="shared" ref="AC176:AC179" si="22">SUM(AA176:AB176)</f>
        <v>5989</v>
      </c>
    </row>
    <row r="177" spans="1:29" ht="18" customHeight="1" x14ac:dyDescent="0.25">
      <c r="A177" s="281" t="s">
        <v>41</v>
      </c>
      <c r="B177" s="282"/>
      <c r="C177" s="282"/>
      <c r="D177" s="282"/>
      <c r="E177" s="282"/>
      <c r="F177" s="282"/>
      <c r="G177" s="282"/>
      <c r="H177" s="282"/>
      <c r="I177" s="282"/>
      <c r="J177" s="283"/>
      <c r="K177" s="71">
        <f t="shared" si="20"/>
        <v>1</v>
      </c>
      <c r="L177" s="71">
        <f t="shared" si="20"/>
        <v>0</v>
      </c>
      <c r="M177" s="71">
        <f t="shared" si="20"/>
        <v>0</v>
      </c>
      <c r="N177" s="71">
        <f t="shared" si="20"/>
        <v>0</v>
      </c>
      <c r="O177" s="71">
        <f t="shared" si="20"/>
        <v>1</v>
      </c>
      <c r="P177" s="71">
        <f t="shared" si="20"/>
        <v>2</v>
      </c>
      <c r="Q177" s="71">
        <f t="shared" si="20"/>
        <v>4</v>
      </c>
      <c r="R177" s="71">
        <f t="shared" si="20"/>
        <v>1</v>
      </c>
      <c r="S177" s="71">
        <f t="shared" si="20"/>
        <v>2</v>
      </c>
      <c r="T177" s="71">
        <f t="shared" si="20"/>
        <v>3</v>
      </c>
      <c r="U177" s="71">
        <f t="shared" si="20"/>
        <v>3</v>
      </c>
      <c r="V177" s="71">
        <f t="shared" si="20"/>
        <v>0</v>
      </c>
      <c r="W177" s="71">
        <f t="shared" si="20"/>
        <v>1</v>
      </c>
      <c r="X177" s="71">
        <f t="shared" si="20"/>
        <v>1</v>
      </c>
      <c r="Y177" s="71">
        <f t="shared" si="20"/>
        <v>1</v>
      </c>
      <c r="Z177" s="71">
        <f t="shared" si="20"/>
        <v>1</v>
      </c>
      <c r="AA177" s="71">
        <f t="shared" si="21"/>
        <v>13</v>
      </c>
      <c r="AB177" s="71">
        <f t="shared" si="21"/>
        <v>8</v>
      </c>
      <c r="AC177" s="71">
        <f t="shared" si="22"/>
        <v>21</v>
      </c>
    </row>
    <row r="178" spans="1:29" ht="18" customHeight="1" x14ac:dyDescent="0.25">
      <c r="A178" s="281" t="s">
        <v>42</v>
      </c>
      <c r="B178" s="282"/>
      <c r="C178" s="282"/>
      <c r="D178" s="282"/>
      <c r="E178" s="282"/>
      <c r="F178" s="282"/>
      <c r="G178" s="282"/>
      <c r="H178" s="282"/>
      <c r="I178" s="282"/>
      <c r="J178" s="283"/>
      <c r="K178" s="71">
        <f t="shared" si="20"/>
        <v>242</v>
      </c>
      <c r="L178" s="71">
        <f t="shared" si="20"/>
        <v>161</v>
      </c>
      <c r="M178" s="71">
        <f t="shared" si="20"/>
        <v>172</v>
      </c>
      <c r="N178" s="71">
        <f t="shared" si="20"/>
        <v>142</v>
      </c>
      <c r="O178" s="71">
        <f t="shared" si="20"/>
        <v>348</v>
      </c>
      <c r="P178" s="71">
        <f t="shared" si="20"/>
        <v>270</v>
      </c>
      <c r="Q178" s="71">
        <f t="shared" si="20"/>
        <v>231</v>
      </c>
      <c r="R178" s="71">
        <f t="shared" si="20"/>
        <v>225</v>
      </c>
      <c r="S178" s="71">
        <f t="shared" si="20"/>
        <v>178</v>
      </c>
      <c r="T178" s="71">
        <f t="shared" si="20"/>
        <v>203</v>
      </c>
      <c r="U178" s="71">
        <f t="shared" si="20"/>
        <v>159</v>
      </c>
      <c r="V178" s="71">
        <f t="shared" si="20"/>
        <v>121</v>
      </c>
      <c r="W178" s="71">
        <f t="shared" si="20"/>
        <v>152</v>
      </c>
      <c r="X178" s="71">
        <f t="shared" si="20"/>
        <v>116</v>
      </c>
      <c r="Y178" s="71">
        <f t="shared" si="20"/>
        <v>228</v>
      </c>
      <c r="Z178" s="71">
        <f t="shared" si="20"/>
        <v>139</v>
      </c>
      <c r="AA178" s="71">
        <f t="shared" si="21"/>
        <v>1710</v>
      </c>
      <c r="AB178" s="71">
        <f t="shared" si="21"/>
        <v>1377</v>
      </c>
      <c r="AC178" s="71">
        <f t="shared" si="22"/>
        <v>3087</v>
      </c>
    </row>
    <row r="179" spans="1:29" ht="18" customHeight="1" x14ac:dyDescent="0.25">
      <c r="A179" s="224" t="s">
        <v>7</v>
      </c>
      <c r="B179" s="225"/>
      <c r="C179" s="225"/>
      <c r="D179" s="225"/>
      <c r="E179" s="225"/>
      <c r="F179" s="225"/>
      <c r="G179" s="225"/>
      <c r="H179" s="225"/>
      <c r="I179" s="225"/>
      <c r="J179" s="226"/>
      <c r="K179" s="71">
        <f>SUM(K175:K178)</f>
        <v>1408</v>
      </c>
      <c r="L179" s="71">
        <f t="shared" ref="L179:AB179" si="23">SUM(L175:L178)</f>
        <v>1086</v>
      </c>
      <c r="M179" s="71">
        <f t="shared" si="23"/>
        <v>564</v>
      </c>
      <c r="N179" s="71">
        <f t="shared" si="23"/>
        <v>599</v>
      </c>
      <c r="O179" s="71">
        <f t="shared" si="23"/>
        <v>1019</v>
      </c>
      <c r="P179" s="71">
        <f t="shared" si="23"/>
        <v>1095</v>
      </c>
      <c r="Q179" s="71">
        <f t="shared" si="23"/>
        <v>844</v>
      </c>
      <c r="R179" s="71">
        <f t="shared" si="23"/>
        <v>817</v>
      </c>
      <c r="S179" s="71">
        <f t="shared" si="23"/>
        <v>711</v>
      </c>
      <c r="T179" s="71">
        <f t="shared" si="23"/>
        <v>654</v>
      </c>
      <c r="U179" s="71">
        <f t="shared" si="23"/>
        <v>642</v>
      </c>
      <c r="V179" s="71">
        <f t="shared" si="23"/>
        <v>524</v>
      </c>
      <c r="W179" s="71">
        <f t="shared" si="23"/>
        <v>720</v>
      </c>
      <c r="X179" s="71">
        <f t="shared" si="23"/>
        <v>611</v>
      </c>
      <c r="Y179" s="71">
        <f t="shared" si="23"/>
        <v>1115</v>
      </c>
      <c r="Z179" s="71">
        <f t="shared" si="23"/>
        <v>833</v>
      </c>
      <c r="AA179" s="71">
        <f t="shared" si="23"/>
        <v>7023</v>
      </c>
      <c r="AB179" s="71">
        <f t="shared" si="23"/>
        <v>6219</v>
      </c>
      <c r="AC179" s="71">
        <f t="shared" si="22"/>
        <v>13242</v>
      </c>
    </row>
    <row r="180" spans="1:29" ht="6.75" customHeight="1" x14ac:dyDescent="0.25">
      <c r="A180" s="79"/>
      <c r="B180" s="80"/>
      <c r="C180" s="80"/>
      <c r="D180" s="80"/>
      <c r="E180" s="80"/>
      <c r="F180" s="81"/>
      <c r="G180" s="82"/>
      <c r="H180" s="82"/>
      <c r="I180" s="82"/>
      <c r="J180" s="82"/>
      <c r="K180" s="82"/>
      <c r="L180" s="82"/>
      <c r="M180" s="83"/>
      <c r="N180" s="82"/>
      <c r="O180" s="100"/>
      <c r="P180" s="82"/>
      <c r="Q180" s="84"/>
      <c r="R180" s="82"/>
      <c r="S180" s="82"/>
      <c r="T180" s="82"/>
      <c r="U180" s="82"/>
      <c r="V180" s="82"/>
      <c r="W180" s="82"/>
      <c r="X180" s="82"/>
      <c r="Y180" s="82"/>
      <c r="Z180" s="82"/>
      <c r="AA180" s="82"/>
      <c r="AB180" s="82"/>
      <c r="AC180" s="85"/>
    </row>
    <row r="181" spans="1:29" ht="18" customHeight="1" x14ac:dyDescent="0.25">
      <c r="A181" s="86" t="s">
        <v>45</v>
      </c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8"/>
      <c r="M181" s="89"/>
      <c r="N181" s="86" t="s">
        <v>46</v>
      </c>
      <c r="O181" s="87"/>
      <c r="P181" s="87"/>
      <c r="Q181" s="87"/>
      <c r="R181" s="87"/>
      <c r="S181" s="90"/>
      <c r="T181" s="90"/>
      <c r="U181" s="90"/>
      <c r="V181" s="90"/>
      <c r="W181" s="90"/>
      <c r="X181" s="90"/>
      <c r="Y181" s="90"/>
      <c r="Z181" s="90"/>
      <c r="AA181" s="90"/>
      <c r="AB181" s="90"/>
      <c r="AC181" s="91"/>
    </row>
    <row r="182" spans="1:29" ht="45" customHeight="1" x14ac:dyDescent="0.25">
      <c r="A182" s="307" t="s">
        <v>47</v>
      </c>
      <c r="B182" s="312" t="s">
        <v>48</v>
      </c>
      <c r="C182" s="313"/>
      <c r="D182" s="314" t="s">
        <v>49</v>
      </c>
      <c r="E182" s="315"/>
      <c r="F182" s="316"/>
      <c r="G182" s="314" t="s">
        <v>50</v>
      </c>
      <c r="H182" s="315"/>
      <c r="I182" s="315"/>
      <c r="J182" s="316"/>
      <c r="K182" s="307" t="s">
        <v>51</v>
      </c>
      <c r="L182" s="307" t="s">
        <v>52</v>
      </c>
      <c r="M182" s="20"/>
      <c r="N182" s="309" t="s">
        <v>53</v>
      </c>
      <c r="O182" s="310"/>
      <c r="P182" s="311"/>
      <c r="Q182" s="309" t="s">
        <v>54</v>
      </c>
      <c r="R182" s="310"/>
      <c r="S182" s="311"/>
      <c r="T182" s="309" t="s">
        <v>55</v>
      </c>
      <c r="U182" s="310"/>
      <c r="V182" s="310"/>
      <c r="W182" s="310"/>
      <c r="X182" s="310"/>
      <c r="Y182" s="310"/>
      <c r="Z182" s="310"/>
      <c r="AA182" s="310"/>
      <c r="AB182" s="310"/>
      <c r="AC182" s="311"/>
    </row>
    <row r="183" spans="1:29" ht="48" customHeight="1" x14ac:dyDescent="0.25">
      <c r="A183" s="308"/>
      <c r="B183" s="21" t="s">
        <v>7</v>
      </c>
      <c r="C183" s="22" t="s">
        <v>87</v>
      </c>
      <c r="D183" s="22" t="s">
        <v>56</v>
      </c>
      <c r="E183" s="22" t="s">
        <v>88</v>
      </c>
      <c r="F183" s="22" t="s">
        <v>89</v>
      </c>
      <c r="G183" s="23" t="s">
        <v>56</v>
      </c>
      <c r="H183" s="22" t="s">
        <v>90</v>
      </c>
      <c r="I183" s="23" t="s">
        <v>57</v>
      </c>
      <c r="J183" s="23" t="s">
        <v>58</v>
      </c>
      <c r="K183" s="308"/>
      <c r="L183" s="308"/>
      <c r="M183" s="20"/>
      <c r="N183" s="309">
        <f>SUM(N27+N66+N105+N144)</f>
        <v>635</v>
      </c>
      <c r="O183" s="310"/>
      <c r="P183" s="311"/>
      <c r="Q183" s="287">
        <f>SUM(Q27+Q66+Q105+Q144)</f>
        <v>4</v>
      </c>
      <c r="R183" s="288"/>
      <c r="S183" s="289"/>
      <c r="T183" s="309">
        <f>SUM(T27+T66+T105+T144)</f>
        <v>4</v>
      </c>
      <c r="U183" s="310"/>
      <c r="V183" s="310"/>
      <c r="W183" s="310"/>
      <c r="X183" s="310"/>
      <c r="Y183" s="310"/>
      <c r="Z183" s="310"/>
      <c r="AA183" s="310"/>
      <c r="AB183" s="310"/>
      <c r="AC183" s="311"/>
    </row>
    <row r="184" spans="1:29" ht="38.25" customHeight="1" x14ac:dyDescent="0.25">
      <c r="A184" s="270">
        <f t="shared" ref="A184:L184" si="24">SUM(A28+A67+A106+A145)</f>
        <v>2201101</v>
      </c>
      <c r="B184" s="270">
        <f t="shared" si="24"/>
        <v>57679</v>
      </c>
      <c r="C184" s="270">
        <f t="shared" si="24"/>
        <v>6899</v>
      </c>
      <c r="D184" s="270">
        <f t="shared" si="24"/>
        <v>23321</v>
      </c>
      <c r="E184" s="270">
        <f t="shared" si="24"/>
        <v>3596</v>
      </c>
      <c r="F184" s="270">
        <f t="shared" si="24"/>
        <v>30427</v>
      </c>
      <c r="G184" s="270">
        <f>SUM(G28+G67+G106+G145)</f>
        <v>3271</v>
      </c>
      <c r="H184" s="270">
        <f t="shared" si="24"/>
        <v>543</v>
      </c>
      <c r="I184" s="270">
        <f t="shared" si="24"/>
        <v>622</v>
      </c>
      <c r="J184" s="270">
        <f t="shared" si="24"/>
        <v>4436</v>
      </c>
      <c r="K184" s="270">
        <f t="shared" si="24"/>
        <v>3990</v>
      </c>
      <c r="L184" s="270">
        <f t="shared" si="24"/>
        <v>6921</v>
      </c>
      <c r="M184" s="20"/>
      <c r="N184" s="309" t="s">
        <v>59</v>
      </c>
      <c r="O184" s="310"/>
      <c r="P184" s="311"/>
      <c r="Q184" s="309" t="s">
        <v>60</v>
      </c>
      <c r="R184" s="310"/>
      <c r="S184" s="311"/>
      <c r="T184" s="293" t="s">
        <v>61</v>
      </c>
      <c r="U184" s="294"/>
      <c r="V184" s="294"/>
      <c r="W184" s="295"/>
      <c r="X184" s="293" t="s">
        <v>62</v>
      </c>
      <c r="Y184" s="294"/>
      <c r="Z184" s="294"/>
      <c r="AA184" s="294"/>
      <c r="AB184" s="294"/>
      <c r="AC184" s="295"/>
    </row>
    <row r="185" spans="1:29" ht="19.5" customHeight="1" x14ac:dyDescent="0.25">
      <c r="A185" s="271"/>
      <c r="B185" s="271"/>
      <c r="C185" s="271"/>
      <c r="D185" s="271"/>
      <c r="E185" s="271"/>
      <c r="F185" s="271"/>
      <c r="G185" s="271"/>
      <c r="H185" s="271"/>
      <c r="I185" s="271"/>
      <c r="J185" s="271"/>
      <c r="K185" s="271"/>
      <c r="L185" s="271"/>
      <c r="M185" s="20"/>
      <c r="N185" s="287">
        <f>SUM(N29+N68+N107+N146)</f>
        <v>80</v>
      </c>
      <c r="O185" s="288"/>
      <c r="P185" s="289"/>
      <c r="Q185" s="287">
        <f>SUM(Q29+Q68+Q107+Q146)</f>
        <v>19</v>
      </c>
      <c r="R185" s="288"/>
      <c r="S185" s="289"/>
      <c r="T185" s="287">
        <f>SUM(T29+T68+T107+T146)</f>
        <v>0</v>
      </c>
      <c r="U185" s="288"/>
      <c r="V185" s="288"/>
      <c r="W185" s="289"/>
      <c r="X185" s="24"/>
      <c r="Y185" s="309" t="s">
        <v>0</v>
      </c>
      <c r="Z185" s="311"/>
      <c r="AA185" s="25" t="s">
        <v>1</v>
      </c>
      <c r="AB185" s="309" t="s">
        <v>63</v>
      </c>
      <c r="AC185" s="311"/>
    </row>
    <row r="186" spans="1:29" ht="18" customHeight="1" x14ac:dyDescent="0.25">
      <c r="A186" s="271"/>
      <c r="B186" s="271"/>
      <c r="C186" s="271"/>
      <c r="D186" s="271"/>
      <c r="E186" s="271"/>
      <c r="F186" s="271"/>
      <c r="G186" s="271"/>
      <c r="H186" s="271"/>
      <c r="I186" s="271"/>
      <c r="J186" s="271"/>
      <c r="K186" s="271"/>
      <c r="L186" s="271"/>
      <c r="M186" s="20"/>
      <c r="N186" s="290"/>
      <c r="O186" s="291"/>
      <c r="P186" s="292"/>
      <c r="Q186" s="290"/>
      <c r="R186" s="291"/>
      <c r="S186" s="292"/>
      <c r="T186" s="290"/>
      <c r="U186" s="291"/>
      <c r="V186" s="291"/>
      <c r="W186" s="292"/>
      <c r="X186" s="26" t="s">
        <v>64</v>
      </c>
      <c r="Y186" s="317">
        <f>SUM(Y30+Y69+Y108+Y147)</f>
        <v>0</v>
      </c>
      <c r="Z186" s="317"/>
      <c r="AA186" s="25">
        <f t="shared" ref="AA186:AB188" si="25">SUM(AA30+AA69+AA108+AA147)</f>
        <v>0</v>
      </c>
      <c r="AB186" s="317">
        <f t="shared" si="25"/>
        <v>0</v>
      </c>
      <c r="AC186" s="317"/>
    </row>
    <row r="187" spans="1:29" ht="18" customHeight="1" x14ac:dyDescent="0.25">
      <c r="A187" s="271"/>
      <c r="B187" s="271"/>
      <c r="C187" s="271"/>
      <c r="D187" s="271"/>
      <c r="E187" s="271"/>
      <c r="F187" s="271"/>
      <c r="G187" s="271"/>
      <c r="H187" s="271"/>
      <c r="I187" s="271"/>
      <c r="J187" s="271"/>
      <c r="K187" s="271"/>
      <c r="L187" s="271"/>
      <c r="M187" s="20"/>
      <c r="N187" s="290"/>
      <c r="O187" s="291"/>
      <c r="P187" s="292"/>
      <c r="Q187" s="290"/>
      <c r="R187" s="291"/>
      <c r="S187" s="292"/>
      <c r="T187" s="290"/>
      <c r="U187" s="291"/>
      <c r="V187" s="291"/>
      <c r="W187" s="292"/>
      <c r="X187" s="26" t="s">
        <v>65</v>
      </c>
      <c r="Y187" s="317">
        <f>SUM(Y31+Y70+Y109+Y148)</f>
        <v>0</v>
      </c>
      <c r="Z187" s="317"/>
      <c r="AA187" s="25">
        <f t="shared" si="25"/>
        <v>0</v>
      </c>
      <c r="AB187" s="317">
        <f t="shared" si="25"/>
        <v>18</v>
      </c>
      <c r="AC187" s="317"/>
    </row>
    <row r="188" spans="1:29" ht="18" customHeight="1" x14ac:dyDescent="0.25">
      <c r="A188" s="272"/>
      <c r="B188" s="272"/>
      <c r="C188" s="272"/>
      <c r="D188" s="272"/>
      <c r="E188" s="272"/>
      <c r="F188" s="272"/>
      <c r="G188" s="272"/>
      <c r="H188" s="272"/>
      <c r="I188" s="272"/>
      <c r="J188" s="272"/>
      <c r="K188" s="272"/>
      <c r="L188" s="272"/>
      <c r="M188" s="20"/>
      <c r="N188" s="293"/>
      <c r="O188" s="294"/>
      <c r="P188" s="295"/>
      <c r="Q188" s="293"/>
      <c r="R188" s="294"/>
      <c r="S188" s="295"/>
      <c r="T188" s="293"/>
      <c r="U188" s="294"/>
      <c r="V188" s="294"/>
      <c r="W188" s="295"/>
      <c r="X188" s="26" t="s">
        <v>66</v>
      </c>
      <c r="Y188" s="317">
        <f>SUM(Y32+Y71+Y110+Y149)</f>
        <v>0</v>
      </c>
      <c r="Z188" s="317"/>
      <c r="AA188" s="25">
        <f t="shared" si="25"/>
        <v>0</v>
      </c>
      <c r="AB188" s="317">
        <f t="shared" si="25"/>
        <v>0</v>
      </c>
      <c r="AC188" s="317"/>
    </row>
    <row r="189" spans="1:29" ht="8.25" customHeight="1" x14ac:dyDescent="0.25">
      <c r="A189" s="27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92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78"/>
    </row>
    <row r="190" spans="1:29" ht="18" customHeight="1" x14ac:dyDescent="0.25">
      <c r="A190" s="86" t="s">
        <v>67</v>
      </c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8"/>
      <c r="M190" s="93"/>
      <c r="N190" s="86" t="s">
        <v>68</v>
      </c>
      <c r="O190" s="88"/>
      <c r="P190" s="87"/>
      <c r="Q190" s="94"/>
      <c r="R190" s="87"/>
      <c r="S190" s="87"/>
      <c r="T190" s="87"/>
      <c r="U190" s="87"/>
      <c r="V190" s="87"/>
      <c r="W190" s="87"/>
      <c r="X190" s="87"/>
      <c r="Y190" s="87"/>
      <c r="Z190" s="87"/>
      <c r="AA190" s="90"/>
      <c r="AB190" s="90"/>
      <c r="AC190" s="95"/>
    </row>
    <row r="191" spans="1:29" ht="57" customHeight="1" x14ac:dyDescent="0.25">
      <c r="A191" s="331"/>
      <c r="B191" s="332"/>
      <c r="C191" s="332"/>
      <c r="D191" s="332"/>
      <c r="E191" s="332"/>
      <c r="F191" s="333"/>
      <c r="G191" s="224" t="s">
        <v>11</v>
      </c>
      <c r="H191" s="226"/>
      <c r="I191" s="224" t="s">
        <v>12</v>
      </c>
      <c r="J191" s="226"/>
      <c r="K191" s="33" t="s">
        <v>69</v>
      </c>
      <c r="L191" s="34"/>
      <c r="M191" s="96"/>
      <c r="N191" s="314" t="s">
        <v>70</v>
      </c>
      <c r="O191" s="315"/>
      <c r="P191" s="316"/>
      <c r="Q191" s="314" t="s">
        <v>71</v>
      </c>
      <c r="R191" s="315"/>
      <c r="S191" s="316"/>
      <c r="T191" s="314" t="s">
        <v>72</v>
      </c>
      <c r="U191" s="315"/>
      <c r="V191" s="316"/>
      <c r="W191" s="314" t="s">
        <v>73</v>
      </c>
      <c r="X191" s="315"/>
      <c r="Y191" s="315"/>
      <c r="Z191" s="316"/>
      <c r="AA191" s="314" t="s">
        <v>74</v>
      </c>
      <c r="AB191" s="315"/>
      <c r="AC191" s="316"/>
    </row>
    <row r="192" spans="1:29" ht="13.5" customHeight="1" x14ac:dyDescent="0.25">
      <c r="A192" s="334"/>
      <c r="B192" s="335"/>
      <c r="C192" s="335"/>
      <c r="D192" s="335"/>
      <c r="E192" s="335"/>
      <c r="F192" s="336"/>
      <c r="G192" s="7" t="s">
        <v>75</v>
      </c>
      <c r="H192" s="7" t="s">
        <v>13</v>
      </c>
      <c r="I192" s="7" t="s">
        <v>75</v>
      </c>
      <c r="J192" s="7" t="s">
        <v>13</v>
      </c>
      <c r="K192" s="7" t="s">
        <v>75</v>
      </c>
      <c r="L192" s="7" t="s">
        <v>13</v>
      </c>
      <c r="M192" s="97"/>
      <c r="N192" s="37" t="s">
        <v>0</v>
      </c>
      <c r="O192" s="98" t="s">
        <v>1</v>
      </c>
      <c r="P192" s="98" t="s">
        <v>91</v>
      </c>
      <c r="Q192" s="37" t="s">
        <v>0</v>
      </c>
      <c r="R192" s="98" t="s">
        <v>1</v>
      </c>
      <c r="S192" s="98" t="s">
        <v>91</v>
      </c>
      <c r="T192" s="37" t="s">
        <v>0</v>
      </c>
      <c r="U192" s="98" t="s">
        <v>1</v>
      </c>
      <c r="V192" s="98" t="s">
        <v>91</v>
      </c>
      <c r="W192" s="37"/>
      <c r="X192" s="37" t="s">
        <v>0</v>
      </c>
      <c r="Y192" s="99" t="s">
        <v>1</v>
      </c>
      <c r="Z192" s="39" t="s">
        <v>76</v>
      </c>
      <c r="AA192" s="37" t="s">
        <v>0</v>
      </c>
      <c r="AB192" s="99" t="s">
        <v>1</v>
      </c>
      <c r="AC192" s="39" t="s">
        <v>76</v>
      </c>
    </row>
    <row r="193" spans="1:29" ht="24.9" customHeight="1" x14ac:dyDescent="0.25">
      <c r="A193" s="224" t="s">
        <v>77</v>
      </c>
      <c r="B193" s="225"/>
      <c r="C193" s="225"/>
      <c r="D193" s="225"/>
      <c r="E193" s="225"/>
      <c r="F193" s="226"/>
      <c r="G193" s="71">
        <f t="shared" ref="G193:L195" si="26">SUM(G37+G76+G115+G154)</f>
        <v>3647</v>
      </c>
      <c r="H193" s="71">
        <f t="shared" si="26"/>
        <v>7</v>
      </c>
      <c r="I193" s="71">
        <f t="shared" si="26"/>
        <v>29</v>
      </c>
      <c r="J193" s="71">
        <f t="shared" si="26"/>
        <v>0</v>
      </c>
      <c r="K193" s="71">
        <f t="shared" si="26"/>
        <v>0</v>
      </c>
      <c r="L193" s="71">
        <f t="shared" si="26"/>
        <v>0</v>
      </c>
      <c r="M193" s="97"/>
      <c r="N193" s="344">
        <f t="shared" ref="N193:V193" si="27">SUM(N37+N76+N115+N154)</f>
        <v>408</v>
      </c>
      <c r="O193" s="344">
        <f t="shared" si="27"/>
        <v>5185</v>
      </c>
      <c r="P193" s="344">
        <f t="shared" si="27"/>
        <v>19929</v>
      </c>
      <c r="Q193" s="344">
        <f t="shared" si="27"/>
        <v>193</v>
      </c>
      <c r="R193" s="344">
        <f t="shared" si="27"/>
        <v>3709</v>
      </c>
      <c r="S193" s="344">
        <f t="shared" si="27"/>
        <v>15716</v>
      </c>
      <c r="T193" s="344">
        <f t="shared" si="27"/>
        <v>1</v>
      </c>
      <c r="U193" s="344">
        <f t="shared" si="27"/>
        <v>70</v>
      </c>
      <c r="V193" s="344">
        <f t="shared" si="27"/>
        <v>658</v>
      </c>
      <c r="W193" s="40" t="s">
        <v>64</v>
      </c>
      <c r="X193" s="7">
        <f t="shared" ref="X193:AC195" si="28">SUM(X37+X76+X115+X154)</f>
        <v>43</v>
      </c>
      <c r="Y193" s="7">
        <f t="shared" si="28"/>
        <v>89</v>
      </c>
      <c r="Z193" s="7">
        <f t="shared" si="28"/>
        <v>13</v>
      </c>
      <c r="AA193" s="7">
        <f t="shared" si="28"/>
        <v>0</v>
      </c>
      <c r="AB193" s="7">
        <f t="shared" si="28"/>
        <v>0</v>
      </c>
      <c r="AC193" s="7">
        <f t="shared" si="28"/>
        <v>0</v>
      </c>
    </row>
    <row r="194" spans="1:29" ht="24.9" customHeight="1" x14ac:dyDescent="0.25">
      <c r="A194" s="224" t="s">
        <v>8</v>
      </c>
      <c r="B194" s="225"/>
      <c r="C194" s="225"/>
      <c r="D194" s="225"/>
      <c r="E194" s="225"/>
      <c r="F194" s="226"/>
      <c r="G194" s="71">
        <f t="shared" si="26"/>
        <v>104</v>
      </c>
      <c r="H194" s="71">
        <f t="shared" si="26"/>
        <v>4</v>
      </c>
      <c r="I194" s="71">
        <f t="shared" si="26"/>
        <v>5</v>
      </c>
      <c r="J194" s="71">
        <f t="shared" si="26"/>
        <v>0</v>
      </c>
      <c r="K194" s="71">
        <f t="shared" si="26"/>
        <v>0</v>
      </c>
      <c r="L194" s="71">
        <f t="shared" si="26"/>
        <v>0</v>
      </c>
      <c r="M194" s="97"/>
      <c r="N194" s="345"/>
      <c r="O194" s="345"/>
      <c r="P194" s="345"/>
      <c r="Q194" s="345"/>
      <c r="R194" s="345"/>
      <c r="S194" s="345"/>
      <c r="T194" s="345"/>
      <c r="U194" s="345"/>
      <c r="V194" s="345"/>
      <c r="W194" s="40" t="s">
        <v>65</v>
      </c>
      <c r="X194" s="7">
        <f t="shared" si="28"/>
        <v>0</v>
      </c>
      <c r="Y194" s="7">
        <f t="shared" si="28"/>
        <v>10</v>
      </c>
      <c r="Z194" s="7">
        <f t="shared" si="28"/>
        <v>135</v>
      </c>
      <c r="AA194" s="7">
        <f t="shared" si="28"/>
        <v>0</v>
      </c>
      <c r="AB194" s="7">
        <f t="shared" si="28"/>
        <v>0</v>
      </c>
      <c r="AC194" s="7">
        <f t="shared" si="28"/>
        <v>0</v>
      </c>
    </row>
    <row r="195" spans="1:29" ht="24.9" customHeight="1" x14ac:dyDescent="0.25">
      <c r="A195" s="309" t="s">
        <v>78</v>
      </c>
      <c r="B195" s="310"/>
      <c r="C195" s="310"/>
      <c r="D195" s="310"/>
      <c r="E195" s="310"/>
      <c r="F195" s="311"/>
      <c r="G195" s="71">
        <f t="shared" si="26"/>
        <v>12</v>
      </c>
      <c r="H195" s="71">
        <f t="shared" si="26"/>
        <v>1</v>
      </c>
      <c r="I195" s="71">
        <f t="shared" si="26"/>
        <v>0</v>
      </c>
      <c r="J195" s="71">
        <f t="shared" si="26"/>
        <v>0</v>
      </c>
      <c r="K195" s="71">
        <f t="shared" si="26"/>
        <v>0</v>
      </c>
      <c r="L195" s="71">
        <f t="shared" si="26"/>
        <v>0</v>
      </c>
      <c r="M195" s="97"/>
      <c r="N195" s="345"/>
      <c r="O195" s="345"/>
      <c r="P195" s="345"/>
      <c r="Q195" s="345"/>
      <c r="R195" s="345"/>
      <c r="S195" s="345"/>
      <c r="T195" s="345"/>
      <c r="U195" s="345"/>
      <c r="V195" s="345"/>
      <c r="W195" s="319" t="s">
        <v>66</v>
      </c>
      <c r="X195" s="321">
        <f t="shared" si="28"/>
        <v>23</v>
      </c>
      <c r="Y195" s="321">
        <f t="shared" si="28"/>
        <v>142</v>
      </c>
      <c r="Z195" s="321">
        <f t="shared" si="28"/>
        <v>239</v>
      </c>
      <c r="AA195" s="321">
        <f t="shared" si="28"/>
        <v>0</v>
      </c>
      <c r="AB195" s="321">
        <f t="shared" si="28"/>
        <v>0</v>
      </c>
      <c r="AC195" s="321">
        <f t="shared" si="28"/>
        <v>0</v>
      </c>
    </row>
    <row r="196" spans="1:29" ht="24.9" customHeight="1" x14ac:dyDescent="0.25">
      <c r="A196" s="224" t="s">
        <v>7</v>
      </c>
      <c r="B196" s="225"/>
      <c r="C196" s="225"/>
      <c r="D196" s="225"/>
      <c r="E196" s="225"/>
      <c r="F196" s="226"/>
      <c r="G196" s="71">
        <f>SUM(G193:G195)</f>
        <v>3763</v>
      </c>
      <c r="H196" s="71">
        <f t="shared" ref="H196:L196" si="29">SUM(H193:H195)</f>
        <v>12</v>
      </c>
      <c r="I196" s="71">
        <f t="shared" si="29"/>
        <v>34</v>
      </c>
      <c r="J196" s="71">
        <f t="shared" si="29"/>
        <v>0</v>
      </c>
      <c r="K196" s="71">
        <f t="shared" si="29"/>
        <v>0</v>
      </c>
      <c r="L196" s="71">
        <f t="shared" si="29"/>
        <v>0</v>
      </c>
      <c r="M196" s="97"/>
      <c r="N196" s="346"/>
      <c r="O196" s="346"/>
      <c r="P196" s="346"/>
      <c r="Q196" s="346"/>
      <c r="R196" s="346"/>
      <c r="S196" s="346"/>
      <c r="T196" s="346"/>
      <c r="U196" s="346"/>
      <c r="V196" s="346"/>
      <c r="W196" s="320"/>
      <c r="X196" s="323"/>
      <c r="Y196" s="323"/>
      <c r="Z196" s="323"/>
      <c r="AA196" s="323"/>
      <c r="AB196" s="323"/>
      <c r="AC196" s="323"/>
    </row>
  </sheetData>
  <mergeCells count="779">
    <mergeCell ref="A194:F194"/>
    <mergeCell ref="A195:F195"/>
    <mergeCell ref="W195:W196"/>
    <mergeCell ref="A196:F196"/>
    <mergeCell ref="T191:V191"/>
    <mergeCell ref="W191:Z191"/>
    <mergeCell ref="AA191:AC191"/>
    <mergeCell ref="A193:F193"/>
    <mergeCell ref="N193:N196"/>
    <mergeCell ref="O193:O196"/>
    <mergeCell ref="P193:P196"/>
    <mergeCell ref="Q193:Q196"/>
    <mergeCell ref="R193:R196"/>
    <mergeCell ref="S193:S196"/>
    <mergeCell ref="X195:X196"/>
    <mergeCell ref="Y195:Y196"/>
    <mergeCell ref="Z195:Z196"/>
    <mergeCell ref="AA195:AA196"/>
    <mergeCell ref="AB195:AB196"/>
    <mergeCell ref="AC195:AC196"/>
    <mergeCell ref="T193:T196"/>
    <mergeCell ref="U193:U196"/>
    <mergeCell ref="V193:V196"/>
    <mergeCell ref="A191:F192"/>
    <mergeCell ref="G191:H191"/>
    <mergeCell ref="I191:J191"/>
    <mergeCell ref="N191:P191"/>
    <mergeCell ref="Q191:S191"/>
    <mergeCell ref="G184:G188"/>
    <mergeCell ref="H184:H188"/>
    <mergeCell ref="I184:I188"/>
    <mergeCell ref="J184:J188"/>
    <mergeCell ref="K184:K188"/>
    <mergeCell ref="L184:L188"/>
    <mergeCell ref="A184:A188"/>
    <mergeCell ref="B184:B188"/>
    <mergeCell ref="C184:C188"/>
    <mergeCell ref="D184:D188"/>
    <mergeCell ref="E184:E188"/>
    <mergeCell ref="F184:F188"/>
    <mergeCell ref="N184:P184"/>
    <mergeCell ref="Q184:S184"/>
    <mergeCell ref="T184:W184"/>
    <mergeCell ref="X184:AC184"/>
    <mergeCell ref="N185:P188"/>
    <mergeCell ref="Q185:S188"/>
    <mergeCell ref="T185:W188"/>
    <mergeCell ref="Y185:Z185"/>
    <mergeCell ref="AB185:AC185"/>
    <mergeCell ref="Y186:Z186"/>
    <mergeCell ref="AB186:AC186"/>
    <mergeCell ref="Y187:Z187"/>
    <mergeCell ref="AB187:AC187"/>
    <mergeCell ref="Y188:Z188"/>
    <mergeCell ref="AB188:AC188"/>
    <mergeCell ref="K182:K183"/>
    <mergeCell ref="L182:L183"/>
    <mergeCell ref="N182:P182"/>
    <mergeCell ref="Q182:S182"/>
    <mergeCell ref="T182:AC182"/>
    <mergeCell ref="N183:P183"/>
    <mergeCell ref="Q183:S183"/>
    <mergeCell ref="T183:AC183"/>
    <mergeCell ref="A176:J176"/>
    <mergeCell ref="A177:J177"/>
    <mergeCell ref="A178:J178"/>
    <mergeCell ref="A179:J179"/>
    <mergeCell ref="A182:A183"/>
    <mergeCell ref="B182:C182"/>
    <mergeCell ref="D182:F182"/>
    <mergeCell ref="G182:J182"/>
    <mergeCell ref="U173:V173"/>
    <mergeCell ref="W173:X173"/>
    <mergeCell ref="Y173:Z173"/>
    <mergeCell ref="AA173:AB173"/>
    <mergeCell ref="AC173:AC174"/>
    <mergeCell ref="A175:J175"/>
    <mergeCell ref="A173:J174"/>
    <mergeCell ref="K173:L173"/>
    <mergeCell ref="M173:N173"/>
    <mergeCell ref="O173:P173"/>
    <mergeCell ref="Q173:R173"/>
    <mergeCell ref="S173:T173"/>
    <mergeCell ref="A171:J171"/>
    <mergeCell ref="K171:L171"/>
    <mergeCell ref="M171:N171"/>
    <mergeCell ref="O171:Q171"/>
    <mergeCell ref="R171:T171"/>
    <mergeCell ref="U171:W171"/>
    <mergeCell ref="X171:Y171"/>
    <mergeCell ref="Z171:AA171"/>
    <mergeCell ref="AB171:AC171"/>
    <mergeCell ref="A170:J170"/>
    <mergeCell ref="K170:L170"/>
    <mergeCell ref="M170:N170"/>
    <mergeCell ref="O170:Q170"/>
    <mergeCell ref="R170:T170"/>
    <mergeCell ref="U170:W170"/>
    <mergeCell ref="X170:Y170"/>
    <mergeCell ref="Z170:AA170"/>
    <mergeCell ref="AB170:AC170"/>
    <mergeCell ref="A169:J169"/>
    <mergeCell ref="K169:L169"/>
    <mergeCell ref="M169:N169"/>
    <mergeCell ref="O169:Q169"/>
    <mergeCell ref="R169:T169"/>
    <mergeCell ref="U169:W169"/>
    <mergeCell ref="X169:Y169"/>
    <mergeCell ref="Z169:AA169"/>
    <mergeCell ref="AB169:AC169"/>
    <mergeCell ref="A168:J168"/>
    <mergeCell ref="K168:L168"/>
    <mergeCell ref="M168:N168"/>
    <mergeCell ref="O168:Q168"/>
    <mergeCell ref="R168:T168"/>
    <mergeCell ref="U168:W168"/>
    <mergeCell ref="X168:Y168"/>
    <mergeCell ref="Z168:AA168"/>
    <mergeCell ref="AB168:AC168"/>
    <mergeCell ref="AB164:AC166"/>
    <mergeCell ref="A165:J166"/>
    <mergeCell ref="U165:W166"/>
    <mergeCell ref="X165:Y166"/>
    <mergeCell ref="Z165:AA166"/>
    <mergeCell ref="A167:J167"/>
    <mergeCell ref="K167:L167"/>
    <mergeCell ref="M167:N167"/>
    <mergeCell ref="O167:Q167"/>
    <mergeCell ref="R167:T167"/>
    <mergeCell ref="A164:J164"/>
    <mergeCell ref="K164:L166"/>
    <mergeCell ref="M164:N166"/>
    <mergeCell ref="O164:Q166"/>
    <mergeCell ref="R164:T166"/>
    <mergeCell ref="U164:AA164"/>
    <mergeCell ref="U167:W167"/>
    <mergeCell ref="X167:Y167"/>
    <mergeCell ref="Z167:AA167"/>
    <mergeCell ref="AB167:AC167"/>
    <mergeCell ref="Y160:AA161"/>
    <mergeCell ref="AB160:AC161"/>
    <mergeCell ref="A162:G162"/>
    <mergeCell ref="H162:N162"/>
    <mergeCell ref="T162:Y162"/>
    <mergeCell ref="Z162:AC162"/>
    <mergeCell ref="A158:AC158"/>
    <mergeCell ref="A159:W159"/>
    <mergeCell ref="Y159:Z159"/>
    <mergeCell ref="A160:D160"/>
    <mergeCell ref="E160:H160"/>
    <mergeCell ref="I160:J160"/>
    <mergeCell ref="K160:L160"/>
    <mergeCell ref="M160:N160"/>
    <mergeCell ref="O160:R160"/>
    <mergeCell ref="T160:X161"/>
    <mergeCell ref="A155:F155"/>
    <mergeCell ref="A156:F156"/>
    <mergeCell ref="W156:W157"/>
    <mergeCell ref="A157:F157"/>
    <mergeCell ref="T152:V152"/>
    <mergeCell ref="W152:Z152"/>
    <mergeCell ref="AA152:AC152"/>
    <mergeCell ref="A154:F154"/>
    <mergeCell ref="N154:N157"/>
    <mergeCell ref="O154:O157"/>
    <mergeCell ref="P154:P157"/>
    <mergeCell ref="Q154:Q157"/>
    <mergeCell ref="R154:R157"/>
    <mergeCell ref="S154:S157"/>
    <mergeCell ref="X156:X157"/>
    <mergeCell ref="Y156:Y157"/>
    <mergeCell ref="Z156:Z157"/>
    <mergeCell ref="AA156:AA157"/>
    <mergeCell ref="AB156:AB157"/>
    <mergeCell ref="AC156:AC157"/>
    <mergeCell ref="T154:T157"/>
    <mergeCell ref="U154:U157"/>
    <mergeCell ref="V154:V157"/>
    <mergeCell ref="A152:F153"/>
    <mergeCell ref="G152:H152"/>
    <mergeCell ref="I152:J152"/>
    <mergeCell ref="N152:P152"/>
    <mergeCell ref="Q152:S152"/>
    <mergeCell ref="G145:G149"/>
    <mergeCell ref="H145:H149"/>
    <mergeCell ref="I145:I149"/>
    <mergeCell ref="J145:J149"/>
    <mergeCell ref="K145:K149"/>
    <mergeCell ref="L145:L149"/>
    <mergeCell ref="A145:A149"/>
    <mergeCell ref="B145:B149"/>
    <mergeCell ref="C145:C149"/>
    <mergeCell ref="D145:D149"/>
    <mergeCell ref="E145:E149"/>
    <mergeCell ref="F145:F149"/>
    <mergeCell ref="N145:P145"/>
    <mergeCell ref="Q145:S145"/>
    <mergeCell ref="T145:W145"/>
    <mergeCell ref="X145:AC145"/>
    <mergeCell ref="N146:P149"/>
    <mergeCell ref="Q146:S149"/>
    <mergeCell ref="T146:W149"/>
    <mergeCell ref="Y146:Z146"/>
    <mergeCell ref="AB146:AC146"/>
    <mergeCell ref="Y147:Z147"/>
    <mergeCell ref="AB147:AC147"/>
    <mergeCell ref="Y148:Z148"/>
    <mergeCell ref="AB148:AC148"/>
    <mergeCell ref="Y149:Z149"/>
    <mergeCell ref="AB149:AC149"/>
    <mergeCell ref="L143:L144"/>
    <mergeCell ref="N143:P143"/>
    <mergeCell ref="Q143:S143"/>
    <mergeCell ref="T143:AC143"/>
    <mergeCell ref="N144:P144"/>
    <mergeCell ref="Q144:S144"/>
    <mergeCell ref="T144:AC144"/>
    <mergeCell ref="A137:J137"/>
    <mergeCell ref="A138:J138"/>
    <mergeCell ref="A139:J139"/>
    <mergeCell ref="A140:J140"/>
    <mergeCell ref="O141:P141"/>
    <mergeCell ref="A143:A144"/>
    <mergeCell ref="B143:C143"/>
    <mergeCell ref="D143:F143"/>
    <mergeCell ref="G143:J143"/>
    <mergeCell ref="K143:K144"/>
    <mergeCell ref="U134:V134"/>
    <mergeCell ref="W134:X134"/>
    <mergeCell ref="Y134:Z134"/>
    <mergeCell ref="AA134:AB134"/>
    <mergeCell ref="AC134:AC135"/>
    <mergeCell ref="A136:J136"/>
    <mergeCell ref="A134:J135"/>
    <mergeCell ref="K134:L134"/>
    <mergeCell ref="M134:N134"/>
    <mergeCell ref="O134:P134"/>
    <mergeCell ref="Q134:R134"/>
    <mergeCell ref="S134:T134"/>
    <mergeCell ref="A132:J132"/>
    <mergeCell ref="K132:L132"/>
    <mergeCell ref="M132:N132"/>
    <mergeCell ref="O132:Q132"/>
    <mergeCell ref="R132:T132"/>
    <mergeCell ref="U132:W132"/>
    <mergeCell ref="X132:Y132"/>
    <mergeCell ref="Z132:AA132"/>
    <mergeCell ref="AB132:AC132"/>
    <mergeCell ref="A131:J131"/>
    <mergeCell ref="K131:L131"/>
    <mergeCell ref="M131:N131"/>
    <mergeCell ref="O131:Q131"/>
    <mergeCell ref="R131:T131"/>
    <mergeCell ref="U131:W131"/>
    <mergeCell ref="X131:Y131"/>
    <mergeCell ref="Z131:AA131"/>
    <mergeCell ref="AB131:AC131"/>
    <mergeCell ref="A130:J130"/>
    <mergeCell ref="K130:L130"/>
    <mergeCell ref="M130:N130"/>
    <mergeCell ref="O130:Q130"/>
    <mergeCell ref="R130:T130"/>
    <mergeCell ref="U130:W130"/>
    <mergeCell ref="X130:Y130"/>
    <mergeCell ref="Z130:AA130"/>
    <mergeCell ref="AB130:AC130"/>
    <mergeCell ref="A129:J129"/>
    <mergeCell ref="K129:L129"/>
    <mergeCell ref="M129:N129"/>
    <mergeCell ref="O129:Q129"/>
    <mergeCell ref="R129:T129"/>
    <mergeCell ref="U129:W129"/>
    <mergeCell ref="X129:Y129"/>
    <mergeCell ref="Z129:AA129"/>
    <mergeCell ref="AB129:AC129"/>
    <mergeCell ref="AB125:AC127"/>
    <mergeCell ref="A126:J127"/>
    <mergeCell ref="U126:W127"/>
    <mergeCell ref="X126:Y127"/>
    <mergeCell ref="Z126:AA127"/>
    <mergeCell ref="A128:J128"/>
    <mergeCell ref="K128:L128"/>
    <mergeCell ref="M128:N128"/>
    <mergeCell ref="O128:Q128"/>
    <mergeCell ref="R128:T128"/>
    <mergeCell ref="A125:J125"/>
    <mergeCell ref="K125:L127"/>
    <mergeCell ref="M125:N127"/>
    <mergeCell ref="O125:Q127"/>
    <mergeCell ref="R125:T127"/>
    <mergeCell ref="U125:AA125"/>
    <mergeCell ref="U128:W128"/>
    <mergeCell ref="X128:Y128"/>
    <mergeCell ref="Z128:AA128"/>
    <mergeCell ref="AB128:AC128"/>
    <mergeCell ref="Y121:AA122"/>
    <mergeCell ref="AB121:AC122"/>
    <mergeCell ref="A123:G123"/>
    <mergeCell ref="H123:N123"/>
    <mergeCell ref="T123:Y123"/>
    <mergeCell ref="Z123:AC123"/>
    <mergeCell ref="A119:AC119"/>
    <mergeCell ref="A120:W120"/>
    <mergeCell ref="Y120:Z120"/>
    <mergeCell ref="A121:D121"/>
    <mergeCell ref="E121:H121"/>
    <mergeCell ref="I121:J121"/>
    <mergeCell ref="K121:L121"/>
    <mergeCell ref="M121:N121"/>
    <mergeCell ref="O121:R121"/>
    <mergeCell ref="T121:X122"/>
    <mergeCell ref="A116:F116"/>
    <mergeCell ref="A117:F117"/>
    <mergeCell ref="W117:W118"/>
    <mergeCell ref="A118:F118"/>
    <mergeCell ref="T113:V113"/>
    <mergeCell ref="W113:Z113"/>
    <mergeCell ref="AA113:AC113"/>
    <mergeCell ref="A115:F115"/>
    <mergeCell ref="N115:N118"/>
    <mergeCell ref="O115:O118"/>
    <mergeCell ref="P115:P118"/>
    <mergeCell ref="Q115:Q118"/>
    <mergeCell ref="R115:R118"/>
    <mergeCell ref="S115:S118"/>
    <mergeCell ref="X117:X118"/>
    <mergeCell ref="Y117:Y118"/>
    <mergeCell ref="Z117:Z118"/>
    <mergeCell ref="AA117:AA118"/>
    <mergeCell ref="AB117:AB118"/>
    <mergeCell ref="AC117:AC118"/>
    <mergeCell ref="T115:T118"/>
    <mergeCell ref="U115:U118"/>
    <mergeCell ref="V115:V118"/>
    <mergeCell ref="A113:F114"/>
    <mergeCell ref="G113:H113"/>
    <mergeCell ref="I113:J113"/>
    <mergeCell ref="N113:P113"/>
    <mergeCell ref="Q113:S113"/>
    <mergeCell ref="G106:G110"/>
    <mergeCell ref="H106:H110"/>
    <mergeCell ref="I106:I110"/>
    <mergeCell ref="J106:J110"/>
    <mergeCell ref="K106:K110"/>
    <mergeCell ref="L106:L110"/>
    <mergeCell ref="A106:A110"/>
    <mergeCell ref="B106:B110"/>
    <mergeCell ref="C106:C110"/>
    <mergeCell ref="D106:D110"/>
    <mergeCell ref="E106:E110"/>
    <mergeCell ref="F106:F110"/>
    <mergeCell ref="N106:P106"/>
    <mergeCell ref="Q106:S106"/>
    <mergeCell ref="T106:W106"/>
    <mergeCell ref="X106:AC106"/>
    <mergeCell ref="N107:P110"/>
    <mergeCell ref="Q107:S110"/>
    <mergeCell ref="T107:W110"/>
    <mergeCell ref="Y107:Z107"/>
    <mergeCell ref="AB107:AC107"/>
    <mergeCell ref="Y108:Z108"/>
    <mergeCell ref="AB108:AC108"/>
    <mergeCell ref="Y109:Z109"/>
    <mergeCell ref="AB109:AC109"/>
    <mergeCell ref="Y110:Z110"/>
    <mergeCell ref="AB110:AC110"/>
    <mergeCell ref="L104:L105"/>
    <mergeCell ref="N104:P104"/>
    <mergeCell ref="Q104:S104"/>
    <mergeCell ref="T104:AC104"/>
    <mergeCell ref="N105:P105"/>
    <mergeCell ref="Q105:S105"/>
    <mergeCell ref="T105:AC105"/>
    <mergeCell ref="A98:J98"/>
    <mergeCell ref="A99:J99"/>
    <mergeCell ref="A100:J100"/>
    <mergeCell ref="A101:J101"/>
    <mergeCell ref="O102:P102"/>
    <mergeCell ref="A104:A105"/>
    <mergeCell ref="B104:C104"/>
    <mergeCell ref="D104:F104"/>
    <mergeCell ref="G104:J104"/>
    <mergeCell ref="K104:K105"/>
    <mergeCell ref="U95:V95"/>
    <mergeCell ref="W95:X95"/>
    <mergeCell ref="Y95:Z95"/>
    <mergeCell ref="AA95:AB95"/>
    <mergeCell ref="AC95:AC96"/>
    <mergeCell ref="A97:J97"/>
    <mergeCell ref="A95:J96"/>
    <mergeCell ref="K95:L95"/>
    <mergeCell ref="M95:N95"/>
    <mergeCell ref="O95:P95"/>
    <mergeCell ref="Q95:R95"/>
    <mergeCell ref="S95:T95"/>
    <mergeCell ref="A93:J93"/>
    <mergeCell ref="K93:L93"/>
    <mergeCell ref="M93:N93"/>
    <mergeCell ref="O93:Q93"/>
    <mergeCell ref="R93:T93"/>
    <mergeCell ref="U93:W93"/>
    <mergeCell ref="X93:Y93"/>
    <mergeCell ref="Z93:AA93"/>
    <mergeCell ref="AB93:AC93"/>
    <mergeCell ref="A92:J92"/>
    <mergeCell ref="K92:L92"/>
    <mergeCell ref="M92:N92"/>
    <mergeCell ref="O92:Q92"/>
    <mergeCell ref="R92:T92"/>
    <mergeCell ref="U92:W92"/>
    <mergeCell ref="X92:Y92"/>
    <mergeCell ref="Z92:AA92"/>
    <mergeCell ref="AB92:AC92"/>
    <mergeCell ref="A91:J91"/>
    <mergeCell ref="K91:L91"/>
    <mergeCell ref="M91:N91"/>
    <mergeCell ref="O91:Q91"/>
    <mergeCell ref="R91:T91"/>
    <mergeCell ref="U91:W91"/>
    <mergeCell ref="X91:Y91"/>
    <mergeCell ref="Z91:AA91"/>
    <mergeCell ref="AB91:AC91"/>
    <mergeCell ref="A90:J90"/>
    <mergeCell ref="K90:L90"/>
    <mergeCell ref="M90:N90"/>
    <mergeCell ref="O90:Q90"/>
    <mergeCell ref="R90:T90"/>
    <mergeCell ref="U90:W90"/>
    <mergeCell ref="X90:Y90"/>
    <mergeCell ref="Z90:AA90"/>
    <mergeCell ref="AB90:AC90"/>
    <mergeCell ref="AB86:AC88"/>
    <mergeCell ref="A87:J88"/>
    <mergeCell ref="U87:W88"/>
    <mergeCell ref="X87:Y88"/>
    <mergeCell ref="Z87:AA88"/>
    <mergeCell ref="A89:J89"/>
    <mergeCell ref="K89:L89"/>
    <mergeCell ref="M89:N89"/>
    <mergeCell ref="O89:Q89"/>
    <mergeCell ref="R89:T89"/>
    <mergeCell ref="A86:J86"/>
    <mergeCell ref="K86:L88"/>
    <mergeCell ref="M86:N88"/>
    <mergeCell ref="O86:Q88"/>
    <mergeCell ref="R86:T88"/>
    <mergeCell ref="U86:AA86"/>
    <mergeCell ref="U89:W89"/>
    <mergeCell ref="X89:Y89"/>
    <mergeCell ref="Z89:AA89"/>
    <mergeCell ref="AB89:AC89"/>
    <mergeCell ref="Y82:AA83"/>
    <mergeCell ref="AB82:AC83"/>
    <mergeCell ref="A84:G84"/>
    <mergeCell ref="H84:N84"/>
    <mergeCell ref="T84:Y84"/>
    <mergeCell ref="Z84:AC84"/>
    <mergeCell ref="A80:AC80"/>
    <mergeCell ref="A81:W81"/>
    <mergeCell ref="Y81:Z81"/>
    <mergeCell ref="A82:D82"/>
    <mergeCell ref="E82:H82"/>
    <mergeCell ref="I82:J82"/>
    <mergeCell ref="K82:L82"/>
    <mergeCell ref="M82:N82"/>
    <mergeCell ref="O82:R82"/>
    <mergeCell ref="T82:X83"/>
    <mergeCell ref="A77:F77"/>
    <mergeCell ref="A78:F78"/>
    <mergeCell ref="W78:W79"/>
    <mergeCell ref="A79:F79"/>
    <mergeCell ref="T74:V74"/>
    <mergeCell ref="W74:Z74"/>
    <mergeCell ref="AA74:AC74"/>
    <mergeCell ref="A76:F76"/>
    <mergeCell ref="N76:N79"/>
    <mergeCell ref="O76:O79"/>
    <mergeCell ref="P76:P79"/>
    <mergeCell ref="Q76:Q79"/>
    <mergeCell ref="R76:R79"/>
    <mergeCell ref="S76:S79"/>
    <mergeCell ref="X78:X79"/>
    <mergeCell ref="Y78:Y79"/>
    <mergeCell ref="Z78:Z79"/>
    <mergeCell ref="AA78:AA79"/>
    <mergeCell ref="AB78:AB79"/>
    <mergeCell ref="AC78:AC79"/>
    <mergeCell ref="T76:T79"/>
    <mergeCell ref="U76:U79"/>
    <mergeCell ref="V76:V79"/>
    <mergeCell ref="A74:F75"/>
    <mergeCell ref="G74:H74"/>
    <mergeCell ref="I74:J74"/>
    <mergeCell ref="N74:P74"/>
    <mergeCell ref="Q74:S74"/>
    <mergeCell ref="G67:G71"/>
    <mergeCell ref="H67:H71"/>
    <mergeCell ref="I67:I71"/>
    <mergeCell ref="J67:J71"/>
    <mergeCell ref="K67:K71"/>
    <mergeCell ref="L67:L71"/>
    <mergeCell ref="A67:A71"/>
    <mergeCell ref="B67:B71"/>
    <mergeCell ref="C67:C71"/>
    <mergeCell ref="D67:D71"/>
    <mergeCell ref="E67:E71"/>
    <mergeCell ref="F67:F71"/>
    <mergeCell ref="N67:P67"/>
    <mergeCell ref="Q67:S67"/>
    <mergeCell ref="T67:W67"/>
    <mergeCell ref="X67:AC67"/>
    <mergeCell ref="N68:P71"/>
    <mergeCell ref="Q68:S71"/>
    <mergeCell ref="T68:W71"/>
    <mergeCell ref="Y68:Z68"/>
    <mergeCell ref="AB68:AC68"/>
    <mergeCell ref="Y69:Z69"/>
    <mergeCell ref="AB69:AC69"/>
    <mergeCell ref="Y70:Z70"/>
    <mergeCell ref="AB70:AC70"/>
    <mergeCell ref="Y71:Z71"/>
    <mergeCell ref="AB71:AC71"/>
    <mergeCell ref="L65:L66"/>
    <mergeCell ref="N65:P65"/>
    <mergeCell ref="Q65:S65"/>
    <mergeCell ref="T65:AC65"/>
    <mergeCell ref="N66:P66"/>
    <mergeCell ref="Q66:S66"/>
    <mergeCell ref="T66:AC66"/>
    <mergeCell ref="A59:J59"/>
    <mergeCell ref="A60:J60"/>
    <mergeCell ref="A61:J61"/>
    <mergeCell ref="A62:J62"/>
    <mergeCell ref="O63:P63"/>
    <mergeCell ref="A65:A66"/>
    <mergeCell ref="B65:C65"/>
    <mergeCell ref="D65:F65"/>
    <mergeCell ref="G65:J65"/>
    <mergeCell ref="K65:K66"/>
    <mergeCell ref="U56:V56"/>
    <mergeCell ref="W56:X56"/>
    <mergeCell ref="Y56:Z56"/>
    <mergeCell ref="AA56:AB56"/>
    <mergeCell ref="AC56:AC57"/>
    <mergeCell ref="A58:J58"/>
    <mergeCell ref="A56:J57"/>
    <mergeCell ref="K56:L56"/>
    <mergeCell ref="M56:N56"/>
    <mergeCell ref="O56:P56"/>
    <mergeCell ref="Q56:R56"/>
    <mergeCell ref="S56:T56"/>
    <mergeCell ref="A54:J54"/>
    <mergeCell ref="K54:L54"/>
    <mergeCell ref="M54:N54"/>
    <mergeCell ref="O54:Q54"/>
    <mergeCell ref="R54:T54"/>
    <mergeCell ref="U54:W54"/>
    <mergeCell ref="X54:Y54"/>
    <mergeCell ref="Z54:AA54"/>
    <mergeCell ref="AB54:AC54"/>
    <mergeCell ref="A53:J53"/>
    <mergeCell ref="K53:L53"/>
    <mergeCell ref="M53:N53"/>
    <mergeCell ref="O53:Q53"/>
    <mergeCell ref="R53:T53"/>
    <mergeCell ref="U53:W53"/>
    <mergeCell ref="X53:Y53"/>
    <mergeCell ref="Z53:AA53"/>
    <mergeCell ref="AB53:AC53"/>
    <mergeCell ref="A52:J52"/>
    <mergeCell ref="K52:L52"/>
    <mergeCell ref="M52:N52"/>
    <mergeCell ref="O52:Q52"/>
    <mergeCell ref="R52:T52"/>
    <mergeCell ref="U52:W52"/>
    <mergeCell ref="X52:Y52"/>
    <mergeCell ref="Z52:AA52"/>
    <mergeCell ref="AB52:AC52"/>
    <mergeCell ref="A51:J51"/>
    <mergeCell ref="K51:L51"/>
    <mergeCell ref="M51:N51"/>
    <mergeCell ref="O51:Q51"/>
    <mergeCell ref="R51:T51"/>
    <mergeCell ref="U51:W51"/>
    <mergeCell ref="X51:Y51"/>
    <mergeCell ref="Z51:AA51"/>
    <mergeCell ref="AB51:AC51"/>
    <mergeCell ref="AB47:AC49"/>
    <mergeCell ref="A48:J49"/>
    <mergeCell ref="U48:W49"/>
    <mergeCell ref="X48:Y49"/>
    <mergeCell ref="Z48:AA49"/>
    <mergeCell ref="A50:J50"/>
    <mergeCell ref="K50:L50"/>
    <mergeCell ref="M50:N50"/>
    <mergeCell ref="O50:Q50"/>
    <mergeCell ref="R50:T50"/>
    <mergeCell ref="A47:J47"/>
    <mergeCell ref="K47:L49"/>
    <mergeCell ref="M47:N49"/>
    <mergeCell ref="O47:Q49"/>
    <mergeCell ref="R47:T49"/>
    <mergeCell ref="U47:AA47"/>
    <mergeCell ref="U50:W50"/>
    <mergeCell ref="X50:Y50"/>
    <mergeCell ref="Z50:AA50"/>
    <mergeCell ref="AB50:AC50"/>
    <mergeCell ref="Y43:AA44"/>
    <mergeCell ref="AB43:AC44"/>
    <mergeCell ref="A45:G45"/>
    <mergeCell ref="H45:N45"/>
    <mergeCell ref="T45:Y45"/>
    <mergeCell ref="Z45:AC45"/>
    <mergeCell ref="A41:AC41"/>
    <mergeCell ref="A42:W42"/>
    <mergeCell ref="Y42:Z42"/>
    <mergeCell ref="A43:D43"/>
    <mergeCell ref="E43:H43"/>
    <mergeCell ref="I43:J43"/>
    <mergeCell ref="K43:L43"/>
    <mergeCell ref="M43:N43"/>
    <mergeCell ref="O43:R43"/>
    <mergeCell ref="T43:X44"/>
    <mergeCell ref="A38:F38"/>
    <mergeCell ref="A39:F39"/>
    <mergeCell ref="W39:W40"/>
    <mergeCell ref="A40:F40"/>
    <mergeCell ref="T35:V35"/>
    <mergeCell ref="W35:Z35"/>
    <mergeCell ref="AA35:AC35"/>
    <mergeCell ref="A37:F37"/>
    <mergeCell ref="N37:N40"/>
    <mergeCell ref="O37:O40"/>
    <mergeCell ref="P37:P40"/>
    <mergeCell ref="Q37:Q40"/>
    <mergeCell ref="R37:R40"/>
    <mergeCell ref="S37:S40"/>
    <mergeCell ref="X39:X40"/>
    <mergeCell ref="Y39:Y40"/>
    <mergeCell ref="Z39:Z40"/>
    <mergeCell ref="AA39:AA40"/>
    <mergeCell ref="AB39:AB40"/>
    <mergeCell ref="AC39:AC40"/>
    <mergeCell ref="T37:T40"/>
    <mergeCell ref="U37:U40"/>
    <mergeCell ref="V37:V40"/>
    <mergeCell ref="A35:F36"/>
    <mergeCell ref="G35:H35"/>
    <mergeCell ref="I35:J35"/>
    <mergeCell ref="N35:P35"/>
    <mergeCell ref="Q35:S35"/>
    <mergeCell ref="G28:G32"/>
    <mergeCell ref="H28:H32"/>
    <mergeCell ref="I28:I32"/>
    <mergeCell ref="J28:J32"/>
    <mergeCell ref="K28:K32"/>
    <mergeCell ref="L28:L32"/>
    <mergeCell ref="A28:A32"/>
    <mergeCell ref="B28:B32"/>
    <mergeCell ref="C28:C32"/>
    <mergeCell ref="D28:D32"/>
    <mergeCell ref="E28:E32"/>
    <mergeCell ref="F28:F32"/>
    <mergeCell ref="N28:P28"/>
    <mergeCell ref="Q28:S28"/>
    <mergeCell ref="T28:W28"/>
    <mergeCell ref="X28:AC28"/>
    <mergeCell ref="N29:P32"/>
    <mergeCell ref="Q29:S32"/>
    <mergeCell ref="T29:W32"/>
    <mergeCell ref="Y29:Z29"/>
    <mergeCell ref="AB29:AC29"/>
    <mergeCell ref="Y30:Z30"/>
    <mergeCell ref="AB30:AC30"/>
    <mergeCell ref="Y31:Z31"/>
    <mergeCell ref="AB31:AC31"/>
    <mergeCell ref="Y32:Z32"/>
    <mergeCell ref="AB32:AC32"/>
    <mergeCell ref="L26:L27"/>
    <mergeCell ref="N26:P26"/>
    <mergeCell ref="Q26:S26"/>
    <mergeCell ref="T26:AC26"/>
    <mergeCell ref="N27:P27"/>
    <mergeCell ref="Q27:S27"/>
    <mergeCell ref="T27:AC27"/>
    <mergeCell ref="A20:J20"/>
    <mergeCell ref="A21:J21"/>
    <mergeCell ref="A22:J22"/>
    <mergeCell ref="A23:J23"/>
    <mergeCell ref="O24:P24"/>
    <mergeCell ref="A26:A27"/>
    <mergeCell ref="B26:C26"/>
    <mergeCell ref="D26:F26"/>
    <mergeCell ref="G26:J26"/>
    <mergeCell ref="K26:K27"/>
    <mergeCell ref="U17:V17"/>
    <mergeCell ref="W17:X17"/>
    <mergeCell ref="Y17:Z17"/>
    <mergeCell ref="AA17:AB17"/>
    <mergeCell ref="AC17:AC18"/>
    <mergeCell ref="A19:J19"/>
    <mergeCell ref="A17:J18"/>
    <mergeCell ref="K17:L17"/>
    <mergeCell ref="M17:N17"/>
    <mergeCell ref="O17:P17"/>
    <mergeCell ref="Q17:R17"/>
    <mergeCell ref="S17:T17"/>
    <mergeCell ref="A15:J15"/>
    <mergeCell ref="K15:L15"/>
    <mergeCell ref="M15:N15"/>
    <mergeCell ref="O15:Q15"/>
    <mergeCell ref="R15:T15"/>
    <mergeCell ref="U15:W15"/>
    <mergeCell ref="X15:Y15"/>
    <mergeCell ref="Z15:AA15"/>
    <mergeCell ref="AB15:AC15"/>
    <mergeCell ref="A14:J14"/>
    <mergeCell ref="K14:L14"/>
    <mergeCell ref="M14:N14"/>
    <mergeCell ref="O14:Q14"/>
    <mergeCell ref="R14:T14"/>
    <mergeCell ref="U14:W14"/>
    <mergeCell ref="X14:Y14"/>
    <mergeCell ref="Z14:AA14"/>
    <mergeCell ref="AB14:AC14"/>
    <mergeCell ref="A13:J13"/>
    <mergeCell ref="K13:L13"/>
    <mergeCell ref="M13:N13"/>
    <mergeCell ref="O13:Q13"/>
    <mergeCell ref="R13:T13"/>
    <mergeCell ref="U13:W13"/>
    <mergeCell ref="X13:Y13"/>
    <mergeCell ref="Z13:AA13"/>
    <mergeCell ref="AB13:AC13"/>
    <mergeCell ref="A12:J12"/>
    <mergeCell ref="K12:L12"/>
    <mergeCell ref="M12:N12"/>
    <mergeCell ref="O12:Q12"/>
    <mergeCell ref="R12:T12"/>
    <mergeCell ref="U12:W12"/>
    <mergeCell ref="X12:Y12"/>
    <mergeCell ref="Z12:AA12"/>
    <mergeCell ref="AB12:AC12"/>
    <mergeCell ref="AB8:AC10"/>
    <mergeCell ref="A9:J10"/>
    <mergeCell ref="U9:W10"/>
    <mergeCell ref="X9:Y10"/>
    <mergeCell ref="Z9:AA10"/>
    <mergeCell ref="A11:J11"/>
    <mergeCell ref="K11:L11"/>
    <mergeCell ref="M11:N11"/>
    <mergeCell ref="O11:Q11"/>
    <mergeCell ref="R11:T11"/>
    <mergeCell ref="A8:J8"/>
    <mergeCell ref="K8:L10"/>
    <mergeCell ref="M8:N10"/>
    <mergeCell ref="O8:Q10"/>
    <mergeCell ref="R8:T10"/>
    <mergeCell ref="U8:AA8"/>
    <mergeCell ref="U11:W11"/>
    <mergeCell ref="X11:Y11"/>
    <mergeCell ref="Z11:AA11"/>
    <mergeCell ref="AB11:AC11"/>
    <mergeCell ref="Y4:AA5"/>
    <mergeCell ref="AB4:AC5"/>
    <mergeCell ref="A6:G6"/>
    <mergeCell ref="H6:N6"/>
    <mergeCell ref="T6:Y6"/>
    <mergeCell ref="Z6:AC6"/>
    <mergeCell ref="A2:AC2"/>
    <mergeCell ref="A3:W3"/>
    <mergeCell ref="Y3:Z3"/>
    <mergeCell ref="A4:D4"/>
    <mergeCell ref="E4:H4"/>
    <mergeCell ref="I4:J4"/>
    <mergeCell ref="K4:L4"/>
    <mergeCell ref="M4:N4"/>
    <mergeCell ref="O4:R4"/>
    <mergeCell ref="T4:X5"/>
  </mergeCells>
  <printOptions horizontalCentered="1"/>
  <pageMargins left="0.25" right="0.25" top="0.25" bottom="0.25" header="0.25" footer="0.25"/>
  <pageSetup paperSize="9" scale="63" orientation="landscape" r:id="rId1"/>
  <rowBreaks count="4" manualBreakCount="4">
    <brk id="40" max="24" man="1"/>
    <brk id="79" max="24" man="1"/>
    <brk id="118" max="24" man="1"/>
    <brk id="157" max="2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MPR</vt:lpstr>
      <vt:lpstr>KARACHI</vt:lpstr>
      <vt:lpstr>SINDH</vt:lpstr>
      <vt:lpstr>GILGIT BALTISTAN</vt:lpstr>
      <vt:lpstr>AZAD KHASHMIR</vt:lpstr>
      <vt:lpstr>KHYBER PAKHTUNKHWA</vt:lpstr>
      <vt:lpstr>All Project Total - 2024</vt:lpstr>
      <vt:lpstr>'All Project Total - 2024'!Print_Area</vt:lpstr>
      <vt:lpstr>'AZAD KHASHMIR'!Print_Area</vt:lpstr>
      <vt:lpstr>'GILGIT BALTISTAN'!Print_Area</vt:lpstr>
      <vt:lpstr>KARACHI!Print_Area</vt:lpstr>
      <vt:lpstr>'KHYBER PAKHTUNKHWA'!Print_Area</vt:lpstr>
      <vt:lpstr>MPR!Print_Area</vt:lpstr>
      <vt:lpstr>SINDH!Print_Area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Mithun Ghazi</dc:creator>
  <cp:lastModifiedBy>shah nawaz</cp:lastModifiedBy>
  <cp:lastPrinted>2025-03-17T04:40:22Z</cp:lastPrinted>
  <dcterms:created xsi:type="dcterms:W3CDTF">2018-07-12T04:48:50Z</dcterms:created>
  <dcterms:modified xsi:type="dcterms:W3CDTF">2026-08-13T11:24:40Z</dcterms:modified>
</cp:coreProperties>
</file>